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hidden" name="final" sheetId="2" r:id="rId6"/>
    <sheet state="hidden" name="DeletedStudents" sheetId="3" r:id="rId7"/>
    <sheet state="visible" name="BulkActionTemplates" sheetId="4" r:id="rId8"/>
    <sheet state="hidden" name="TransferLog" sheetId="5" r:id="rId9"/>
    <sheet state="visible" name="Dorm A" sheetId="6" r:id="rId10"/>
    <sheet state="visible" name="Dorm B" sheetId="7" r:id="rId11"/>
    <sheet state="visible" name="Dorm D" sheetId="8" r:id="rId12"/>
    <sheet state="visible" name="Dorm E" sheetId="9" r:id="rId13"/>
    <sheet state="visible" name="Meikokan" sheetId="10" r:id="rId14"/>
    <sheet state="visible" name="StudentRegistry" sheetId="11" r:id="rId15"/>
    <sheet state="visible" name="DataAudit" sheetId="12" r:id="rId16"/>
    <sheet state="hidden" name="EventLog" sheetId="13" r:id="rId17"/>
    <sheet state="hidden" name="EventTemplate" sheetId="14" r:id="rId18"/>
    <sheet state="hidden" name="AttendanceLog" sheetId="15" r:id="rId19"/>
    <sheet state="hidden" name="Settings" sheetId="16" r:id="rId20"/>
    <sheet state="hidden" name="AttendanceLog_Archive" sheetId="17" r:id="rId21"/>
    <sheet state="visible" name="EVT_20260918_CCM(18_Sept_2026)" sheetId="18" r:id="rId22"/>
    <sheet state="visible" name="EVT_20260911_Dorm_D_CCM" sheetId="19" r:id="rId23"/>
    <sheet state="visible" name="EVT_20260911_Dorm_E_CCM" sheetId="20" r:id="rId24"/>
    <sheet state="visible" name="EVT_20260911_Dorm_A_CCM" sheetId="21" r:id="rId25"/>
    <sheet state="visible" name="EVT_20260925_Dorm_A_Movie_Night" sheetId="22" r:id="rId26"/>
    <sheet state="visible" name="EVT_20261009_Meikokan_CCM" sheetId="23" r:id="rId27"/>
    <sheet state="visible" name="EVT_20260811_DormB_CCM_Spet" sheetId="24" r:id="rId28"/>
    <sheet state="visible" name="EVT_20261009_DormB_CCM_Oct" sheetId="25" r:id="rId29"/>
    <sheet state="visible" name="EVT_20261011_Konoshima_Omikoshi" sheetId="26" r:id="rId30"/>
    <sheet state="visible" name="EVT_20261011_FallWelcomeParty20" sheetId="27" r:id="rId31"/>
    <sheet state="visible" name="EVT_20261009_Dorm_E_CCM" sheetId="28" r:id="rId32"/>
    <sheet state="visible" name="EVT_20261009_Dorm_D_CCM" sheetId="29" r:id="rId3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Leave blank (or type "All") for an event open to every dorm. Otherwise, comma-separate the dorm names it applies to, e.g. "Dorm A, Dorm C". Auto-filled from the event name when possible - edit any time.</t>
      </text>
    </comment>
  </commentList>
</comments>
</file>

<file path=xl/sharedStrings.xml><?xml version="1.0" encoding="utf-8"?>
<sst xmlns="http://schemas.openxmlformats.org/spreadsheetml/2006/main" count="5233" uniqueCount="867">
  <si>
    <t>Dormitory Event Attendance Manager</t>
  </si>
  <si>
    <t>Purpose</t>
  </si>
  <si>
    <t>This Manager tracks attendance at KUAS dormitory events. Student staff create new event sheets from the "Dorm Attendance" menu, enter attendee student ID numbers, and refresh the attendance log. Dorm tabs calculate each student's academic-year attendance and the dorm group score.</t>
  </si>
  <si>
    <t>Student Staff Workflow</t>
  </si>
  <si>
    <t>Quick Command Reference</t>
  </si>
  <si>
    <t>Open this shared Google Sheet.</t>
  </si>
  <si>
    <t>Register a new student</t>
  </si>
  <si>
    <t>Students -&gt; Register Student (Single)</t>
  </si>
  <si>
    <t>Adds one resident to the registry.</t>
  </si>
  <si>
    <t>Dorm Attendance -&gt; Events -&gt; Create New Event Sheet (or Import Event to bulk-import an old paper list).</t>
  </si>
  <si>
    <t>Register many students at once</t>
  </si>
  <si>
    <t>Students -&gt; Bulk Register (Paste from Excel)</t>
  </si>
  <si>
    <t>Paste ID / Dorm / Start Date / Notes rows.</t>
  </si>
  <si>
    <t>Enter the event name and event date when prompted.</t>
  </si>
  <si>
    <t>A student moves to a different dorm</t>
  </si>
  <si>
    <t>Students -&gt; Transfer Student (Change Dorm)</t>
  </si>
  <si>
    <t>Keeps their attendance history - does not reset it.</t>
  </si>
  <si>
    <t>Enter attendee student ID numbers in Column A of the generated event tab, starting at row 8.</t>
  </si>
  <si>
    <t>A student moves out / leaves</t>
  </si>
  <si>
    <t>Students -&gt; Deactivate Student (or Bulk Deactivate)</t>
  </si>
  <si>
    <t>Keeps history, hides them from active rosters.</t>
  </si>
  <si>
    <t>Dorm Attendance -&gt; Events -&gt; Refresh Attendance Log.</t>
  </si>
  <si>
    <t>Check data for mistakes</t>
  </si>
  <si>
    <t>Maintenance -&gt; Run Data Audit</t>
  </si>
  <si>
    <t>Lists duplicate IDs, unknown dorms, bad dates, etc.</t>
  </si>
  <si>
    <t>Review dorm summaries on the relevant dorm tab.</t>
  </si>
  <si>
    <t>Start a new academic year</t>
  </si>
  <si>
    <t>Events -&gt; Archive Previous Years’ Events</t>
  </si>
  <si>
    <t>Moves old logs out of the way and frees up Event IDs.</t>
  </si>
  <si>
    <t>Current Summary</t>
  </si>
  <si>
    <t>Current Academic Year Start</t>
  </si>
  <si>
    <t>Total Events This Year</t>
  </si>
  <si>
    <t>Total Attendance Records</t>
  </si>
  <si>
    <t>Total Active Students</t>
  </si>
  <si>
    <t>Dorms Tracked</t>
  </si>
  <si>
    <t>Last Refreshed</t>
  </si>
  <si>
    <t>Dorm</t>
  </si>
  <si>
    <t>Active Students</t>
  </si>
  <si>
    <t>Group Attendance Score</t>
  </si>
  <si>
    <t>Events Attended</t>
  </si>
  <si>
    <t>Eligible Event Slots</t>
  </si>
  <si>
    <t>Dorm A</t>
  </si>
  <si>
    <t>Dorm B</t>
  </si>
  <si>
    <t>Dorm D</t>
  </si>
  <si>
    <t>Dorm E</t>
  </si>
  <si>
    <t>Meikokan</t>
  </si>
  <si>
    <t>final Attendance Summary (Inactive Dorm)</t>
  </si>
  <si>
    <t>Dorm Group Attendance Score</t>
  </si>
  <si>
    <t>Academic Year Start</t>
  </si>
  <si>
    <t>This dorm is inactive. Its sheet and historical attendance records are preserved, but it is not available for new student registrations.</t>
  </si>
  <si>
    <t>Student ID</t>
  </si>
  <si>
    <t>Status</t>
  </si>
  <si>
    <t>Start Date</t>
  </si>
  <si>
    <t>Eligible Events</t>
  </si>
  <si>
    <t>Attendance %</t>
  </si>
  <si>
    <t>Last Attended</t>
  </si>
  <si>
    <t>Notes</t>
  </si>
  <si>
    <t>Attendance Records Archived</t>
  </si>
  <si>
    <t>Deleted At</t>
  </si>
  <si>
    <t>2024M735</t>
  </si>
  <si>
    <t>Mithun</t>
  </si>
  <si>
    <t>Active</t>
  </si>
  <si>
    <t>2022M933</t>
  </si>
  <si>
    <t>Inactive</t>
  </si>
  <si>
    <t>Bulk Action Templates</t>
  </si>
  <si>
    <t>Fill in a section below, select just the data rows (not the header or the italic example row), copy (Ctrl/Cmd+C), then open the matching dialog from the Dorm Attendance menu and paste (Ctrl/Cmd+V) into the box.</t>
  </si>
  <si>
    <t>1. Bulk Register Students  —  Students -&gt; Bulk Register (Paste from Excel)</t>
  </si>
  <si>
    <t>Transfer student</t>
  </si>
  <si>
    <t>3. Import Event  —  Events -&gt; Import Event with Attendance Details</t>
  </si>
  <si>
    <t>Event Name</t>
  </si>
  <si>
    <t>Event Date</t>
  </si>
  <si>
    <t>Venue</t>
  </si>
  <si>
    <t>Attendee Count</t>
  </si>
  <si>
    <t>Expected Attendee Count</t>
  </si>
  <si>
    <t>Dorm D CCM</t>
  </si>
  <si>
    <t>Dorm D 1F</t>
  </si>
  <si>
    <t>Attendee ID</t>
  </si>
  <si>
    <t>Attendee Dorm</t>
  </si>
  <si>
    <t>2026m711</t>
  </si>
  <si>
    <t>2026m639</t>
  </si>
  <si>
    <t>2026m676</t>
  </si>
  <si>
    <t>2026M613</t>
  </si>
  <si>
    <t>2026b621</t>
  </si>
  <si>
    <t>2026m810</t>
  </si>
  <si>
    <t>2026B639</t>
  </si>
  <si>
    <t>2026m725</t>
  </si>
  <si>
    <t>2025B624</t>
  </si>
  <si>
    <t>2026M713</t>
  </si>
  <si>
    <t>2026m621</t>
  </si>
  <si>
    <t>2026b708</t>
  </si>
  <si>
    <t>2026M615</t>
  </si>
  <si>
    <t>2026c610</t>
  </si>
  <si>
    <t>2026M671</t>
  </si>
  <si>
    <t>2026b693</t>
  </si>
  <si>
    <t>2026m773</t>
  </si>
  <si>
    <t>2026M644</t>
  </si>
  <si>
    <t>2026b682</t>
  </si>
  <si>
    <t>2026m679</t>
  </si>
  <si>
    <t>2026m608</t>
  </si>
  <si>
    <t>2026M702</t>
  </si>
  <si>
    <t>From Dorm</t>
  </si>
  <si>
    <t>To Dorm</t>
  </si>
  <si>
    <t>Transferred At</t>
  </si>
  <si>
    <t>2025M740</t>
  </si>
  <si>
    <t>Dorm A Attendance Summary</t>
  </si>
  <si>
    <t>2023M002</t>
  </si>
  <si>
    <t>2023M629</t>
  </si>
  <si>
    <t>2024M674</t>
  </si>
  <si>
    <t>2024M696</t>
  </si>
  <si>
    <t>2025B141</t>
  </si>
  <si>
    <t>2025B611</t>
  </si>
  <si>
    <t>2025B630</t>
  </si>
  <si>
    <t>2025M010</t>
  </si>
  <si>
    <t>2025M685</t>
  </si>
  <si>
    <t>2025M695</t>
  </si>
  <si>
    <t>2025M696</t>
  </si>
  <si>
    <t>2025M750</t>
  </si>
  <si>
    <t>2025M755</t>
  </si>
  <si>
    <t>2025M761</t>
  </si>
  <si>
    <t>2025M773</t>
  </si>
  <si>
    <t>2025MM33</t>
  </si>
  <si>
    <t>2025P088</t>
  </si>
  <si>
    <t>2026B057</t>
  </si>
  <si>
    <t>2026B616</t>
  </si>
  <si>
    <t>2026B658</t>
  </si>
  <si>
    <t>2026B692</t>
  </si>
  <si>
    <t>2026B706</t>
  </si>
  <si>
    <t>2026B707</t>
  </si>
  <si>
    <t>2026M029</t>
  </si>
  <si>
    <t>2026M607</t>
  </si>
  <si>
    <t>2026M616</t>
  </si>
  <si>
    <t>2026M624</t>
  </si>
  <si>
    <t>2026M628</t>
  </si>
  <si>
    <t>2026M631</t>
  </si>
  <si>
    <t>2026M632</t>
  </si>
  <si>
    <t>2026M633</t>
  </si>
  <si>
    <t>2026M634</t>
  </si>
  <si>
    <t>2026M640</t>
  </si>
  <si>
    <t>2026M653</t>
  </si>
  <si>
    <t>2026M656</t>
  </si>
  <si>
    <t>2026M660</t>
  </si>
  <si>
    <t>2026M664</t>
  </si>
  <si>
    <t>2026M678</t>
  </si>
  <si>
    <t>2026M682</t>
  </si>
  <si>
    <t>2026M701</t>
  </si>
  <si>
    <t>2026M704</t>
  </si>
  <si>
    <t>2026M705</t>
  </si>
  <si>
    <t>2026M712</t>
  </si>
  <si>
    <t>2026M716</t>
  </si>
  <si>
    <t>2026M722</t>
  </si>
  <si>
    <t>2026M723</t>
  </si>
  <si>
    <t>2026M734</t>
  </si>
  <si>
    <t>2026M739</t>
  </si>
  <si>
    <t>2026M740</t>
  </si>
  <si>
    <t>2026M750</t>
  </si>
  <si>
    <t>2026M759</t>
  </si>
  <si>
    <t>2026M760</t>
  </si>
  <si>
    <t>2026M763</t>
  </si>
  <si>
    <t>2026M765</t>
  </si>
  <si>
    <t>2026M767</t>
  </si>
  <si>
    <t>2026M771</t>
  </si>
  <si>
    <t>2026M787</t>
  </si>
  <si>
    <t>2026M799</t>
  </si>
  <si>
    <t>2026M809</t>
  </si>
  <si>
    <t>2026M812</t>
  </si>
  <si>
    <t>2026M814</t>
  </si>
  <si>
    <t>2026M816</t>
  </si>
  <si>
    <t>2026M820</t>
  </si>
  <si>
    <t>2026V647</t>
  </si>
  <si>
    <t>Dorm B Attendance Summary</t>
  </si>
  <si>
    <t>2023M620</t>
  </si>
  <si>
    <t>2023M676</t>
  </si>
  <si>
    <t>2024H502</t>
  </si>
  <si>
    <t>2024MD02</t>
  </si>
  <si>
    <t>2025B638</t>
  </si>
  <si>
    <t>2025H020</t>
  </si>
  <si>
    <t>2025M002</t>
  </si>
  <si>
    <t>2025M0605</t>
  </si>
  <si>
    <t>2025M616</t>
  </si>
  <si>
    <t>2025M749</t>
  </si>
  <si>
    <t>2025V602</t>
  </si>
  <si>
    <t>2026B165</t>
  </si>
  <si>
    <t>2026B606</t>
  </si>
  <si>
    <t>2026B607</t>
  </si>
  <si>
    <t>2026B643</t>
  </si>
  <si>
    <t>2026B646</t>
  </si>
  <si>
    <t>2026B660</t>
  </si>
  <si>
    <t>2026B678</t>
  </si>
  <si>
    <t>2026B680</t>
  </si>
  <si>
    <t>2026B686</t>
  </si>
  <si>
    <t>2026B690</t>
  </si>
  <si>
    <t>2026C621</t>
  </si>
  <si>
    <t>2026M027</t>
  </si>
  <si>
    <t>2026M629</t>
  </si>
  <si>
    <t>2026M643</t>
  </si>
  <si>
    <t>2026M649</t>
  </si>
  <si>
    <t>2026M659</t>
  </si>
  <si>
    <t>2026M661</t>
  </si>
  <si>
    <t>2026M666</t>
  </si>
  <si>
    <t>2026M672</t>
  </si>
  <si>
    <t>2026M680</t>
  </si>
  <si>
    <t>2026M681</t>
  </si>
  <si>
    <t>2026M699</t>
  </si>
  <si>
    <t>2026M727</t>
  </si>
  <si>
    <t>2026M731</t>
  </si>
  <si>
    <t>2026M737</t>
  </si>
  <si>
    <t>2026M755</t>
  </si>
  <si>
    <t>2026M756</t>
  </si>
  <si>
    <t>2026M758</t>
  </si>
  <si>
    <t>2026M761</t>
  </si>
  <si>
    <t>2026M776</t>
  </si>
  <si>
    <t>2026M782</t>
  </si>
  <si>
    <t>2026M792</t>
  </si>
  <si>
    <t>2026M796</t>
  </si>
  <si>
    <t>2026M804</t>
  </si>
  <si>
    <t>2026M817</t>
  </si>
  <si>
    <t>2026M818</t>
  </si>
  <si>
    <t>2026P081</t>
  </si>
  <si>
    <t>Dorm D Attendance Summary</t>
  </si>
  <si>
    <t>-</t>
  </si>
  <si>
    <t>2023M606</t>
  </si>
  <si>
    <t>2025B612</t>
  </si>
  <si>
    <t>2025B641</t>
  </si>
  <si>
    <t>2025B656</t>
  </si>
  <si>
    <t>2025B663</t>
  </si>
  <si>
    <t>2025M004</t>
  </si>
  <si>
    <t>2025M028</t>
  </si>
  <si>
    <t>2025M635</t>
  </si>
  <si>
    <t>2025M646</t>
  </si>
  <si>
    <t>2025M647</t>
  </si>
  <si>
    <t>2025M678</t>
  </si>
  <si>
    <t>2025M684</t>
  </si>
  <si>
    <t>2025M774</t>
  </si>
  <si>
    <t>2026B614</t>
  </si>
  <si>
    <t>2026B617</t>
  </si>
  <si>
    <t>2026B621</t>
  </si>
  <si>
    <t>2026B627</t>
  </si>
  <si>
    <t>2026B656</t>
  </si>
  <si>
    <t>2026B663</t>
  </si>
  <si>
    <t>2026B667</t>
  </si>
  <si>
    <t>2026B676</t>
  </si>
  <si>
    <t>2026B682</t>
  </si>
  <si>
    <t>2026B693</t>
  </si>
  <si>
    <t>2026B694</t>
  </si>
  <si>
    <t>2026B701</t>
  </si>
  <si>
    <t>2026B708</t>
  </si>
  <si>
    <t>2026B711</t>
  </si>
  <si>
    <t>2026C610</t>
  </si>
  <si>
    <t>2026M608</t>
  </si>
  <si>
    <t>2026M614</t>
  </si>
  <si>
    <t>2026M621</t>
  </si>
  <si>
    <t>2026M627</t>
  </si>
  <si>
    <t>2026M638</t>
  </si>
  <si>
    <t>2026M639</t>
  </si>
  <si>
    <t>2026M642</t>
  </si>
  <si>
    <t>2026M658</t>
  </si>
  <si>
    <t>2026M676</t>
  </si>
  <si>
    <t>2026M679</t>
  </si>
  <si>
    <t>2026M687</t>
  </si>
  <si>
    <t>2026M711</t>
  </si>
  <si>
    <t>2026M725</t>
  </si>
  <si>
    <t>2026M738</t>
  </si>
  <si>
    <t>2026M744</t>
  </si>
  <si>
    <t>2026M751</t>
  </si>
  <si>
    <t>2026M766</t>
  </si>
  <si>
    <t>2026M773</t>
  </si>
  <si>
    <t>2026M797</t>
  </si>
  <si>
    <t>2026M805</t>
  </si>
  <si>
    <t>2026M810</t>
  </si>
  <si>
    <t>2026V607</t>
  </si>
  <si>
    <t>Dorm E Attendance Summary</t>
  </si>
  <si>
    <t>2023M611</t>
  </si>
  <si>
    <t>2023M703</t>
  </si>
  <si>
    <t>2025B609</t>
  </si>
  <si>
    <t>2025B660</t>
  </si>
  <si>
    <t>2025H005</t>
  </si>
  <si>
    <t>2025M712</t>
  </si>
  <si>
    <t>2025M718</t>
  </si>
  <si>
    <t>2025MM17</t>
  </si>
  <si>
    <t>2025N087</t>
  </si>
  <si>
    <t>2026B618</t>
  </si>
  <si>
    <t>2026B634</t>
  </si>
  <si>
    <t>2026B635</t>
  </si>
  <si>
    <t>2026B644</t>
  </si>
  <si>
    <t>2026B645</t>
  </si>
  <si>
    <t>2026B661</t>
  </si>
  <si>
    <t>2026B672</t>
  </si>
  <si>
    <t>2026B674</t>
  </si>
  <si>
    <t>2026B681</t>
  </si>
  <si>
    <t>2026M603</t>
  </si>
  <si>
    <t>2026M610</t>
  </si>
  <si>
    <t>2026M618</t>
  </si>
  <si>
    <t>2026M626</t>
  </si>
  <si>
    <t>2026M647</t>
  </si>
  <si>
    <t>2026M654</t>
  </si>
  <si>
    <t>2026M665</t>
  </si>
  <si>
    <t>2026M673</t>
  </si>
  <si>
    <t>2026M677</t>
  </si>
  <si>
    <t>2026M710</t>
  </si>
  <si>
    <t>2026M733</t>
  </si>
  <si>
    <t>2026M748</t>
  </si>
  <si>
    <t>2026M753</t>
  </si>
  <si>
    <t>2026M801</t>
  </si>
  <si>
    <t>2026M823</t>
  </si>
  <si>
    <t>Meikokan Attendance Summary</t>
  </si>
  <si>
    <t>2024M623</t>
  </si>
  <si>
    <t>2025M606</t>
  </si>
  <si>
    <t>2025V620</t>
  </si>
  <si>
    <t>2026AM02</t>
  </si>
  <si>
    <t>2026C607</t>
  </si>
  <si>
    <t>2026C608</t>
  </si>
  <si>
    <t>2026C611</t>
  </si>
  <si>
    <t>2026C615</t>
  </si>
  <si>
    <t>2026C618</t>
  </si>
  <si>
    <t>2026C622</t>
  </si>
  <si>
    <t>2026V608</t>
  </si>
  <si>
    <t>2026V609</t>
  </si>
  <si>
    <t>2026V610</t>
  </si>
  <si>
    <t>2026V611</t>
  </si>
  <si>
    <t>2026V612</t>
  </si>
  <si>
    <t>2026V617</t>
  </si>
  <si>
    <t>2026V620</t>
  </si>
  <si>
    <t>2026V622</t>
  </si>
  <si>
    <t>2026V623</t>
  </si>
  <si>
    <t>2026V624</t>
  </si>
  <si>
    <t>2026V629</t>
  </si>
  <si>
    <t>2026V630</t>
  </si>
  <si>
    <t>2026V633</t>
  </si>
  <si>
    <t>2026V634</t>
  </si>
  <si>
    <t>2026V635</t>
  </si>
  <si>
    <t>2026V637</t>
  </si>
  <si>
    <t>2026V639</t>
  </si>
  <si>
    <t>2026V640</t>
  </si>
  <si>
    <t>2026V644</t>
  </si>
  <si>
    <t>2026V645</t>
  </si>
  <si>
    <t>2026V646</t>
  </si>
  <si>
    <t>2026V650</t>
  </si>
  <si>
    <t>Student Name / Notes</t>
  </si>
  <si>
    <t>Last Updated</t>
  </si>
  <si>
    <t>West Neighborhood</t>
  </si>
  <si>
    <t>Audit Run At</t>
  </si>
  <si>
    <t>Total Issues</t>
  </si>
  <si>
    <t>Sheet</t>
  </si>
  <si>
    <t>Row</t>
  </si>
  <si>
    <t>Issue</t>
  </si>
  <si>
    <t>EventLog</t>
  </si>
  <si>
    <t>Event "CCM(18 Sept 2026)" applies to "Dorm KH, Dorm K, Dorm K2, Leo Palace Kameoka", which aren’t a configured dorm - add them via Dorms -&gt; Add Dorm, or fix a typo on the event sheet’s "Applies To Dorm(s)" field.</t>
  </si>
  <si>
    <t>EVT_20260918_CCM(18_Sept_2026)</t>
  </si>
  <si>
    <t>Attendee not found in registry: 2025V622</t>
  </si>
  <si>
    <t>Attendee not found in registry: 2026C603</t>
  </si>
  <si>
    <t>Attendee not found in registry: 2026C605</t>
  </si>
  <si>
    <t>Attendee not found in registry: 2026C617</t>
  </si>
  <si>
    <t>Attendee not found in registry: 2026C619</t>
  </si>
  <si>
    <t>Attendee not found in registry: 2026C620</t>
  </si>
  <si>
    <t>Attendee not found in registry: 2026C623</t>
  </si>
  <si>
    <t>Attendee not found in registry: 2026V605</t>
  </si>
  <si>
    <t>Attendee not found in registry: 2026V614</t>
  </si>
  <si>
    <t>Attendee not found in registry: 2026V615</t>
  </si>
  <si>
    <t>Attendee not found in registry: 2026V621</t>
  </si>
  <si>
    <t>Attendee not found in registry: 2026V631</t>
  </si>
  <si>
    <t>Attendee not found in registry: 2026V652</t>
  </si>
  <si>
    <t>EVT_20260911_Dorm_D_CCM</t>
  </si>
  <si>
    <t>Attendee not found in registry: 2024M35</t>
  </si>
  <si>
    <t>Attendee not found in registry: OPI MOHAMMAD SAMIR SAKIB</t>
  </si>
  <si>
    <t>Event ID</t>
  </si>
  <si>
    <t>Sheet Name</t>
  </si>
  <si>
    <t>Created At</t>
  </si>
  <si>
    <t>Applies To</t>
  </si>
  <si>
    <t>EVT_20260811_12</t>
  </si>
  <si>
    <t>DormB CCM Spet</t>
  </si>
  <si>
    <t>EVT_20260811_DormB_CCM_Spet</t>
  </si>
  <si>
    <t>EVT_20260911_05</t>
  </si>
  <si>
    <t>EVT_20260911_07</t>
  </si>
  <si>
    <t>Dorm E CCM &amp; Movie Night</t>
  </si>
  <si>
    <t>EVT_20260911_Dorm_E_CCM</t>
  </si>
  <si>
    <t>EVT_20260911_08</t>
  </si>
  <si>
    <t>Dorm A CCM</t>
  </si>
  <si>
    <t>EVT_20260911_Dorm_A_CCM</t>
  </si>
  <si>
    <t>EVT_20260918_04</t>
  </si>
  <si>
    <t>CCM(18 Sept 2026)</t>
  </si>
  <si>
    <t>EVT_20260925_09</t>
  </si>
  <si>
    <t>Dorm A Movie Night</t>
  </si>
  <si>
    <t>EVT_20260925_Dorm_A_Movie_Night</t>
  </si>
  <si>
    <t>EVT_20261009_10</t>
  </si>
  <si>
    <t>Meikokan CCM</t>
  </si>
  <si>
    <t>EVT_20261009_Meikokan_CCM</t>
  </si>
  <si>
    <t>EVT_20261009_13</t>
  </si>
  <si>
    <t>DormB CCM Oct</t>
  </si>
  <si>
    <t>EVT_20261009_DormB_CCM_Oct</t>
  </si>
  <si>
    <t>EVT_20261009_16</t>
  </si>
  <si>
    <t>Dorm E CCM</t>
  </si>
  <si>
    <t>EVT_20261009_Dorm_E_CCM</t>
  </si>
  <si>
    <t>EVT_20261009_17</t>
  </si>
  <si>
    <t>EVT_20261009_Dorm_D_CCM</t>
  </si>
  <si>
    <t>EVT_20261011_14</t>
  </si>
  <si>
    <t>Konoshima Omikoshi</t>
  </si>
  <si>
    <t>EVT_20261011_Konoshima_Omikoshi</t>
  </si>
  <si>
    <t>EVT_20261011_15</t>
  </si>
  <si>
    <t>FallWelcomeParty2026</t>
  </si>
  <si>
    <t>EVT_20261011_FallWelcomeParty2026</t>
  </si>
  <si>
    <t>Event Attendance Sheet</t>
  </si>
  <si>
    <t>Expected Attendees</t>
  </si>
  <si>
    <t>Reported Attendee Count</t>
  </si>
  <si>
    <t>Applies To Dorm(s)</t>
  </si>
  <si>
    <t>Timestamp / Notes</t>
  </si>
  <si>
    <t>Dorm Found</t>
  </si>
  <si>
    <t>Registered?</t>
  </si>
  <si>
    <t>Do Not Edit</t>
  </si>
  <si>
    <t>Record ID</t>
  </si>
  <si>
    <t>Event Sheet</t>
  </si>
  <si>
    <t>Logged At</t>
  </si>
  <si>
    <t>EVT_20260811_12|2026B643</t>
  </si>
  <si>
    <t>EVT_20260811_12|2026B646</t>
  </si>
  <si>
    <t>EVT_20260811_12|2026B686</t>
  </si>
  <si>
    <t>EVT_20260811_12|2026C621</t>
  </si>
  <si>
    <t>EVT_20260811_12|2026M629</t>
  </si>
  <si>
    <t>EVT_20260811_12|2026M643</t>
  </si>
  <si>
    <t>EVT_20260811_12|2026M649</t>
  </si>
  <si>
    <t>EVT_20260811_12|2026M659</t>
  </si>
  <si>
    <t>EVT_20260811_12|2026M666</t>
  </si>
  <si>
    <t>EVT_20260811_12|2026M699</t>
  </si>
  <si>
    <t>EVT_20260811_12|2026M731</t>
  </si>
  <si>
    <t>EVT_20260811_12|2026M737</t>
  </si>
  <si>
    <t>EVT_20260811_12|2026M755</t>
  </si>
  <si>
    <t>EVT_20260811_12|2026M756</t>
  </si>
  <si>
    <t>EVT_20260811_12|2026M776</t>
  </si>
  <si>
    <t>EVT_20260811_12|2026M792</t>
  </si>
  <si>
    <t>EVT_20260811_12|2026M804</t>
  </si>
  <si>
    <t>EVT_20260811_12|2026M818</t>
  </si>
  <si>
    <t>EVT_20260911_05|2025B612</t>
  </si>
  <si>
    <t>EVT_20260911_05|2025M646</t>
  </si>
  <si>
    <t>EVT_20260911_05|2025M774</t>
  </si>
  <si>
    <t>EVT_20260911_05|2026B614</t>
  </si>
  <si>
    <t>EVT_20260911_05|2026B621</t>
  </si>
  <si>
    <t>EVT_20260911_05|2026B627</t>
  </si>
  <si>
    <t>EVT_20260911_05|2026B663</t>
  </si>
  <si>
    <t>EVT_20260911_05|2026B676</t>
  </si>
  <si>
    <t>EVT_20260911_05|2026B682</t>
  </si>
  <si>
    <t>EVT_20260911_05|2026B693</t>
  </si>
  <si>
    <t>EVT_20260911_05|2026B708</t>
  </si>
  <si>
    <t>EVT_20260911_05|2026C610</t>
  </si>
  <si>
    <t>EVT_20260911_05|2026M608</t>
  </si>
  <si>
    <t>EVT_20260911_05|2026M613</t>
  </si>
  <si>
    <t>EVT_20260911_05|2026M614</t>
  </si>
  <si>
    <t>EVT_20260911_05|2026M615</t>
  </si>
  <si>
    <t>EVT_20260911_05|2026M638</t>
  </si>
  <si>
    <t>EVT_20260911_05|2026M639</t>
  </si>
  <si>
    <t>EVT_20260911_05|2026M642</t>
  </si>
  <si>
    <t>EVT_20260911_05|2026M644</t>
  </si>
  <si>
    <t>EVT_20260911_05|2026M671</t>
  </si>
  <si>
    <t>EVT_20260911_05|2026M676</t>
  </si>
  <si>
    <t>EVT_20260911_05|2026M679</t>
  </si>
  <si>
    <t>EVT_20260911_05|2026M702</t>
  </si>
  <si>
    <t>EVT_20260911_05|2026M711</t>
  </si>
  <si>
    <t>EVT_20260911_05|2026M738</t>
  </si>
  <si>
    <t>EVT_20260911_05|2026M773</t>
  </si>
  <si>
    <t>EVT_20260911_05|2026M797</t>
  </si>
  <si>
    <t>EVT_20260911_05|2026M805</t>
  </si>
  <si>
    <t>EVT_20260911_07|2023M611</t>
  </si>
  <si>
    <t>EVT_20260911_07|2023M703</t>
  </si>
  <si>
    <t>EVT_20260911_07|2025H005</t>
  </si>
  <si>
    <t>EVT_20260911_07|2025MM17</t>
  </si>
  <si>
    <t>EVT_20260911_07|2026B618</t>
  </si>
  <si>
    <t>EVT_20260911_07|2026B635</t>
  </si>
  <si>
    <t>EVT_20260911_07|2026B644</t>
  </si>
  <si>
    <t>EVT_20260911_07|2026B645</t>
  </si>
  <si>
    <t>EVT_20260911_07|2026B672</t>
  </si>
  <si>
    <t>EVT_20260911_07|2026B681</t>
  </si>
  <si>
    <t>EVT_20260911_07|2026M603</t>
  </si>
  <si>
    <t>EVT_20260911_07|2026M618</t>
  </si>
  <si>
    <t>EVT_20260911_07|2026M626</t>
  </si>
  <si>
    <t>EVT_20260911_07|2026M647</t>
  </si>
  <si>
    <t>EVT_20260911_07|2026M654</t>
  </si>
  <si>
    <t>EVT_20260911_07|2026M673</t>
  </si>
  <si>
    <t>EVT_20260911_07|2026M677</t>
  </si>
  <si>
    <t>EVT_20260911_07|2026M733</t>
  </si>
  <si>
    <t>EVT_20260911_07|2026M748</t>
  </si>
  <si>
    <t>EVT_20260911_07|2026M801</t>
  </si>
  <si>
    <t>EVT_20260911_07|2026M823</t>
  </si>
  <si>
    <t>EVT_20260911_08|2023M002</t>
  </si>
  <si>
    <t>EVT_20260911_08|2023M629</t>
  </si>
  <si>
    <t>EVT_20260911_08|2024M674</t>
  </si>
  <si>
    <t>EVT_20260911_08|2024M696</t>
  </si>
  <si>
    <t>EVT_20260911_08|2025B611</t>
  </si>
  <si>
    <t>EVT_20260911_08|2025MM33</t>
  </si>
  <si>
    <t>EVT_20260911_08|2026B616</t>
  </si>
  <si>
    <t>EVT_20260911_08|2026B658</t>
  </si>
  <si>
    <t>EVT_20260911_08|2026B706</t>
  </si>
  <si>
    <t>EVT_20260911_08|2026M631</t>
  </si>
  <si>
    <t>EVT_20260911_08|2026M633</t>
  </si>
  <si>
    <t>EVT_20260911_08|2026M653</t>
  </si>
  <si>
    <t>EVT_20260911_08|2026M656</t>
  </si>
  <si>
    <t>EVT_20260911_08|2026M664</t>
  </si>
  <si>
    <t>EVT_20260911_08|2026M682</t>
  </si>
  <si>
    <t>EVT_20260911_08|2026M701</t>
  </si>
  <si>
    <t>EVT_20260911_08|2026M704</t>
  </si>
  <si>
    <t>EVT_20260911_08|2026M705</t>
  </si>
  <si>
    <t>EVT_20260911_08|2026M712</t>
  </si>
  <si>
    <t>EVT_20260911_08|2026M716</t>
  </si>
  <si>
    <t>EVT_20260911_08|2026M722</t>
  </si>
  <si>
    <t>EVT_20260911_08|2026M734</t>
  </si>
  <si>
    <t>EVT_20260911_08|2026M739</t>
  </si>
  <si>
    <t>EVT_20260911_08|2026M740</t>
  </si>
  <si>
    <t>EVT_20260911_08|2026M759</t>
  </si>
  <si>
    <t>EVT_20260911_08|2026M760</t>
  </si>
  <si>
    <t>EVT_20260911_08|2026M763</t>
  </si>
  <si>
    <t>EVT_20260911_08|2026M765</t>
  </si>
  <si>
    <t>EVT_20260911_08|2026M767</t>
  </si>
  <si>
    <t>EVT_20260911_08|2026M771</t>
  </si>
  <si>
    <t>EVT_20260911_08|2026M787</t>
  </si>
  <si>
    <t>EVT_20260911_08|2026M799</t>
  </si>
  <si>
    <t>EVT_20260911_08|2026M816</t>
  </si>
  <si>
    <t>EVT_20260911_08|2026M820</t>
  </si>
  <si>
    <t>EVT_20260918_04|2026C607</t>
  </si>
  <si>
    <t>EVT_20260918_04|2026C608</t>
  </si>
  <si>
    <t>EVT_20260918_04|2026C611</t>
  </si>
  <si>
    <t>EVT_20260918_04|2026C615</t>
  </si>
  <si>
    <t>EVT_20260918_04|2026C618</t>
  </si>
  <si>
    <t>EVT_20260918_04|2026C622</t>
  </si>
  <si>
    <t>EVT_20260918_04|2026V608</t>
  </si>
  <si>
    <t>EVT_20260918_04|2026V609</t>
  </si>
  <si>
    <t>EVT_20260918_04|2026V610</t>
  </si>
  <si>
    <t>EVT_20260918_04|2026V617</t>
  </si>
  <si>
    <t>EVT_20260918_04|2026V620</t>
  </si>
  <si>
    <t>EVT_20260918_04|2026V622</t>
  </si>
  <si>
    <t>EVT_20260918_04|2026V623</t>
  </si>
  <si>
    <t>EVT_20260918_04|2026V629</t>
  </si>
  <si>
    <t>EVT_20260918_04|2026V633</t>
  </si>
  <si>
    <t>EVT_20260918_04|2026V634</t>
  </si>
  <si>
    <t>EVT_20260918_04|2026V637</t>
  </si>
  <si>
    <t>EVT_20260918_04|2026V639</t>
  </si>
  <si>
    <t>EVT_20260918_04|2026V640</t>
  </si>
  <si>
    <t>EVT_20260918_04|2026V646</t>
  </si>
  <si>
    <t>EVT_20260925_09|2023M002</t>
  </si>
  <si>
    <t>EVT_20260925_09|2023M629</t>
  </si>
  <si>
    <t>EVT_20260925_09|2024M674</t>
  </si>
  <si>
    <t>EVT_20260925_09|2024M696</t>
  </si>
  <si>
    <t>EVT_20260925_09|2025B611</t>
  </si>
  <si>
    <t>EVT_20260925_09|2025MM33</t>
  </si>
  <si>
    <t>EVT_20260925_09|2026B707</t>
  </si>
  <si>
    <t>EVT_20260925_09|2026M631</t>
  </si>
  <si>
    <t>EVT_20260925_09|2026M633</t>
  </si>
  <si>
    <t>EVT_20260925_09|2026M640</t>
  </si>
  <si>
    <t>EVT_20260925_09|2026M656</t>
  </si>
  <si>
    <t>EVT_20260925_09|2026M678</t>
  </si>
  <si>
    <t>EVT_20260925_09|2026M682</t>
  </si>
  <si>
    <t>EVT_20260925_09|2026M701</t>
  </si>
  <si>
    <t>EVT_20260925_09|2026M716</t>
  </si>
  <si>
    <t>EVT_20260925_09|2026M740</t>
  </si>
  <si>
    <t>EVT_20260925_09|2026M765</t>
  </si>
  <si>
    <t>EVT_20260925_09|2026M787</t>
  </si>
  <si>
    <t>EVT_20260925_09|2026M809</t>
  </si>
  <si>
    <t>EVT_20261009_10|2025V620</t>
  </si>
  <si>
    <t>EVT_20261009_10|2026C608</t>
  </si>
  <si>
    <t>EVT_20261009_10|2026C611</t>
  </si>
  <si>
    <t>EVT_20261009_10|2026C615</t>
  </si>
  <si>
    <t>EVT_20261009_10|2026C622</t>
  </si>
  <si>
    <t>EVT_20261009_10|2026V608</t>
  </si>
  <si>
    <t>EVT_20261009_10|2026V610</t>
  </si>
  <si>
    <t>EVT_20261009_10|2026V611</t>
  </si>
  <si>
    <t>EVT_20261009_10|2026V617</t>
  </si>
  <si>
    <t>EVT_20261009_10|2026V620</t>
  </si>
  <si>
    <t>EVT_20261009_10|2026V622</t>
  </si>
  <si>
    <t>EVT_20261009_10|2026V623</t>
  </si>
  <si>
    <t>EVT_20261009_10|2026V624</t>
  </si>
  <si>
    <t>EVT_20261009_10|2026V629</t>
  </si>
  <si>
    <t>EVT_20261009_10|2026V630</t>
  </si>
  <si>
    <t>EVT_20261009_10|2026V633</t>
  </si>
  <si>
    <t>EVT_20261009_10|2026V634</t>
  </si>
  <si>
    <t>EVT_20261009_10|2026V635</t>
  </si>
  <si>
    <t>EVT_20261009_10|2026V637</t>
  </si>
  <si>
    <t>EVT_20261009_10|2026V639</t>
  </si>
  <si>
    <t>EVT_20261009_10|2026V640</t>
  </si>
  <si>
    <t>EVT_20261009_10|2026V644</t>
  </si>
  <si>
    <t>EVT_20261009_10|2026V645</t>
  </si>
  <si>
    <t>EVT_20261009_10|2026V646</t>
  </si>
  <si>
    <t>EVT_20261009_10|2026V650</t>
  </si>
  <si>
    <t>EVT_20261009_13|2025M616</t>
  </si>
  <si>
    <t>EVT_20261009_13|2026B643</t>
  </si>
  <si>
    <t>EVT_20261009_13|2026B646</t>
  </si>
  <si>
    <t>EVT_20261009_13|2026B678</t>
  </si>
  <si>
    <t>EVT_20261009_13|2026B680</t>
  </si>
  <si>
    <t>EVT_20261009_13|2026B686</t>
  </si>
  <si>
    <t>EVT_20261009_13|2026B690</t>
  </si>
  <si>
    <t>EVT_20261009_13|2026C621</t>
  </si>
  <si>
    <t>EVT_20261009_13|2026M629</t>
  </si>
  <si>
    <t>EVT_20261009_13|2026M659</t>
  </si>
  <si>
    <t>EVT_20261009_13|2026M666</t>
  </si>
  <si>
    <t>EVT_20261009_13|2026M672</t>
  </si>
  <si>
    <t>EVT_20261009_13|2026M680</t>
  </si>
  <si>
    <t>EVT_20261009_13|2026M699</t>
  </si>
  <si>
    <t>EVT_20261009_13|2026M727</t>
  </si>
  <si>
    <t>EVT_20261009_13|2026M731</t>
  </si>
  <si>
    <t>EVT_20261009_13|2026M755</t>
  </si>
  <si>
    <t>EVT_20261009_13|2026M756</t>
  </si>
  <si>
    <t>EVT_20261009_13|2026M758</t>
  </si>
  <si>
    <t>EVT_20261009_13|2026M776</t>
  </si>
  <si>
    <t>EVT_20261009_13|2026M782</t>
  </si>
  <si>
    <t>EVT_20261009_13|2026M804</t>
  </si>
  <si>
    <t>EVT_20261009_13|2026M818</t>
  </si>
  <si>
    <t>EVT_20261009_16|2023M611</t>
  </si>
  <si>
    <t>EVT_20261009_16|2023M703</t>
  </si>
  <si>
    <t>EVT_20261009_16|2025B660</t>
  </si>
  <si>
    <t>EVT_20261009_16|2025H005</t>
  </si>
  <si>
    <t>EVT_20261009_16|2025M712</t>
  </si>
  <si>
    <t>EVT_20261009_16|2025M718</t>
  </si>
  <si>
    <t>EVT_20261009_16|2025MM17</t>
  </si>
  <si>
    <t>EVT_20261009_16|2026B618</t>
  </si>
  <si>
    <t>EVT_20261009_16|2026B635</t>
  </si>
  <si>
    <t>EVT_20261009_16|2026B645</t>
  </si>
  <si>
    <t>EVT_20261009_16|2026B661</t>
  </si>
  <si>
    <t>EVT_20261009_16|2026B672</t>
  </si>
  <si>
    <t>EVT_20261009_16|2026B674</t>
  </si>
  <si>
    <t>EVT_20261009_16|2026B681</t>
  </si>
  <si>
    <t>EVT_20261009_16|2026M603</t>
  </si>
  <si>
    <t>EVT_20261009_16|2026M610</t>
  </si>
  <si>
    <t>EVT_20261009_16|2026M618</t>
  </si>
  <si>
    <t>EVT_20261009_16|2026M626</t>
  </si>
  <si>
    <t>EVT_20261009_16|2026M647</t>
  </si>
  <si>
    <t>EVT_20261009_16|2026M654</t>
  </si>
  <si>
    <t>EVT_20261009_16|2026M665</t>
  </si>
  <si>
    <t>EVT_20261009_16|2026M673</t>
  </si>
  <si>
    <t>EVT_20261009_16|2026M677</t>
  </si>
  <si>
    <t>EVT_20261009_16|2026M710</t>
  </si>
  <si>
    <t>EVT_20261009_16|2026M733</t>
  </si>
  <si>
    <t>EVT_20261009_16|2026M748</t>
  </si>
  <si>
    <t>EVT_20261009_16|2026M753</t>
  </si>
  <si>
    <t>EVT_20261009_16|2026M801</t>
  </si>
  <si>
    <t>EVT_20261009_16|2026M823</t>
  </si>
  <si>
    <t>EVT_20261009_17|2025B624</t>
  </si>
  <si>
    <t>EVT_20261009_17|2026B621</t>
  </si>
  <si>
    <t>EVT_20261009_17|2026B639</t>
  </si>
  <si>
    <t>EVT_20261009_17|2026B682</t>
  </si>
  <si>
    <t>EVT_20261009_17|2026B693</t>
  </si>
  <si>
    <t>EVT_20261009_17|2026B708</t>
  </si>
  <si>
    <t>EVT_20261009_17|2026C610</t>
  </si>
  <si>
    <t>EVT_20261009_17|2026M608</t>
  </si>
  <si>
    <t>EVT_20261009_17|2026M613</t>
  </si>
  <si>
    <t>EVT_20261009_17|2026M615</t>
  </si>
  <si>
    <t>EVT_20261009_17|2026M621</t>
  </si>
  <si>
    <t>EVT_20261009_17|2026M639</t>
  </si>
  <si>
    <t>EVT_20261009_17|2026M644</t>
  </si>
  <si>
    <t>EVT_20261009_17|2026M671</t>
  </si>
  <si>
    <t>EVT_20261009_17|2026M676</t>
  </si>
  <si>
    <t>EVT_20261009_17|2026M679</t>
  </si>
  <si>
    <t>EVT_20261009_17|2026M702</t>
  </si>
  <si>
    <t>EVT_20261009_17|2026M711</t>
  </si>
  <si>
    <t>EVT_20261009_17|2026M725</t>
  </si>
  <si>
    <t>EVT_20261009_17|2026M773</t>
  </si>
  <si>
    <t>EVT_20261009_17|2026M810</t>
  </si>
  <si>
    <t>EVT_20261011_14|2026B643</t>
  </si>
  <si>
    <t>EVT_20261011_14|2026B686</t>
  </si>
  <si>
    <t>EVT_20261011_14|2026B690</t>
  </si>
  <si>
    <t>EVT_20261011_14|2026M629</t>
  </si>
  <si>
    <t>EVT_20261011_14|2026M659</t>
  </si>
  <si>
    <t>EVT_20261011_14|2026M666</t>
  </si>
  <si>
    <t>EVT_20261011_14|2026M699</t>
  </si>
  <si>
    <t>EVT_20261011_14|2026M758</t>
  </si>
  <si>
    <t>EVT_20261011_14|2026M776</t>
  </si>
  <si>
    <t>EVT_20261011_14|2026M782</t>
  </si>
  <si>
    <t>EVT_20261011_14|2026M804</t>
  </si>
  <si>
    <t>EVT_20261011_14|2026M818</t>
  </si>
  <si>
    <t>EVT_20261011_15|2026B607</t>
  </si>
  <si>
    <t>EVT_20261011_15|2026B614</t>
  </si>
  <si>
    <t>EVT_20261011_15|2026B616</t>
  </si>
  <si>
    <t>EVT_20261011_15|2026B618</t>
  </si>
  <si>
    <t>EVT_20261011_15|2026B621</t>
  </si>
  <si>
    <t>EVT_20261011_15|2026B627</t>
  </si>
  <si>
    <t>EVT_20261011_15|2026B634</t>
  </si>
  <si>
    <t>EVT_20261011_15|2026B635</t>
  </si>
  <si>
    <t>EVT_20261011_15|2026B639</t>
  </si>
  <si>
    <t>EVT_20261011_15|2026B643</t>
  </si>
  <si>
    <t>EVT_20261011_15|2026B644</t>
  </si>
  <si>
    <t>EVT_20261011_15|2026B645</t>
  </si>
  <si>
    <t>EVT_20261011_15|2026B656</t>
  </si>
  <si>
    <t>EVT_20261011_15|2026B667</t>
  </si>
  <si>
    <t>EVT_20261011_15|2026B672</t>
  </si>
  <si>
    <t>EVT_20261011_15|2026B674</t>
  </si>
  <si>
    <t>EVT_20261011_15|2026B676</t>
  </si>
  <si>
    <t>EVT_20261011_15|2026B678</t>
  </si>
  <si>
    <t>EVT_20261011_15|2026B681</t>
  </si>
  <si>
    <t>EVT_20261011_15|2026B682</t>
  </si>
  <si>
    <t>EVT_20261011_15|2026B686</t>
  </si>
  <si>
    <t>EVT_20261011_15|2026B690</t>
  </si>
  <si>
    <t>EVT_20261011_15|2026B693</t>
  </si>
  <si>
    <t>EVT_20261011_15|2026B694</t>
  </si>
  <si>
    <t>EVT_20261011_15|2026B706</t>
  </si>
  <si>
    <t>EVT_20261011_15|2026B707</t>
  </si>
  <si>
    <t>EVT_20261011_15|2026B708</t>
  </si>
  <si>
    <t>EVT_20261011_15|2026B711</t>
  </si>
  <si>
    <t>EVT_20261011_15|2026C608</t>
  </si>
  <si>
    <t>EVT_20261011_15|2026C610</t>
  </si>
  <si>
    <t>EVT_20261011_15|2026C611</t>
  </si>
  <si>
    <t>EVT_20261011_15|2026C615</t>
  </si>
  <si>
    <t>EVT_20261011_15|2026C621</t>
  </si>
  <si>
    <t>EVT_20261011_15|2026C622</t>
  </si>
  <si>
    <t>EVT_20261011_15|2026M603</t>
  </si>
  <si>
    <t>EVT_20261011_15|2026M608</t>
  </si>
  <si>
    <t>EVT_20261011_15|2026M610</t>
  </si>
  <si>
    <t>EVT_20261011_15|2026M613</t>
  </si>
  <si>
    <t>EVT_20261011_15|2026M614</t>
  </si>
  <si>
    <t>EVT_20261011_15|2026M615</t>
  </si>
  <si>
    <t>EVT_20261011_15|2026M616</t>
  </si>
  <si>
    <t>EVT_20261011_15|2026M621</t>
  </si>
  <si>
    <t>EVT_20261011_15|2026M626</t>
  </si>
  <si>
    <t>EVT_20261011_15|2026M627</t>
  </si>
  <si>
    <t>EVT_20261011_15|2026M628</t>
  </si>
  <si>
    <t>EVT_20261011_15|2026M631</t>
  </si>
  <si>
    <t>EVT_20261011_15|2026M632</t>
  </si>
  <si>
    <t>EVT_20261011_15|2026M633</t>
  </si>
  <si>
    <t>EVT_20261011_15|2026M638</t>
  </si>
  <si>
    <t>EVT_20261011_15|2026M639</t>
  </si>
  <si>
    <t>EVT_20261011_15|2026M640</t>
  </si>
  <si>
    <t>EVT_20261011_15|2026M643</t>
  </si>
  <si>
    <t>EVT_20261011_15|2026M644</t>
  </si>
  <si>
    <t>EVT_20261011_15|2026M649</t>
  </si>
  <si>
    <t>EVT_20261011_15|2026M653</t>
  </si>
  <si>
    <t>EVT_20261011_15|2026M654</t>
  </si>
  <si>
    <t>EVT_20261011_15|2026M656</t>
  </si>
  <si>
    <t>EVT_20261011_15|2026M660</t>
  </si>
  <si>
    <t>EVT_20261011_15|2026M665</t>
  </si>
  <si>
    <t>EVT_20261011_15|2026M666</t>
  </si>
  <si>
    <t>EVT_20261011_15|2026M671</t>
  </si>
  <si>
    <t>EVT_20261011_15|2026M672</t>
  </si>
  <si>
    <t>EVT_20261011_15|2026M673</t>
  </si>
  <si>
    <t>EVT_20261011_15|2026M676</t>
  </si>
  <si>
    <t>EVT_20261011_15|2026M678</t>
  </si>
  <si>
    <t>EVT_20261011_15|2026M679</t>
  </si>
  <si>
    <t>EVT_20261011_15|2026M680</t>
  </si>
  <si>
    <t>EVT_20261011_15|2026M681</t>
  </si>
  <si>
    <t>EVT_20261011_15|2026M687</t>
  </si>
  <si>
    <t>EVT_20261011_15|2026M699</t>
  </si>
  <si>
    <t>EVT_20261011_15|2026M701</t>
  </si>
  <si>
    <t>EVT_20261011_15|2026M702</t>
  </si>
  <si>
    <t>EVT_20261011_15|2026M704</t>
  </si>
  <si>
    <t>EVT_20261011_15|2026M705</t>
  </si>
  <si>
    <t>EVT_20261011_15|2026M710</t>
  </si>
  <si>
    <t>EVT_20261011_15|2026M711</t>
  </si>
  <si>
    <t>EVT_20261011_15|2026M722</t>
  </si>
  <si>
    <t>EVT_20261011_15|2026M725</t>
  </si>
  <si>
    <t>EVT_20261011_15|2026M731</t>
  </si>
  <si>
    <t>EVT_20261011_15|2026M733</t>
  </si>
  <si>
    <t>EVT_20261011_15|2026M734</t>
  </si>
  <si>
    <t>EVT_20261011_15|2026M738</t>
  </si>
  <si>
    <t>EVT_20261011_15|2026M739</t>
  </si>
  <si>
    <t>EVT_20261011_15|2026M740</t>
  </si>
  <si>
    <t>EVT_20261011_15|2026M744</t>
  </si>
  <si>
    <t>EVT_20261011_15|2026M748</t>
  </si>
  <si>
    <t>EVT_20261011_15|2026M750</t>
  </si>
  <si>
    <t>EVT_20261011_15|2026M751</t>
  </si>
  <si>
    <t>EVT_20261011_15|2026M755</t>
  </si>
  <si>
    <t>EVT_20261011_15|2026M756</t>
  </si>
  <si>
    <t>EVT_20261011_15|2026M758</t>
  </si>
  <si>
    <t>EVT_20261011_15|2026M759</t>
  </si>
  <si>
    <t>EVT_20261011_15|2026M760</t>
  </si>
  <si>
    <t>EVT_20261011_15|2026M763</t>
  </si>
  <si>
    <t>EVT_20261011_15|2026M765</t>
  </si>
  <si>
    <t>EVT_20261011_15|2026M766</t>
  </si>
  <si>
    <t>EVT_20261011_15|2026M767</t>
  </si>
  <si>
    <t>EVT_20261011_15|2026M771</t>
  </si>
  <si>
    <t>EVT_20261011_15|2026M773</t>
  </si>
  <si>
    <t>EVT_20261011_15|2026M776</t>
  </si>
  <si>
    <t>EVT_20261011_15|2026M787</t>
  </si>
  <si>
    <t>EVT_20261011_15|2026M792</t>
  </si>
  <si>
    <t>EVT_20261011_15|2026M797</t>
  </si>
  <si>
    <t>EVT_20261011_15|2026M799</t>
  </si>
  <si>
    <t>EVT_20261011_15|2026M804</t>
  </si>
  <si>
    <t>EVT_20261011_15|2026M805</t>
  </si>
  <si>
    <t>EVT_20261011_15|2026M809</t>
  </si>
  <si>
    <t>EVT_20261011_15|2026M814</t>
  </si>
  <si>
    <t>EVT_20261011_15|2026M816</t>
  </si>
  <si>
    <t>EVT_20261011_15|2026M818</t>
  </si>
  <si>
    <t>EVT_20261011_15|2026M820</t>
  </si>
  <si>
    <t>EVT_20261011_15|2026M823</t>
  </si>
  <si>
    <t>EVT_20261011_15|2026V608</t>
  </si>
  <si>
    <t>EVT_20261011_15|2026V620</t>
  </si>
  <si>
    <t>EVT_20261011_15|2026V633</t>
  </si>
  <si>
    <t>EVT_20261011_15|2026V634</t>
  </si>
  <si>
    <t>EVT_20261011_15|2026V637</t>
  </si>
  <si>
    <t>EVT_20261011_15|2026V639</t>
  </si>
  <si>
    <t>EVT_20261011_15|2026V645</t>
  </si>
  <si>
    <t>EVT_20261011_15|2026V646</t>
  </si>
  <si>
    <t>EVT_20261011_15|2026V647</t>
  </si>
  <si>
    <t>Setting</t>
  </si>
  <si>
    <t>Value</t>
  </si>
  <si>
    <t>Annual Reset Month</t>
  </si>
  <si>
    <t>Attendance ID Entry Starts Row</t>
  </si>
  <si>
    <t>Attendance ID Entry Column</t>
  </si>
  <si>
    <t>Template Sheet Name</t>
  </si>
  <si>
    <t>EventTemplate</t>
  </si>
  <si>
    <t>Dorm Configuration</t>
  </si>
  <si>
    <t>Dorm Name</t>
  </si>
  <si>
    <t>Deactivated At</t>
  </si>
  <si>
    <t>Default dorm</t>
  </si>
  <si>
    <t>final</t>
  </si>
  <si>
    <t>Deactivated via menu; historical records preserved.</t>
  </si>
  <si>
    <t>New</t>
  </si>
  <si>
    <t>Test Dorm</t>
  </si>
  <si>
    <t>Testing</t>
  </si>
  <si>
    <t>Testing Dorm</t>
  </si>
  <si>
    <t>Testt</t>
  </si>
  <si>
    <t>EVT_20260516_232826|2024M735</t>
  </si>
  <si>
    <t>EVT_20260516_232826</t>
  </si>
  <si>
    <t>Takoyaki Party2</t>
  </si>
  <si>
    <t>EVT_20260516_Takoyaki_Party2</t>
  </si>
  <si>
    <t>EVT_20260626_01|2024M735</t>
  </si>
  <si>
    <t>EVT_20260626_01</t>
  </si>
  <si>
    <t>Dorm B CCM</t>
  </si>
  <si>
    <t>EVT_20260626_Dorm_B_CCM</t>
  </si>
  <si>
    <t>KH Red Multipurpose Room</t>
  </si>
  <si>
    <t>2025V622</t>
  </si>
  <si>
    <t>Dorm K2</t>
  </si>
  <si>
    <t>2026C603</t>
  </si>
  <si>
    <t>2026C605</t>
  </si>
  <si>
    <t>2026C617</t>
  </si>
  <si>
    <t>2026C619</t>
  </si>
  <si>
    <t>2026C620</t>
  </si>
  <si>
    <t>2026C623</t>
  </si>
  <si>
    <t>2026V605</t>
  </si>
  <si>
    <t>2026V614</t>
  </si>
  <si>
    <t>2026V615</t>
  </si>
  <si>
    <t>2026V621</t>
  </si>
  <si>
    <t>2026V631</t>
  </si>
  <si>
    <t>2026V652</t>
  </si>
  <si>
    <t>Dorm D Common Area</t>
  </si>
  <si>
    <t>2024M35</t>
  </si>
  <si>
    <t>Imported dorm: Dorm D</t>
  </si>
  <si>
    <t>OPI MOHAMMAD SAMIR SAKIB</t>
  </si>
  <si>
    <t>Dorm E 1F</t>
  </si>
  <si>
    <t>Imported dorm: Dorm E</t>
  </si>
  <si>
    <t>Dorm A 1F Lobby</t>
  </si>
  <si>
    <t>Imported dorm: Dorm A</t>
  </si>
  <si>
    <t>2026M692</t>
  </si>
  <si>
    <t>2026M806</t>
  </si>
  <si>
    <t>2026M362</t>
  </si>
  <si>
    <t>2026M685</t>
  </si>
  <si>
    <t>2026M736</t>
  </si>
  <si>
    <t>2026M689</t>
  </si>
  <si>
    <t>2026M645</t>
  </si>
  <si>
    <t>2026C609</t>
  </si>
  <si>
    <t>Imported dorm: Dorm B</t>
  </si>
  <si>
    <t>2026M714</t>
  </si>
  <si>
    <t>2026B657</t>
  </si>
  <si>
    <t>2026B697</t>
  </si>
  <si>
    <t>2026M655</t>
  </si>
  <si>
    <t>2026M683</t>
  </si>
  <si>
    <t>2026M688</t>
  </si>
  <si>
    <t>2026M696</t>
  </si>
  <si>
    <t>2026M718</t>
  </si>
  <si>
    <t>2026M724</t>
  </si>
  <si>
    <t>2026M746</t>
  </si>
  <si>
    <t>2026M754</t>
  </si>
  <si>
    <t>2026M780</t>
  </si>
  <si>
    <t>WA51A160</t>
  </si>
  <si>
    <t>WB12A048</t>
  </si>
  <si>
    <t>WB12A063</t>
  </si>
  <si>
    <t>2026M719</t>
  </si>
  <si>
    <t>2026M732</t>
  </si>
  <si>
    <t>2026M788</t>
  </si>
  <si>
    <t>2026B705</t>
  </si>
  <si>
    <t>2026M064</t>
  </si>
  <si>
    <t>2026B665</t>
  </si>
  <si>
    <t>2026M609</t>
  </si>
  <si>
    <t>2026M703</t>
  </si>
  <si>
    <t>2026M0606</t>
  </si>
  <si>
    <t>2026M781</t>
  </si>
  <si>
    <t>2026M791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</si>
</sst>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m-dd hh:mm"/>
    <numFmt numFmtId="166" formatCode="0.0%"/>
    <numFmt numFmtId="167" formatCode="m/d/yyyy h:mm:ss"/>
  </numFmts>
  <fonts count="15">
    <font>
      <sz val="11.0"/>
      <color rgb="FF000000"/>
      <name val="Carlito"/>
      <scheme val="minor"/>
    </font>
    <font>
      <b/>
      <sz val="16.0"/>
      <color rgb="FFFFFFFF"/>
      <name val="Carlito"/>
    </font>
    <font>
      <sz val="11.0"/>
      <color theme="1"/>
      <name val="Carlito"/>
    </font>
    <font>
      <b/>
      <sz val="11.0"/>
      <color rgb="FFFFFFFF"/>
      <name val="Carlito"/>
    </font>
    <font>
      <b/>
      <sz val="11.0"/>
      <color theme="1"/>
      <name val="Carlito"/>
    </font>
    <font/>
    <font>
      <b/>
      <color rgb="FFFFFFFF"/>
      <name val="Carlito"/>
      <scheme val="minor"/>
    </font>
    <font>
      <color theme="1"/>
      <name val="Carlito"/>
      <scheme val="minor"/>
    </font>
    <font>
      <b/>
      <color theme="1"/>
      <name val="Carlito"/>
      <scheme val="minor"/>
    </font>
    <font>
      <i/>
      <color rgb="FF666666"/>
      <name val="Carlito"/>
      <scheme val="minor"/>
    </font>
    <font>
      <i/>
      <color rgb="FF999999"/>
      <name val="Carlito"/>
      <scheme val="minor"/>
    </font>
    <font>
      <sz val="12.0"/>
      <color rgb="FF000000"/>
      <name val="Helvetica"/>
    </font>
    <font>
      <color rgb="FF000000"/>
      <name val="Carlito"/>
      <scheme val="minor"/>
    </font>
    <font>
      <sz val="11.0"/>
      <color rgb="FF000000"/>
      <name val="Calibri"/>
    </font>
    <font>
      <b/>
      <sz val="14.0"/>
      <color rgb="FFFFFFFF"/>
      <name val="Carlito"/>
    </font>
  </fonts>
  <fills count="10">
    <fill>
      <patternFill patternType="none"/>
    </fill>
    <fill>
      <patternFill patternType="lightGray"/>
    </fill>
    <fill>
      <patternFill patternType="solid">
        <fgColor rgb="FF0B1F33"/>
        <bgColor rgb="FF0B1F33"/>
      </patternFill>
    </fill>
    <fill>
      <patternFill patternType="solid">
        <fgColor rgb="FF1F4E78"/>
        <bgColor rgb="FF1F4E78"/>
      </patternFill>
    </fill>
    <fill>
      <patternFill patternType="solid">
        <fgColor rgb="FF666666"/>
        <bgColor rgb="FF666666"/>
      </patternFill>
    </fill>
    <fill>
      <patternFill patternType="solid">
        <fgColor rgb="FFF4CCCC"/>
        <bgColor rgb="FFF4CCCC"/>
      </patternFill>
    </fill>
    <fill>
      <patternFill patternType="solid">
        <fgColor rgb="FFD9EAF7"/>
        <bgColor rgb="FFD9EAF7"/>
      </patternFill>
    </fill>
    <fill>
      <patternFill patternType="solid">
        <fgColor rgb="FFFFF2CC"/>
        <bgColor rgb="FFFFF2CC"/>
      </patternFill>
    </fill>
    <fill>
      <patternFill patternType="solid">
        <fgColor rgb="FFDDEBF7"/>
        <bgColor rgb="FFDDEBF7"/>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0" fillId="0" fontId="2" numFmtId="0" xfId="0" applyAlignment="1" applyFont="1">
      <alignment vertical="bottom"/>
    </xf>
    <xf borderId="0" fillId="3" fontId="3" numFmtId="0" xfId="0" applyAlignment="1" applyFill="1" applyFont="1">
      <alignment horizontal="center" shrinkToFit="0" wrapText="1"/>
    </xf>
    <xf borderId="0" fillId="0" fontId="2" numFmtId="0" xfId="0" applyAlignment="1" applyFont="1">
      <alignment shrinkToFit="0" vertical="top" wrapText="1"/>
    </xf>
    <xf borderId="0" fillId="3" fontId="3" numFmtId="0" xfId="0" applyAlignment="1" applyFill="1" applyFont="1">
      <alignment horizontal="center" readingOrder="0" shrinkToFit="0" wrapText="1"/>
    </xf>
    <xf borderId="0" fillId="3" fontId="3" numFmtId="0" xfId="0" applyAlignment="1" applyFill="1" applyFont="1">
      <alignment horizontal="center" readingOrder="0"/>
    </xf>
    <xf borderId="0" fillId="3" fontId="3" numFmtId="0" xfId="0" applyAlignment="1" applyFill="1" applyFont="1">
      <alignment horizontal="center" shrinkToFit="0" wrapText="1"/>
    </xf>
    <xf borderId="0" fillId="3" fontId="2" numFmtId="0" xfId="0" applyFill="1" applyFont="1"/>
    <xf borderId="1" fillId="0" fontId="4" numFmtId="0" xfId="0" applyAlignment="1" applyBorder="1" applyFont="1">
      <alignment horizontal="center" readingOrder="0" shrinkToFit="0" wrapText="1"/>
    </xf>
    <xf borderId="2" fillId="0" fontId="2" numFmtId="0" xfId="0" applyAlignment="1" applyBorder="1" applyFont="1">
      <alignment readingOrder="0" shrinkToFit="0" wrapText="1"/>
    </xf>
    <xf borderId="3" fillId="0" fontId="5" numFmtId="0" xfId="0" applyBorder="1" applyFont="1"/>
    <xf borderId="0" fillId="0" fontId="2" numFmtId="0" xfId="0" applyAlignment="1" applyFont="1">
      <alignment readingOrder="0"/>
    </xf>
    <xf borderId="1" fillId="0" fontId="4" numFmtId="0" xfId="0" applyAlignment="1" applyBorder="1" applyFont="1">
      <alignment readingOrder="0"/>
    </xf>
    <xf borderId="1" fillId="0" fontId="4" numFmtId="0" xfId="0" applyAlignment="1" applyBorder="1" applyFont="1">
      <alignment horizontal="center" readingOrder="0" shrinkToFit="0" wrapText="1"/>
    </xf>
    <xf borderId="4" fillId="0" fontId="5" numFmtId="0" xfId="0" applyBorder="1" applyFont="1"/>
    <xf borderId="0" fillId="0" fontId="2" numFmtId="0" xfId="0" applyAlignment="1" applyFont="1">
      <alignment shrinkToFit="0" wrapText="1"/>
    </xf>
    <xf borderId="0" fillId="2" fontId="6" numFmtId="0" xfId="0" applyAlignment="1" applyFill="1" applyFont="1">
      <alignment horizontal="center" readingOrder="0"/>
    </xf>
    <xf borderId="0" fillId="0" fontId="7" numFmtId="0" xfId="0" applyFont="1"/>
    <xf borderId="0" fillId="0" fontId="7" numFmtId="0" xfId="0" applyAlignment="1" applyFont="1">
      <alignment readingOrder="0"/>
    </xf>
    <xf borderId="0" fillId="0" fontId="7" numFmtId="164" xfId="0" applyFont="1" applyNumberFormat="1"/>
    <xf borderId="0" fillId="0" fontId="7" numFmtId="0" xfId="0" applyFont="1"/>
    <xf borderId="0" fillId="0" fontId="7" numFmtId="1" xfId="0" applyFont="1" applyNumberFormat="1"/>
    <xf borderId="0" fillId="0" fontId="7" numFmtId="165" xfId="0" applyFont="1" applyNumberFormat="1"/>
    <xf borderId="0" fillId="3" fontId="6" numFmtId="0" xfId="0" applyAlignment="1" applyFill="1" applyFont="1">
      <alignment horizontal="center" readingOrder="0"/>
    </xf>
    <xf borderId="0" fillId="3" fontId="6" numFmtId="0" xfId="0" applyAlignment="1" applyFill="1" applyFont="1">
      <alignment horizontal="center"/>
    </xf>
    <xf borderId="0" fillId="0" fontId="7" numFmtId="166" xfId="0" applyFont="1" applyNumberFormat="1"/>
    <xf borderId="0" fillId="4" fontId="6" numFmtId="0" xfId="0" applyAlignment="1" applyFill="1" applyFont="1">
      <alignment horizontal="center" readingOrder="0"/>
    </xf>
    <xf borderId="0" fillId="0" fontId="8" numFmtId="166" xfId="0" applyFont="1" applyNumberFormat="1"/>
    <xf borderId="0" fillId="0" fontId="7" numFmtId="164" xfId="0" applyAlignment="1" applyFont="1" applyNumberFormat="1">
      <alignment readingOrder="0"/>
    </xf>
    <xf borderId="0" fillId="5" fontId="8" numFmtId="0" xfId="0" applyAlignment="1" applyFill="1" applyFont="1">
      <alignment readingOrder="0"/>
    </xf>
    <xf borderId="0" fillId="3" fontId="6" numFmtId="164" xfId="0" applyAlignment="1" applyFill="1" applyFont="1" applyNumberFormat="1">
      <alignment horizontal="center" readingOrder="0"/>
    </xf>
    <xf borderId="0" fillId="3" fontId="6" numFmtId="166" xfId="0" applyAlignment="1" applyFill="1" applyFont="1" applyNumberFormat="1">
      <alignment horizontal="center" readingOrder="0"/>
    </xf>
    <xf borderId="0" fillId="0" fontId="7" numFmtId="167" xfId="0" applyAlignment="1" applyFont="1" applyNumberFormat="1">
      <alignment readingOrder="0"/>
    </xf>
    <xf borderId="0" fillId="0" fontId="7" numFmtId="0" xfId="0" applyAlignment="1" applyFont="1">
      <alignment readingOrder="0"/>
    </xf>
    <xf borderId="0" fillId="0" fontId="7" numFmtId="14" xfId="0" applyAlignment="1" applyFont="1" applyNumberFormat="1">
      <alignment readingOrder="0"/>
    </xf>
    <xf borderId="0" fillId="0" fontId="9" numFmtId="0" xfId="0" applyAlignment="1" applyFont="1">
      <alignment readingOrder="0" shrinkToFit="0" wrapText="1"/>
    </xf>
    <xf borderId="0" fillId="6" fontId="8" numFmtId="0" xfId="0" applyAlignment="1" applyFill="1" applyFont="1">
      <alignment readingOrder="0"/>
    </xf>
    <xf borderId="0" fillId="0" fontId="10" numFmtId="0" xfId="0" applyAlignment="1" applyFont="1">
      <alignment readingOrder="0"/>
    </xf>
    <xf borderId="0" fillId="0" fontId="10" numFmtId="164" xfId="0" applyAlignment="1" applyFont="1" applyNumberFormat="1">
      <alignment readingOrder="0"/>
    </xf>
    <xf borderId="0" fillId="0" fontId="11" numFmtId="0" xfId="0" applyAlignment="1" applyFont="1">
      <alignment readingOrder="0" shrinkToFit="0" vertical="bottom" wrapText="0"/>
    </xf>
    <xf borderId="0" fillId="0" fontId="12" numFmtId="0" xfId="0" applyAlignment="1" applyFont="1">
      <alignment readingOrder="0" vertical="top"/>
    </xf>
    <xf borderId="0" fillId="0" fontId="11" numFmtId="0" xfId="0" applyAlignment="1" applyFont="1">
      <alignment horizontal="right" readingOrder="0" shrinkToFit="0" vertical="bottom" wrapText="0"/>
    </xf>
    <xf borderId="0" fillId="0" fontId="11" numFmtId="49" xfId="0" applyAlignment="1" applyFont="1" applyNumberFormat="1">
      <alignment readingOrder="0" shrinkToFit="0" vertical="bottom" wrapText="0"/>
    </xf>
    <xf borderId="0" fillId="0" fontId="12" numFmtId="164" xfId="0" applyAlignment="1" applyFont="1" applyNumberFormat="1">
      <alignment readingOrder="0" vertical="top"/>
    </xf>
    <xf borderId="0" fillId="7" fontId="7" numFmtId="0" xfId="0" applyFill="1" applyFont="1"/>
    <xf borderId="0" fillId="7" fontId="7" numFmtId="0" xfId="0" applyFill="1" applyFont="1"/>
    <xf borderId="0" fillId="7" fontId="7" numFmtId="0" xfId="0" applyAlignment="1" applyFill="1" applyFont="1">
      <alignment readingOrder="0"/>
    </xf>
    <xf borderId="0" fillId="7" fontId="7" numFmtId="164" xfId="0" applyAlignment="1" applyFill="1" applyFont="1" applyNumberFormat="1">
      <alignment readingOrder="0"/>
    </xf>
    <xf borderId="0" fillId="8" fontId="13" numFmtId="0" xfId="0" applyAlignment="1" applyFill="1" applyFont="1">
      <alignment readingOrder="0" shrinkToFit="0" vertical="bottom" wrapText="0"/>
    </xf>
    <xf borderId="0" fillId="0" fontId="13" numFmtId="0" xfId="0" applyAlignment="1" applyFont="1">
      <alignment readingOrder="0" shrinkToFit="0" vertical="bottom" wrapText="0"/>
    </xf>
    <xf borderId="0" fillId="0" fontId="7" numFmtId="165" xfId="0" applyAlignment="1" applyFont="1" applyNumberFormat="1">
      <alignment readingOrder="0"/>
    </xf>
    <xf borderId="0" fillId="2" fontId="14" numFmtId="0" xfId="0" applyAlignment="1" applyFill="1" applyFont="1">
      <alignment horizontal="center" readingOrder="0" shrinkToFit="0" vertical="center" wrapText="1"/>
    </xf>
    <xf borderId="0" fillId="0" fontId="2" numFmtId="0" xfId="0" applyAlignment="1" applyFont="1">
      <alignment readingOrder="0" shrinkToFit="0" wrapText="1"/>
    </xf>
    <xf borderId="0" fillId="0" fontId="4" numFmtId="166" xfId="0" applyAlignment="1" applyFont="1" applyNumberFormat="1">
      <alignment shrinkToFit="0" wrapText="1"/>
    </xf>
    <xf borderId="0" fillId="0" fontId="2" numFmtId="164" xfId="0" applyAlignment="1" applyFont="1" applyNumberFormat="1">
      <alignment readingOrder="0" shrinkToFit="0" wrapText="1"/>
    </xf>
    <xf borderId="0" fillId="0" fontId="2" numFmtId="164" xfId="0" applyAlignment="1" applyFont="1" applyNumberFormat="1">
      <alignment shrinkToFit="0" wrapText="1"/>
    </xf>
    <xf borderId="0" fillId="0" fontId="2" numFmtId="166" xfId="0" applyAlignment="1" applyFont="1" applyNumberFormat="1">
      <alignment shrinkToFit="0" wrapText="1"/>
    </xf>
    <xf borderId="0" fillId="3" fontId="3" numFmtId="0" xfId="0" applyAlignment="1" applyFill="1" applyFont="1">
      <alignment horizontal="center" readingOrder="0" shrinkToFit="0" vertical="center" wrapText="1"/>
    </xf>
    <xf borderId="0" fillId="3" fontId="3" numFmtId="164" xfId="0" applyAlignment="1" applyFill="1" applyFont="1" applyNumberFormat="1">
      <alignment horizontal="center" readingOrder="0" shrinkToFit="0" vertical="center" wrapText="1"/>
    </xf>
    <xf borderId="0" fillId="3" fontId="3" numFmtId="166" xfId="0" applyAlignment="1" applyFill="1" applyFont="1" applyNumberFormat="1">
      <alignment horizontal="center" readingOrder="0" shrinkToFit="0" vertical="center" wrapText="1"/>
    </xf>
    <xf borderId="0" fillId="0" fontId="2" numFmtId="164" xfId="0" applyFont="1" applyNumberFormat="1"/>
    <xf borderId="0" fillId="0" fontId="2" numFmtId="166" xfId="0" applyFont="1" applyNumberFormat="1"/>
    <xf borderId="0" fillId="0" fontId="2" numFmtId="11" xfId="0" applyAlignment="1" applyFont="1" applyNumberFormat="1">
      <alignment readingOrder="0" shrinkToFit="0" wrapText="1"/>
    </xf>
    <xf borderId="0" fillId="0" fontId="7" numFmtId="0" xfId="0" applyFont="1"/>
    <xf borderId="0" fillId="0" fontId="2" numFmtId="166" xfId="0" applyAlignment="1" applyFont="1" applyNumberFormat="1">
      <alignment readingOrder="0" shrinkToFit="0" wrapText="1"/>
    </xf>
    <xf borderId="5" fillId="3" fontId="6" numFmtId="0" xfId="0" applyAlignment="1" applyBorder="1" applyFill="1" applyFont="1">
      <alignment horizontal="center" readingOrder="0"/>
    </xf>
    <xf borderId="5" fillId="0" fontId="7" numFmtId="0" xfId="0" applyBorder="1" applyFont="1"/>
    <xf borderId="5" fillId="0" fontId="7" numFmtId="0" xfId="0" applyBorder="1" applyFont="1"/>
    <xf borderId="0" fillId="0" fontId="7" numFmtId="11" xfId="0" applyAlignment="1" applyFont="1" applyNumberFormat="1">
      <alignment readingOrder="0"/>
    </xf>
    <xf borderId="0" fillId="0" fontId="2" numFmtId="165" xfId="0" applyAlignment="1" applyFont="1" applyNumberFormat="1">
      <alignment readingOrder="0" shrinkToFit="0" wrapText="1"/>
    </xf>
    <xf borderId="0" fillId="0" fontId="2" numFmtId="167" xfId="0" applyAlignment="1" applyFont="1" applyNumberFormat="1">
      <alignment readingOrder="0" shrinkToFit="0" wrapText="1"/>
    </xf>
    <xf borderId="0" fillId="0" fontId="2" numFmtId="165" xfId="0" applyAlignment="1" applyFont="1" applyNumberFormat="1">
      <alignment shrinkToFit="0" wrapText="1"/>
    </xf>
    <xf borderId="0" fillId="0" fontId="2" numFmtId="165" xfId="0" applyFont="1" applyNumberFormat="1"/>
    <xf borderId="0" fillId="7" fontId="7" numFmtId="0" xfId="0" applyFill="1" applyFont="1"/>
    <xf borderId="0" fillId="7" fontId="7" numFmtId="164" xfId="0" applyFill="1" applyFont="1" applyNumberFormat="1"/>
    <xf borderId="0" fillId="9" fontId="7" numFmtId="0" xfId="0" applyFill="1" applyFont="1"/>
    <xf borderId="0" fillId="9" fontId="7" numFmtId="0" xfId="0" applyFill="1" applyFont="1"/>
    <xf borderId="0" fillId="0" fontId="2" numFmtId="164" xfId="0" applyAlignment="1" applyFont="1" applyNumberFormat="1">
      <alignment readingOrder="0"/>
    </xf>
    <xf borderId="0" fillId="0" fontId="2" numFmtId="165" xfId="0" applyAlignment="1" applyFont="1" applyNumberFormat="1">
      <alignment readingOrder="0"/>
    </xf>
    <xf borderId="0" fillId="0" fontId="7" numFmtId="0" xfId="0" applyAlignment="1" applyFont="1">
      <alignment readingOrder="0"/>
    </xf>
    <xf borderId="0" fillId="0" fontId="8" numFmtId="0" xfId="0" applyAlignment="1" applyFont="1">
      <alignment readingOrder="0"/>
    </xf>
    <xf borderId="0" fillId="3" fontId="6" numFmtId="165" xfId="0" applyAlignment="1" applyFill="1" applyFont="1" applyNumberFormat="1">
      <alignment horizontal="center" readingOrder="0"/>
    </xf>
    <xf borderId="0" fillId="7" fontId="7" numFmtId="167" xfId="0" applyAlignment="1" applyFill="1" applyFont="1" applyNumberFormat="1">
      <alignment readingOrder="0"/>
    </xf>
    <xf borderId="0" fillId="7" fontId="7" numFmtId="164" xfId="0" applyAlignment="1" applyFill="1" applyFont="1" applyNumberFormat="1">
      <alignment readingOrder="0"/>
    </xf>
    <xf borderId="0" fillId="7" fontId="7"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4.xml"/><Relationship Id="rId3"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8.xml"/><Relationship Id="rId3" Type="http://schemas.openxmlformats.org/officeDocument/2006/relationships/vmlDrawing" Target="../drawings/vmlDrawing2.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9.xml"/><Relationship Id="rId3"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0.xml"/><Relationship Id="rId3"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1.xml"/><Relationship Id="rId3"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22.xml"/><Relationship Id="rId3"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3.xml"/><Relationship Id="rId3" Type="http://schemas.openxmlformats.org/officeDocument/2006/relationships/vmlDrawing" Target="../drawings/vmlDrawing7.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24.xml"/><Relationship Id="rId3" Type="http://schemas.openxmlformats.org/officeDocument/2006/relationships/vmlDrawing" Target="../drawings/vmlDrawing8.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25.xml"/><Relationship Id="rId3" Type="http://schemas.openxmlformats.org/officeDocument/2006/relationships/vmlDrawing" Target="../drawings/vmlDrawing9.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6.xml"/><Relationship Id="rId3" Type="http://schemas.openxmlformats.org/officeDocument/2006/relationships/vmlDrawing" Target="../drawings/vmlDrawing10.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27.xml"/><Relationship Id="rId3" Type="http://schemas.openxmlformats.org/officeDocument/2006/relationships/vmlDrawing" Target="../drawings/vmlDrawing11.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28.xml"/><Relationship Id="rId3" Type="http://schemas.openxmlformats.org/officeDocument/2006/relationships/vmlDrawing" Target="../drawings/vmlDrawing12.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9.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13"/>
    <col customWidth="1" min="2" max="2" width="36.38"/>
    <col customWidth="1" min="3" max="3" width="20.5"/>
    <col customWidth="1" min="4" max="4" width="13.0"/>
    <col customWidth="1" min="5" max="6" width="29.0"/>
    <col customWidth="1" min="7" max="7" width="8.13"/>
    <col customWidth="1" min="8" max="8" width="19.5"/>
    <col customWidth="1" min="9" max="9" width="21.38"/>
    <col customWidth="1" min="10" max="27" width="8.63"/>
  </cols>
  <sheetData>
    <row r="1" ht="31.5" customHeight="1">
      <c r="A1" s="1" t="s">
        <v>0</v>
      </c>
    </row>
    <row r="2">
      <c r="A2" s="2"/>
      <c r="B2" s="2"/>
      <c r="C2" s="2"/>
      <c r="D2" s="2"/>
      <c r="E2" s="2"/>
      <c r="F2" s="2"/>
      <c r="G2" s="2"/>
      <c r="H2" s="2"/>
      <c r="I2" s="2"/>
    </row>
    <row r="3">
      <c r="A3" s="3" t="s">
        <v>1</v>
      </c>
    </row>
    <row r="4">
      <c r="A4" s="4" t="s">
        <v>2</v>
      </c>
    </row>
    <row r="6">
      <c r="A6" s="2"/>
      <c r="B6" s="2"/>
      <c r="C6" s="2"/>
      <c r="D6" s="2"/>
      <c r="E6" s="2"/>
      <c r="F6" s="2"/>
      <c r="G6" s="2"/>
      <c r="H6" s="2"/>
      <c r="I6" s="2"/>
    </row>
    <row r="7">
      <c r="A7" s="5" t="s">
        <v>3</v>
      </c>
      <c r="D7" s="6"/>
      <c r="E7" s="6" t="s">
        <v>4</v>
      </c>
      <c r="F7" s="7"/>
      <c r="I7" s="8"/>
    </row>
    <row r="8">
      <c r="A8" s="9">
        <v>1.0</v>
      </c>
      <c r="B8" s="10" t="s">
        <v>5</v>
      </c>
      <c r="C8" s="11"/>
      <c r="D8" s="12"/>
      <c r="E8" s="13" t="s">
        <v>6</v>
      </c>
      <c r="F8" s="14" t="s">
        <v>7</v>
      </c>
      <c r="G8" s="10" t="s">
        <v>8</v>
      </c>
      <c r="H8" s="15"/>
      <c r="I8" s="11"/>
    </row>
    <row r="9">
      <c r="A9" s="9">
        <v>2.0</v>
      </c>
      <c r="B9" s="10" t="s">
        <v>9</v>
      </c>
      <c r="C9" s="11"/>
      <c r="D9" s="12"/>
      <c r="E9" s="13" t="s">
        <v>10</v>
      </c>
      <c r="F9" s="14" t="s">
        <v>11</v>
      </c>
      <c r="G9" s="10" t="s">
        <v>12</v>
      </c>
      <c r="H9" s="15"/>
      <c r="I9" s="11"/>
    </row>
    <row r="10">
      <c r="A10" s="9">
        <v>3.0</v>
      </c>
      <c r="B10" s="10" t="s">
        <v>13</v>
      </c>
      <c r="C10" s="11"/>
      <c r="D10" s="12"/>
      <c r="E10" s="13" t="s">
        <v>14</v>
      </c>
      <c r="F10" s="14" t="s">
        <v>15</v>
      </c>
      <c r="G10" s="10" t="s">
        <v>16</v>
      </c>
      <c r="H10" s="15"/>
      <c r="I10" s="11"/>
    </row>
    <row r="11">
      <c r="A11" s="9">
        <v>4.0</v>
      </c>
      <c r="B11" s="10" t="s">
        <v>17</v>
      </c>
      <c r="C11" s="11"/>
      <c r="D11" s="12"/>
      <c r="E11" s="13" t="s">
        <v>18</v>
      </c>
      <c r="F11" s="14" t="s">
        <v>19</v>
      </c>
      <c r="G11" s="10" t="s">
        <v>20</v>
      </c>
      <c r="H11" s="15"/>
      <c r="I11" s="11"/>
    </row>
    <row r="12">
      <c r="A12" s="9">
        <v>5.0</v>
      </c>
      <c r="B12" s="10" t="s">
        <v>21</v>
      </c>
      <c r="C12" s="11"/>
      <c r="D12" s="12"/>
      <c r="E12" s="13" t="s">
        <v>22</v>
      </c>
      <c r="F12" s="14" t="s">
        <v>23</v>
      </c>
      <c r="G12" s="10" t="s">
        <v>24</v>
      </c>
      <c r="H12" s="15"/>
      <c r="I12" s="11"/>
    </row>
    <row r="13">
      <c r="A13" s="9">
        <v>6.0</v>
      </c>
      <c r="B13" s="10" t="s">
        <v>25</v>
      </c>
      <c r="C13" s="11"/>
      <c r="D13" s="12"/>
      <c r="E13" s="13" t="s">
        <v>26</v>
      </c>
      <c r="F13" s="14" t="s">
        <v>27</v>
      </c>
      <c r="G13" s="10" t="s">
        <v>28</v>
      </c>
      <c r="H13" s="15"/>
      <c r="I13" s="11"/>
    </row>
    <row r="14">
      <c r="A14" s="16"/>
      <c r="B14" s="16"/>
      <c r="C14" s="16"/>
      <c r="D14" s="16"/>
      <c r="E14" s="16"/>
      <c r="F14" s="16"/>
      <c r="G14" s="16"/>
      <c r="H14" s="16"/>
      <c r="I14" s="16"/>
    </row>
    <row r="15">
      <c r="A15" s="17" t="s">
        <v>29</v>
      </c>
      <c r="I15" s="18"/>
    </row>
    <row r="16" ht="27.0" customHeight="1">
      <c r="A16" s="19" t="s">
        <v>30</v>
      </c>
      <c r="B16" s="20">
        <f>Settings!B3</f>
        <v>46266</v>
      </c>
      <c r="C16" s="21"/>
      <c r="D16" s="19" t="s">
        <v>31</v>
      </c>
      <c r="E16" s="22">
        <f>COUNTIF(EventLog!C:C,"&gt;="&amp;Settings!B3)</f>
        <v>12</v>
      </c>
      <c r="F16" s="22"/>
      <c r="G16" s="19" t="s">
        <v>32</v>
      </c>
      <c r="H16" s="22">
        <f>MAX(0,COUNTA(AttendanceLog!A:A)-1)</f>
        <v>372</v>
      </c>
      <c r="I16" s="22"/>
    </row>
    <row r="17" ht="27.0" customHeight="1">
      <c r="A17" s="19" t="s">
        <v>33</v>
      </c>
      <c r="B17" s="22">
        <f>COUNTIF(StudentRegistry!D:D,"Active")</f>
        <v>238</v>
      </c>
      <c r="C17" s="21"/>
      <c r="D17" s="19" t="s">
        <v>34</v>
      </c>
      <c r="E17" s="22">
        <f>COUNTIF(Settings!B10:B1000,"Active")</f>
        <v>5</v>
      </c>
      <c r="F17" s="22"/>
      <c r="G17" s="19" t="s">
        <v>35</v>
      </c>
      <c r="H17" s="23">
        <f>Settings!B4</f>
        <v>46307.91981</v>
      </c>
      <c r="I17" s="23"/>
    </row>
    <row r="18">
      <c r="A18" s="16"/>
      <c r="B18" s="16"/>
      <c r="C18" s="16"/>
      <c r="D18" s="16"/>
      <c r="E18" s="16"/>
      <c r="F18" s="16"/>
      <c r="G18" s="16"/>
      <c r="H18" s="16"/>
      <c r="I18" s="16"/>
    </row>
    <row r="19">
      <c r="A19" s="16"/>
      <c r="B19" s="16"/>
      <c r="C19" s="16"/>
      <c r="D19" s="16"/>
      <c r="E19" s="16"/>
      <c r="F19" s="16"/>
      <c r="G19" s="16"/>
      <c r="H19" s="16"/>
      <c r="I19" s="16"/>
    </row>
    <row r="20">
      <c r="A20" s="24" t="s">
        <v>36</v>
      </c>
      <c r="B20" s="24" t="s">
        <v>37</v>
      </c>
      <c r="C20" s="24" t="s">
        <v>38</v>
      </c>
      <c r="D20" s="24" t="s">
        <v>39</v>
      </c>
      <c r="E20" s="25"/>
      <c r="F20" s="24" t="s">
        <v>40</v>
      </c>
      <c r="G20" s="18"/>
      <c r="H20" s="21"/>
      <c r="I20" s="21"/>
    </row>
    <row r="21" ht="15.75" customHeight="1">
      <c r="A21" s="19" t="s">
        <v>41</v>
      </c>
      <c r="B21" s="22">
        <f>COUNTIF('Dorm A'!B5:B1000,"Active")</f>
        <v>64</v>
      </c>
      <c r="C21" s="26">
        <f>'Dorm A'!B2</f>
        <v>0.453125</v>
      </c>
      <c r="D21" s="22">
        <f>SUM('Dorm A'!E5:E1000)</f>
        <v>87</v>
      </c>
      <c r="E21" s="22"/>
      <c r="F21" s="22">
        <f>SUM('Dorm A'!F5:F1000)</f>
        <v>192</v>
      </c>
      <c r="G21" s="22"/>
      <c r="H21" s="21"/>
      <c r="I21" s="21"/>
    </row>
    <row r="22" ht="15.75" customHeight="1">
      <c r="A22" s="19" t="s">
        <v>42</v>
      </c>
      <c r="B22" s="22">
        <f>COUNTIF('Dorm B'!B5:B1000,"Active")</f>
        <v>49</v>
      </c>
      <c r="C22" s="26">
        <f>'Dorm B'!B2</f>
        <v>0.3775510204</v>
      </c>
      <c r="D22" s="22">
        <f>SUM('Dorm B'!E5:E1000)</f>
        <v>74</v>
      </c>
      <c r="E22" s="22"/>
      <c r="F22" s="22">
        <f>SUM('Dorm B'!F5:F1000)</f>
        <v>196</v>
      </c>
      <c r="G22" s="22"/>
      <c r="H22" s="21"/>
      <c r="I22" s="21"/>
    </row>
    <row r="23" ht="15.75" customHeight="1">
      <c r="A23" s="19" t="s">
        <v>43</v>
      </c>
      <c r="B23" s="22">
        <f>COUNTIF('Dorm D'!B5:B1000,"Active")</f>
        <v>59</v>
      </c>
      <c r="C23" s="26">
        <f>'Dorm D'!B2</f>
        <v>0.4858757062</v>
      </c>
      <c r="D23" s="22">
        <f>SUM('Dorm D'!E5:E1000)</f>
        <v>86</v>
      </c>
      <c r="E23" s="22"/>
      <c r="F23" s="22">
        <f>SUM('Dorm D'!F5:F1000)</f>
        <v>177</v>
      </c>
      <c r="G23" s="22"/>
      <c r="H23" s="21"/>
      <c r="I23" s="21"/>
    </row>
    <row r="24" ht="15.75" customHeight="1">
      <c r="A24" s="19" t="s">
        <v>44</v>
      </c>
      <c r="B24" s="22">
        <f>COUNTIF('Dorm E'!B5:B1000,"Active")</f>
        <v>33</v>
      </c>
      <c r="C24" s="26">
        <f>'Dorm E'!B2</f>
        <v>0.6868686869</v>
      </c>
      <c r="D24" s="22">
        <f>SUM('Dorm E'!E5:E1000)</f>
        <v>68</v>
      </c>
      <c r="E24" s="22"/>
      <c r="F24" s="22">
        <f>SUM('Dorm E'!F5:F1000)</f>
        <v>99</v>
      </c>
      <c r="G24" s="22"/>
      <c r="H24" s="21"/>
      <c r="I24" s="21"/>
    </row>
    <row r="25" ht="15.75" customHeight="1">
      <c r="A25" s="19" t="s">
        <v>45</v>
      </c>
      <c r="B25" s="22">
        <f>COUNTIF(Meikokan!B5:B1000,"Active")</f>
        <v>33</v>
      </c>
      <c r="C25" s="26">
        <f>Meikokan!B2</f>
        <v>0.5757575758</v>
      </c>
      <c r="D25" s="22">
        <f>SUM(Meikokan!E5:E1000)</f>
        <v>57</v>
      </c>
      <c r="E25" s="22"/>
      <c r="F25" s="22">
        <f>SUM(Meikokan!F5:F1000)</f>
        <v>99</v>
      </c>
      <c r="G25" s="22"/>
      <c r="H25" s="21"/>
      <c r="I25" s="21"/>
    </row>
    <row r="26" ht="15.75" customHeight="1">
      <c r="A26" s="18"/>
      <c r="B26" s="22"/>
      <c r="C26" s="26"/>
      <c r="D26" s="22"/>
      <c r="E26" s="22"/>
      <c r="F26" s="22"/>
      <c r="G26" s="22"/>
      <c r="H26" s="21"/>
      <c r="I26" s="21"/>
    </row>
    <row r="27" ht="15.75" customHeight="1">
      <c r="A27" s="18"/>
      <c r="B27" s="21"/>
      <c r="C27" s="26"/>
      <c r="D27" s="26"/>
      <c r="E27" s="26"/>
      <c r="F27" s="21"/>
      <c r="G27" s="21"/>
      <c r="H27" s="21"/>
      <c r="I27" s="21"/>
    </row>
    <row r="28" ht="15.75" customHeight="1">
      <c r="A28" s="18"/>
      <c r="B28" s="21"/>
      <c r="C28" s="26"/>
      <c r="D28" s="26"/>
      <c r="E28" s="26"/>
      <c r="F28" s="21"/>
      <c r="G28" s="21"/>
      <c r="H28" s="21"/>
      <c r="I28" s="21"/>
    </row>
    <row r="29" ht="15.75" customHeight="1">
      <c r="A29" s="18"/>
      <c r="B29" s="21"/>
      <c r="C29" s="26"/>
      <c r="D29" s="26"/>
      <c r="E29" s="26"/>
      <c r="F29" s="21"/>
      <c r="G29" s="21"/>
      <c r="H29" s="21"/>
      <c r="I29" s="21"/>
    </row>
    <row r="30" ht="15.75" customHeight="1">
      <c r="A30" s="21"/>
      <c r="B30" s="21"/>
      <c r="C30" s="21"/>
      <c r="D30" s="21"/>
      <c r="E30" s="21"/>
      <c r="F30" s="21"/>
      <c r="G30" s="21"/>
      <c r="H30" s="21"/>
      <c r="I30" s="21"/>
    </row>
    <row r="31" ht="15.75" customHeight="1">
      <c r="A31" s="21"/>
      <c r="B31" s="21"/>
      <c r="C31" s="21"/>
      <c r="D31" s="21"/>
      <c r="E31" s="21"/>
      <c r="F31" s="21"/>
      <c r="G31" s="21"/>
      <c r="H31" s="21"/>
      <c r="I31" s="21"/>
    </row>
    <row r="32" ht="15.75" customHeight="1">
      <c r="A32" s="21"/>
      <c r="B32" s="21"/>
      <c r="C32" s="21"/>
      <c r="D32" s="21"/>
      <c r="E32" s="21"/>
      <c r="F32" s="21"/>
      <c r="G32" s="21"/>
      <c r="H32" s="21"/>
      <c r="I32" s="21"/>
    </row>
    <row r="33" ht="15.75" customHeight="1">
      <c r="A33" s="21"/>
      <c r="B33" s="21"/>
      <c r="C33" s="21"/>
      <c r="D33" s="21"/>
      <c r="E33" s="21"/>
      <c r="F33" s="21"/>
      <c r="G33" s="21"/>
      <c r="H33" s="21"/>
      <c r="I33" s="21"/>
    </row>
    <row r="34" ht="15.75" customHeight="1">
      <c r="A34" s="21"/>
      <c r="B34" s="21"/>
      <c r="C34" s="21"/>
      <c r="D34" s="21"/>
      <c r="E34" s="21"/>
      <c r="F34" s="21"/>
      <c r="G34" s="21"/>
      <c r="H34" s="21"/>
      <c r="I34" s="21"/>
    </row>
    <row r="35" ht="15.75" customHeight="1">
      <c r="A35" s="21"/>
      <c r="B35" s="21"/>
      <c r="C35" s="21"/>
      <c r="D35" s="21"/>
      <c r="E35" s="21"/>
      <c r="F35" s="21"/>
      <c r="G35" s="21"/>
      <c r="H35" s="21"/>
      <c r="I35" s="21"/>
    </row>
    <row r="36" ht="15.75" customHeight="1">
      <c r="A36" s="21"/>
      <c r="B36" s="21"/>
      <c r="C36" s="21"/>
      <c r="D36" s="21"/>
      <c r="E36" s="21"/>
      <c r="F36" s="21"/>
      <c r="G36" s="21"/>
      <c r="H36" s="21"/>
      <c r="I36" s="21"/>
    </row>
    <row r="37" ht="15.75" customHeight="1">
      <c r="A37" s="21"/>
      <c r="B37" s="21"/>
      <c r="C37" s="21"/>
      <c r="D37" s="21"/>
      <c r="E37" s="21"/>
      <c r="F37" s="21"/>
      <c r="G37" s="21"/>
      <c r="H37" s="21"/>
      <c r="I37" s="21"/>
    </row>
    <row r="38" ht="15.75" customHeight="1">
      <c r="A38" s="21"/>
      <c r="B38" s="21"/>
      <c r="C38" s="21"/>
      <c r="D38" s="21"/>
      <c r="E38" s="21"/>
      <c r="F38" s="21"/>
      <c r="G38" s="21"/>
      <c r="H38" s="21"/>
      <c r="I38" s="21"/>
    </row>
    <row r="39" ht="15.75" customHeight="1">
      <c r="A39" s="21"/>
      <c r="B39" s="21"/>
      <c r="C39" s="21"/>
      <c r="D39" s="21"/>
      <c r="E39" s="21"/>
      <c r="F39" s="21"/>
      <c r="G39" s="21"/>
      <c r="H39" s="21"/>
      <c r="I39" s="21"/>
    </row>
    <row r="40" ht="15.75" customHeight="1">
      <c r="A40" s="21"/>
      <c r="B40" s="21"/>
      <c r="C40" s="21"/>
      <c r="D40" s="21"/>
      <c r="E40" s="21"/>
      <c r="F40" s="21"/>
      <c r="G40" s="21"/>
      <c r="H40" s="21"/>
      <c r="I40" s="21"/>
    </row>
    <row r="41" ht="15.75" customHeight="1">
      <c r="A41" s="21"/>
      <c r="B41" s="21"/>
      <c r="C41" s="21"/>
      <c r="D41" s="21"/>
      <c r="E41" s="21"/>
      <c r="F41" s="21"/>
      <c r="G41" s="21"/>
      <c r="H41" s="21"/>
      <c r="I41" s="21"/>
    </row>
    <row r="42" ht="15.75" customHeight="1">
      <c r="A42" s="21"/>
      <c r="B42" s="21"/>
      <c r="C42" s="21"/>
      <c r="D42" s="21"/>
      <c r="E42" s="21"/>
      <c r="F42" s="21"/>
      <c r="G42" s="21"/>
      <c r="H42" s="21"/>
      <c r="I42" s="21"/>
    </row>
    <row r="43" ht="15.75" customHeight="1">
      <c r="A43" s="21"/>
      <c r="B43" s="21"/>
      <c r="C43" s="21"/>
      <c r="D43" s="21"/>
      <c r="E43" s="21"/>
      <c r="F43" s="21"/>
      <c r="G43" s="21"/>
      <c r="H43" s="21"/>
      <c r="I43" s="21"/>
    </row>
    <row r="44" ht="15.75" customHeight="1">
      <c r="A44" s="21"/>
      <c r="B44" s="21"/>
      <c r="C44" s="21"/>
      <c r="D44" s="21"/>
      <c r="E44" s="21"/>
      <c r="F44" s="21"/>
      <c r="G44" s="21"/>
      <c r="H44" s="21"/>
      <c r="I44" s="21"/>
    </row>
    <row r="45" ht="15.75" customHeight="1">
      <c r="A45" s="21"/>
      <c r="B45" s="21"/>
      <c r="C45" s="21"/>
      <c r="D45" s="21"/>
      <c r="E45" s="21"/>
      <c r="F45" s="21"/>
      <c r="G45" s="21"/>
      <c r="H45" s="21"/>
      <c r="I45" s="21"/>
    </row>
    <row r="46" ht="15.75" customHeight="1">
      <c r="A46" s="21"/>
      <c r="B46" s="21"/>
      <c r="C46" s="21"/>
      <c r="D46" s="21"/>
      <c r="E46" s="21"/>
      <c r="F46" s="21"/>
      <c r="G46" s="21"/>
      <c r="H46" s="21"/>
      <c r="I46" s="21"/>
    </row>
    <row r="47" ht="15.75" customHeight="1">
      <c r="A47" s="21"/>
      <c r="B47" s="21"/>
      <c r="C47" s="21"/>
      <c r="D47" s="21"/>
      <c r="E47" s="21"/>
      <c r="F47" s="21"/>
      <c r="G47" s="21"/>
      <c r="H47" s="21"/>
      <c r="I47" s="21"/>
    </row>
    <row r="48" ht="15.75" customHeight="1">
      <c r="A48" s="21"/>
      <c r="B48" s="21"/>
      <c r="C48" s="21"/>
      <c r="D48" s="21"/>
      <c r="E48" s="21"/>
      <c r="F48" s="21"/>
      <c r="G48" s="21"/>
      <c r="H48" s="21"/>
      <c r="I48" s="21"/>
    </row>
    <row r="49" ht="15.75" customHeight="1">
      <c r="A49" s="21"/>
      <c r="B49" s="21"/>
      <c r="C49" s="21"/>
      <c r="D49" s="21"/>
      <c r="E49" s="21"/>
      <c r="F49" s="21"/>
      <c r="G49" s="21"/>
      <c r="H49" s="21"/>
      <c r="I49" s="21"/>
    </row>
    <row r="50" ht="15.75" customHeight="1">
      <c r="A50" s="21"/>
      <c r="B50" s="21"/>
      <c r="C50" s="21"/>
      <c r="D50" s="21"/>
      <c r="E50" s="21"/>
      <c r="F50" s="21"/>
      <c r="G50" s="21"/>
      <c r="H50" s="21"/>
      <c r="I50" s="21"/>
    </row>
    <row r="51" ht="15.75" customHeight="1">
      <c r="A51" s="21"/>
      <c r="B51" s="21"/>
      <c r="C51" s="21"/>
      <c r="D51" s="21"/>
      <c r="E51" s="21"/>
      <c r="F51" s="21"/>
      <c r="G51" s="21"/>
      <c r="H51" s="21"/>
      <c r="I51" s="21"/>
    </row>
    <row r="52" ht="15.75" customHeight="1">
      <c r="A52" s="21"/>
      <c r="B52" s="21"/>
      <c r="C52" s="21"/>
      <c r="D52" s="21"/>
      <c r="E52" s="21"/>
      <c r="F52" s="21"/>
      <c r="G52" s="21"/>
      <c r="H52" s="21"/>
      <c r="I52" s="21"/>
    </row>
    <row r="53" ht="15.75" customHeight="1">
      <c r="A53" s="21"/>
      <c r="B53" s="21"/>
      <c r="C53" s="21"/>
      <c r="D53" s="21"/>
      <c r="E53" s="21"/>
      <c r="F53" s="21"/>
      <c r="G53" s="21"/>
      <c r="H53" s="21"/>
      <c r="I53" s="21"/>
    </row>
    <row r="54" ht="15.75" customHeight="1">
      <c r="A54" s="21"/>
      <c r="B54" s="21"/>
      <c r="C54" s="21"/>
      <c r="D54" s="21"/>
      <c r="E54" s="21"/>
      <c r="F54" s="21"/>
      <c r="G54" s="21"/>
      <c r="H54" s="21"/>
      <c r="I54" s="21"/>
    </row>
    <row r="55" ht="15.75" customHeight="1">
      <c r="A55" s="21"/>
      <c r="B55" s="21"/>
      <c r="C55" s="21"/>
      <c r="D55" s="21"/>
      <c r="E55" s="21"/>
      <c r="F55" s="21"/>
      <c r="G55" s="21"/>
      <c r="H55" s="21"/>
      <c r="I55" s="21"/>
    </row>
    <row r="56" ht="15.75" customHeight="1">
      <c r="A56" s="21"/>
      <c r="B56" s="21"/>
      <c r="C56" s="21"/>
      <c r="D56" s="21"/>
      <c r="E56" s="21"/>
      <c r="F56" s="21"/>
      <c r="G56" s="21"/>
      <c r="H56" s="21"/>
      <c r="I56" s="21"/>
    </row>
    <row r="57" ht="15.75" customHeight="1">
      <c r="A57" s="21"/>
      <c r="B57" s="21"/>
      <c r="C57" s="21"/>
      <c r="D57" s="21"/>
      <c r="E57" s="21"/>
      <c r="F57" s="21"/>
      <c r="G57" s="21"/>
      <c r="H57" s="21"/>
      <c r="I57" s="21"/>
    </row>
    <row r="58" ht="15.75" customHeight="1">
      <c r="A58" s="21"/>
      <c r="B58" s="21"/>
      <c r="C58" s="21"/>
      <c r="D58" s="21"/>
      <c r="E58" s="21"/>
      <c r="F58" s="21"/>
      <c r="G58" s="21"/>
      <c r="H58" s="21"/>
      <c r="I58" s="21"/>
    </row>
    <row r="59" ht="15.75" customHeight="1">
      <c r="A59" s="21"/>
      <c r="B59" s="21"/>
      <c r="C59" s="21"/>
      <c r="D59" s="21"/>
      <c r="E59" s="21"/>
      <c r="F59" s="21"/>
      <c r="G59" s="21"/>
      <c r="H59" s="21"/>
      <c r="I59" s="21"/>
    </row>
    <row r="60" ht="15.75" customHeight="1">
      <c r="A60" s="21"/>
      <c r="B60" s="21"/>
      <c r="C60" s="21"/>
      <c r="D60" s="21"/>
      <c r="E60" s="21"/>
      <c r="F60" s="21"/>
      <c r="G60" s="21"/>
      <c r="H60" s="21"/>
      <c r="I60" s="21"/>
    </row>
    <row r="61" ht="15.75" customHeight="1">
      <c r="A61" s="16"/>
      <c r="B61" s="16"/>
      <c r="C61" s="16"/>
      <c r="D61" s="16"/>
      <c r="E61" s="16"/>
      <c r="F61" s="16"/>
      <c r="G61" s="16"/>
      <c r="H61" s="16"/>
      <c r="I61" s="16"/>
    </row>
    <row r="62" ht="15.75" customHeight="1">
      <c r="A62" s="16"/>
      <c r="B62" s="16"/>
      <c r="C62" s="16"/>
      <c r="D62" s="16"/>
      <c r="E62" s="16"/>
      <c r="F62" s="16"/>
      <c r="G62" s="16"/>
      <c r="H62" s="16"/>
      <c r="I62" s="16"/>
    </row>
    <row r="63" ht="15.75" customHeight="1">
      <c r="A63" s="16"/>
      <c r="B63" s="16"/>
      <c r="C63" s="16"/>
      <c r="D63" s="16"/>
      <c r="E63" s="16"/>
      <c r="F63" s="16"/>
      <c r="G63" s="16"/>
      <c r="H63" s="16"/>
      <c r="I63" s="16"/>
    </row>
    <row r="64" ht="15.75" customHeight="1">
      <c r="A64" s="16"/>
      <c r="B64" s="16"/>
      <c r="C64" s="16"/>
      <c r="D64" s="16"/>
      <c r="E64" s="16"/>
      <c r="F64" s="16"/>
      <c r="G64" s="16"/>
      <c r="H64" s="16"/>
      <c r="I64" s="16"/>
    </row>
    <row r="65" ht="15.75" customHeight="1">
      <c r="A65" s="16"/>
      <c r="B65" s="16"/>
      <c r="C65" s="16"/>
      <c r="D65" s="16"/>
      <c r="E65" s="16"/>
      <c r="F65" s="16"/>
      <c r="G65" s="16"/>
      <c r="H65" s="16"/>
      <c r="I65" s="16"/>
    </row>
    <row r="66" ht="15.75" customHeight="1">
      <c r="A66" s="16"/>
      <c r="B66" s="16"/>
      <c r="C66" s="16"/>
      <c r="D66" s="16"/>
      <c r="E66" s="16"/>
      <c r="F66" s="16"/>
      <c r="G66" s="16"/>
      <c r="H66" s="16"/>
      <c r="I66" s="16"/>
    </row>
    <row r="67" ht="15.75" customHeight="1">
      <c r="A67" s="16"/>
      <c r="B67" s="16"/>
      <c r="C67" s="16"/>
      <c r="D67" s="16"/>
      <c r="E67" s="16"/>
      <c r="F67" s="16"/>
      <c r="G67" s="16"/>
      <c r="H67" s="16"/>
      <c r="I67" s="16"/>
    </row>
    <row r="68" ht="15.75" customHeight="1">
      <c r="A68" s="16"/>
      <c r="B68" s="16"/>
      <c r="C68" s="16"/>
      <c r="D68" s="16"/>
      <c r="E68" s="16"/>
      <c r="F68" s="16"/>
      <c r="G68" s="16"/>
      <c r="H68" s="16"/>
      <c r="I68" s="16"/>
    </row>
    <row r="69" ht="15.75" customHeight="1">
      <c r="A69" s="16"/>
      <c r="B69" s="16"/>
      <c r="C69" s="16"/>
      <c r="D69" s="16"/>
      <c r="E69" s="16"/>
      <c r="F69" s="16"/>
      <c r="G69" s="16"/>
      <c r="H69" s="16"/>
      <c r="I69" s="16"/>
    </row>
    <row r="70" ht="15.75" customHeight="1">
      <c r="A70" s="16"/>
      <c r="B70" s="16"/>
      <c r="C70" s="16"/>
      <c r="D70" s="16"/>
      <c r="E70" s="16"/>
      <c r="F70" s="16"/>
      <c r="G70" s="16"/>
      <c r="H70" s="16"/>
      <c r="I70" s="16"/>
    </row>
    <row r="71" ht="15.75" customHeight="1">
      <c r="A71" s="16"/>
      <c r="B71" s="16"/>
      <c r="C71" s="16"/>
      <c r="D71" s="16"/>
      <c r="E71" s="16"/>
      <c r="F71" s="16"/>
      <c r="G71" s="16"/>
      <c r="H71" s="16"/>
      <c r="I71" s="16"/>
    </row>
    <row r="72" ht="15.75" customHeight="1">
      <c r="A72" s="16"/>
      <c r="B72" s="16"/>
      <c r="C72" s="16"/>
      <c r="D72" s="16"/>
      <c r="E72" s="16"/>
      <c r="F72" s="16"/>
      <c r="G72" s="16"/>
      <c r="H72" s="16"/>
      <c r="I72" s="16"/>
    </row>
    <row r="73" ht="15.75" customHeight="1">
      <c r="A73" s="16"/>
      <c r="B73" s="16"/>
      <c r="C73" s="16"/>
      <c r="D73" s="16"/>
      <c r="E73" s="16"/>
      <c r="F73" s="16"/>
      <c r="G73" s="16"/>
      <c r="H73" s="16"/>
      <c r="I73" s="16"/>
    </row>
    <row r="74" ht="15.75" customHeight="1">
      <c r="A74" s="16"/>
      <c r="B74" s="16"/>
      <c r="C74" s="16"/>
      <c r="D74" s="16"/>
      <c r="E74" s="16"/>
      <c r="F74" s="16"/>
      <c r="G74" s="16"/>
      <c r="H74" s="16"/>
      <c r="I74" s="16"/>
    </row>
    <row r="75" ht="15.75" customHeight="1">
      <c r="A75" s="16"/>
      <c r="B75" s="16"/>
      <c r="C75" s="16"/>
      <c r="D75" s="16"/>
      <c r="E75" s="16"/>
      <c r="F75" s="16"/>
      <c r="G75" s="16"/>
      <c r="H75" s="16"/>
      <c r="I75" s="16"/>
    </row>
    <row r="76" ht="15.75" customHeight="1">
      <c r="A76" s="16"/>
      <c r="B76" s="16"/>
      <c r="C76" s="16"/>
      <c r="D76" s="16"/>
      <c r="E76" s="16"/>
      <c r="F76" s="16"/>
      <c r="G76" s="16"/>
      <c r="H76" s="16"/>
      <c r="I76" s="16"/>
    </row>
    <row r="77" ht="15.75" customHeight="1">
      <c r="A77" s="16"/>
      <c r="B77" s="16"/>
      <c r="C77" s="16"/>
      <c r="D77" s="16"/>
      <c r="E77" s="16"/>
      <c r="F77" s="16"/>
      <c r="G77" s="16"/>
      <c r="H77" s="16"/>
      <c r="I77" s="16"/>
    </row>
    <row r="78" ht="15.75" customHeight="1">
      <c r="A78" s="16"/>
      <c r="B78" s="16"/>
      <c r="C78" s="16"/>
      <c r="D78" s="16"/>
      <c r="E78" s="16"/>
      <c r="F78" s="16"/>
      <c r="G78" s="16"/>
      <c r="H78" s="16"/>
      <c r="I78" s="16"/>
    </row>
    <row r="79" ht="15.75" customHeight="1">
      <c r="A79" s="16"/>
      <c r="B79" s="16"/>
      <c r="C79" s="16"/>
      <c r="D79" s="16"/>
      <c r="E79" s="16"/>
      <c r="F79" s="16"/>
      <c r="G79" s="16"/>
      <c r="H79" s="16"/>
      <c r="I79" s="16"/>
    </row>
    <row r="80" ht="15.75" customHeight="1">
      <c r="A80" s="16"/>
      <c r="B80" s="16"/>
      <c r="C80" s="16"/>
      <c r="D80" s="16"/>
      <c r="E80" s="16"/>
      <c r="F80" s="16"/>
      <c r="G80" s="16"/>
      <c r="H80" s="16"/>
      <c r="I80" s="16"/>
    </row>
    <row r="81" ht="15.75" customHeight="1">
      <c r="A81" s="16"/>
      <c r="B81" s="16"/>
      <c r="C81" s="16"/>
      <c r="D81" s="16"/>
      <c r="E81" s="16"/>
      <c r="F81" s="16"/>
      <c r="G81" s="16"/>
      <c r="H81" s="16"/>
      <c r="I81" s="16"/>
    </row>
    <row r="82" ht="15.75" customHeight="1">
      <c r="A82" s="16"/>
      <c r="B82" s="16"/>
      <c r="C82" s="16"/>
      <c r="D82" s="16"/>
      <c r="E82" s="16"/>
      <c r="F82" s="16"/>
      <c r="G82" s="16"/>
      <c r="H82" s="16"/>
      <c r="I82" s="16"/>
    </row>
    <row r="83" ht="15.75" customHeight="1">
      <c r="A83" s="16"/>
      <c r="B83" s="16"/>
      <c r="C83" s="16"/>
      <c r="D83" s="16"/>
      <c r="E83" s="16"/>
      <c r="F83" s="16"/>
      <c r="G83" s="16"/>
      <c r="H83" s="16"/>
      <c r="I83" s="16"/>
    </row>
    <row r="84" ht="15.75" customHeight="1">
      <c r="A84" s="16"/>
      <c r="B84" s="16"/>
      <c r="C84" s="16"/>
      <c r="D84" s="16"/>
      <c r="E84" s="16"/>
      <c r="F84" s="16"/>
      <c r="G84" s="16"/>
      <c r="H84" s="16"/>
      <c r="I84" s="16"/>
    </row>
    <row r="85" ht="15.75" customHeight="1">
      <c r="A85" s="16"/>
      <c r="B85" s="16"/>
      <c r="C85" s="16"/>
      <c r="D85" s="16"/>
      <c r="E85" s="16"/>
      <c r="F85" s="16"/>
      <c r="G85" s="16"/>
      <c r="H85" s="16"/>
      <c r="I85" s="16"/>
    </row>
    <row r="86" ht="15.75" customHeight="1">
      <c r="A86" s="16"/>
      <c r="B86" s="16"/>
      <c r="C86" s="16"/>
      <c r="D86" s="16"/>
      <c r="E86" s="16"/>
      <c r="F86" s="16"/>
      <c r="G86" s="16"/>
      <c r="H86" s="16"/>
      <c r="I86" s="16"/>
    </row>
    <row r="87" ht="15.75" customHeight="1">
      <c r="A87" s="16"/>
      <c r="B87" s="16"/>
      <c r="C87" s="16"/>
      <c r="D87" s="16"/>
      <c r="E87" s="16"/>
      <c r="F87" s="16"/>
      <c r="G87" s="16"/>
      <c r="H87" s="16"/>
      <c r="I87" s="16"/>
    </row>
    <row r="88" ht="15.75" customHeight="1">
      <c r="A88" s="16"/>
      <c r="B88" s="16"/>
      <c r="C88" s="16"/>
      <c r="D88" s="16"/>
      <c r="E88" s="16"/>
      <c r="F88" s="16"/>
      <c r="G88" s="16"/>
      <c r="H88" s="16"/>
      <c r="I88" s="16"/>
    </row>
    <row r="89" ht="15.75" customHeight="1">
      <c r="A89" s="16"/>
      <c r="B89" s="16"/>
      <c r="C89" s="16"/>
      <c r="D89" s="16"/>
      <c r="E89" s="16"/>
      <c r="F89" s="16"/>
      <c r="G89" s="16"/>
      <c r="H89" s="16"/>
      <c r="I89" s="16"/>
    </row>
    <row r="90" ht="15.75" customHeight="1">
      <c r="A90" s="16"/>
      <c r="B90" s="16"/>
      <c r="C90" s="16"/>
      <c r="D90" s="16"/>
      <c r="E90" s="16"/>
      <c r="F90" s="16"/>
      <c r="G90" s="16"/>
      <c r="H90" s="16"/>
      <c r="I90" s="16"/>
    </row>
    <row r="91" ht="15.75" customHeight="1">
      <c r="A91" s="16"/>
      <c r="B91" s="16"/>
      <c r="C91" s="16"/>
      <c r="D91" s="16"/>
      <c r="E91" s="16"/>
      <c r="F91" s="16"/>
      <c r="G91" s="16"/>
      <c r="H91" s="16"/>
      <c r="I91" s="16"/>
    </row>
    <row r="92" ht="15.75" customHeight="1">
      <c r="A92" s="16"/>
      <c r="B92" s="16"/>
      <c r="C92" s="16"/>
      <c r="D92" s="16"/>
      <c r="E92" s="16"/>
      <c r="F92" s="16"/>
      <c r="G92" s="16"/>
      <c r="H92" s="16"/>
      <c r="I92" s="16"/>
    </row>
    <row r="93" ht="15.75" customHeight="1">
      <c r="A93" s="16"/>
      <c r="B93" s="16"/>
      <c r="C93" s="16"/>
      <c r="D93" s="16"/>
      <c r="E93" s="16"/>
      <c r="F93" s="16"/>
      <c r="G93" s="16"/>
      <c r="H93" s="16"/>
      <c r="I93" s="16"/>
    </row>
    <row r="94" ht="15.75" customHeight="1">
      <c r="A94" s="16"/>
      <c r="B94" s="16"/>
      <c r="C94" s="16"/>
      <c r="D94" s="16"/>
      <c r="E94" s="16"/>
      <c r="F94" s="16"/>
      <c r="G94" s="16"/>
      <c r="H94" s="16"/>
      <c r="I94" s="16"/>
    </row>
    <row r="95" ht="15.75" customHeight="1">
      <c r="A95" s="16"/>
      <c r="B95" s="16"/>
      <c r="C95" s="16"/>
      <c r="D95" s="16"/>
      <c r="E95" s="16"/>
      <c r="F95" s="16"/>
      <c r="G95" s="16"/>
      <c r="H95" s="16"/>
      <c r="I95" s="16"/>
    </row>
    <row r="96" ht="15.75" customHeight="1">
      <c r="A96" s="16"/>
      <c r="B96" s="16"/>
      <c r="C96" s="16"/>
      <c r="D96" s="16"/>
      <c r="E96" s="16"/>
      <c r="F96" s="16"/>
      <c r="G96" s="16"/>
      <c r="H96" s="16"/>
      <c r="I96" s="16"/>
    </row>
    <row r="97" ht="15.75" customHeight="1">
      <c r="A97" s="16"/>
      <c r="B97" s="16"/>
      <c r="C97" s="16"/>
      <c r="D97" s="16"/>
      <c r="E97" s="16"/>
      <c r="F97" s="16"/>
      <c r="G97" s="16"/>
      <c r="H97" s="16"/>
      <c r="I97" s="16"/>
    </row>
    <row r="98" ht="15.75" customHeight="1">
      <c r="A98" s="16"/>
      <c r="B98" s="16"/>
      <c r="C98" s="16"/>
      <c r="D98" s="16"/>
      <c r="E98" s="16"/>
      <c r="F98" s="16"/>
      <c r="G98" s="16"/>
      <c r="H98" s="16"/>
      <c r="I98" s="16"/>
    </row>
    <row r="99" ht="15.75" customHeight="1">
      <c r="A99" s="16"/>
      <c r="B99" s="16"/>
      <c r="C99" s="16"/>
      <c r="D99" s="16"/>
      <c r="E99" s="16"/>
      <c r="F99" s="16"/>
      <c r="G99" s="16"/>
      <c r="H99" s="16"/>
      <c r="I99" s="16"/>
    </row>
    <row r="100" ht="15.75" customHeight="1">
      <c r="A100" s="16"/>
      <c r="B100" s="16"/>
      <c r="C100" s="16"/>
      <c r="D100" s="16"/>
      <c r="E100" s="16"/>
      <c r="F100" s="16"/>
      <c r="G100" s="16"/>
      <c r="H100" s="16"/>
      <c r="I100" s="16"/>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G8:I8"/>
    <mergeCell ref="G9:I9"/>
    <mergeCell ref="A1:I1"/>
    <mergeCell ref="A3:I3"/>
    <mergeCell ref="A4:I5"/>
    <mergeCell ref="A7:C7"/>
    <mergeCell ref="F7:H7"/>
    <mergeCell ref="B8:C8"/>
    <mergeCell ref="B9:C9"/>
    <mergeCell ref="B13:C13"/>
    <mergeCell ref="A15:H15"/>
    <mergeCell ref="B10:C10"/>
    <mergeCell ref="G10:I10"/>
    <mergeCell ref="B11:C11"/>
    <mergeCell ref="G11:I11"/>
    <mergeCell ref="B12:C12"/>
    <mergeCell ref="G12:I12"/>
    <mergeCell ref="G13:I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s>
  <sheetData>
    <row r="1">
      <c r="A1" s="27" t="s">
        <v>46</v>
      </c>
    </row>
    <row r="2">
      <c r="A2" s="19" t="s">
        <v>47</v>
      </c>
      <c r="B2" s="28">
        <f>IFERROR(SUM(E5:E1000)/SUM(F5:F1000),0)</f>
        <v>0</v>
      </c>
      <c r="D2" s="29" t="s">
        <v>48</v>
      </c>
      <c r="E2" s="20">
        <f>Settings!B3</f>
        <v>46266</v>
      </c>
      <c r="G2" s="26"/>
      <c r="H2" s="20"/>
    </row>
    <row r="3">
      <c r="A3" s="30" t="s">
        <v>49</v>
      </c>
    </row>
    <row r="4">
      <c r="A4" s="24" t="s">
        <v>50</v>
      </c>
      <c r="B4" s="24" t="s">
        <v>51</v>
      </c>
      <c r="C4" s="24" t="s">
        <v>36</v>
      </c>
      <c r="D4" s="31" t="s">
        <v>52</v>
      </c>
      <c r="E4" s="24" t="s">
        <v>39</v>
      </c>
      <c r="F4" s="24" t="s">
        <v>53</v>
      </c>
      <c r="G4" s="32" t="s">
        <v>54</v>
      </c>
      <c r="H4" s="31" t="s">
        <v>55</v>
      </c>
    </row>
    <row r="5">
      <c r="D5" s="20"/>
      <c r="G5" s="26"/>
      <c r="H5" s="20"/>
    </row>
    <row r="6">
      <c r="D6" s="20"/>
      <c r="G6" s="26"/>
      <c r="H6" s="20"/>
    </row>
    <row r="7">
      <c r="D7" s="20"/>
      <c r="G7" s="26"/>
      <c r="H7" s="20"/>
    </row>
    <row r="8">
      <c r="D8" s="20"/>
      <c r="G8" s="26"/>
      <c r="H8" s="20"/>
    </row>
    <row r="9">
      <c r="D9" s="20"/>
      <c r="G9" s="26"/>
      <c r="H9" s="20"/>
    </row>
    <row r="10">
      <c r="D10" s="20"/>
      <c r="G10" s="26"/>
      <c r="H10" s="20"/>
    </row>
    <row r="11">
      <c r="D11" s="20"/>
      <c r="G11" s="26"/>
      <c r="H11" s="20"/>
    </row>
    <row r="12">
      <c r="D12" s="20"/>
      <c r="G12" s="26"/>
      <c r="H12" s="20"/>
    </row>
    <row r="13">
      <c r="D13" s="20"/>
      <c r="G13" s="26"/>
      <c r="H13" s="20"/>
    </row>
    <row r="14">
      <c r="D14" s="20"/>
      <c r="G14" s="26"/>
      <c r="H14" s="20"/>
    </row>
    <row r="15">
      <c r="D15" s="20"/>
      <c r="G15" s="26"/>
      <c r="H15" s="20"/>
    </row>
    <row r="16">
      <c r="D16" s="20"/>
      <c r="G16" s="26"/>
      <c r="H16" s="20"/>
    </row>
    <row r="17">
      <c r="D17" s="20"/>
      <c r="G17" s="26"/>
      <c r="H17" s="20"/>
    </row>
    <row r="18">
      <c r="D18" s="20"/>
      <c r="G18" s="26"/>
      <c r="H18" s="20"/>
    </row>
    <row r="19">
      <c r="D19" s="20"/>
      <c r="G19" s="26"/>
      <c r="H19" s="20"/>
    </row>
    <row r="20">
      <c r="D20" s="20"/>
      <c r="G20" s="26"/>
      <c r="H20" s="20"/>
    </row>
    <row r="21">
      <c r="D21" s="20"/>
      <c r="G21" s="26"/>
      <c r="H21" s="20"/>
    </row>
    <row r="22">
      <c r="D22" s="20"/>
      <c r="G22" s="26"/>
      <c r="H22" s="20"/>
    </row>
    <row r="23">
      <c r="D23" s="20"/>
      <c r="G23" s="26"/>
      <c r="H23" s="20"/>
    </row>
    <row r="24">
      <c r="D24" s="20"/>
      <c r="G24" s="26"/>
      <c r="H24" s="20"/>
    </row>
    <row r="25">
      <c r="D25" s="20"/>
      <c r="G25" s="26"/>
      <c r="H25" s="20"/>
    </row>
    <row r="26">
      <c r="D26" s="20"/>
      <c r="G26" s="26"/>
      <c r="H26" s="20"/>
    </row>
    <row r="27">
      <c r="D27" s="20"/>
      <c r="G27" s="26"/>
      <c r="H27" s="20"/>
    </row>
    <row r="28">
      <c r="D28" s="20"/>
      <c r="G28" s="26"/>
      <c r="H28" s="20"/>
    </row>
    <row r="29">
      <c r="D29" s="20"/>
      <c r="G29" s="26"/>
      <c r="H29" s="20"/>
    </row>
    <row r="30">
      <c r="D30" s="20"/>
      <c r="G30" s="26"/>
      <c r="H30" s="20"/>
    </row>
    <row r="31">
      <c r="D31" s="20"/>
      <c r="G31" s="26"/>
      <c r="H31" s="20"/>
    </row>
    <row r="32">
      <c r="D32" s="20"/>
      <c r="G32" s="26"/>
      <c r="H32" s="20"/>
    </row>
    <row r="33">
      <c r="D33" s="20"/>
      <c r="G33" s="26"/>
      <c r="H33" s="20"/>
    </row>
    <row r="34">
      <c r="D34" s="20"/>
      <c r="G34" s="26"/>
      <c r="H34" s="20"/>
    </row>
    <row r="35">
      <c r="D35" s="20"/>
      <c r="G35" s="26"/>
      <c r="H35" s="20"/>
    </row>
    <row r="36">
      <c r="D36" s="20"/>
      <c r="G36" s="26"/>
      <c r="H36" s="20"/>
    </row>
    <row r="37">
      <c r="D37" s="20"/>
      <c r="G37" s="26"/>
      <c r="H37" s="20"/>
    </row>
    <row r="38">
      <c r="D38" s="20"/>
      <c r="G38" s="26"/>
      <c r="H38" s="20"/>
    </row>
    <row r="39">
      <c r="D39" s="20"/>
      <c r="G39" s="26"/>
      <c r="H39" s="20"/>
    </row>
    <row r="40">
      <c r="D40" s="20"/>
      <c r="G40" s="26"/>
      <c r="H40" s="20"/>
    </row>
    <row r="41">
      <c r="D41" s="20"/>
      <c r="G41" s="26"/>
      <c r="H41" s="20"/>
    </row>
    <row r="42">
      <c r="D42" s="20"/>
      <c r="G42" s="26"/>
      <c r="H42" s="20"/>
    </row>
    <row r="43">
      <c r="D43" s="20"/>
      <c r="G43" s="26"/>
      <c r="H43" s="20"/>
    </row>
    <row r="44">
      <c r="D44" s="20"/>
      <c r="G44" s="26"/>
      <c r="H44" s="20"/>
    </row>
    <row r="45">
      <c r="D45" s="20"/>
      <c r="G45" s="26"/>
      <c r="H45" s="20"/>
    </row>
    <row r="46">
      <c r="D46" s="20"/>
      <c r="G46" s="26"/>
      <c r="H46" s="20"/>
    </row>
    <row r="47">
      <c r="D47" s="20"/>
      <c r="G47" s="26"/>
      <c r="H47" s="20"/>
    </row>
    <row r="48">
      <c r="D48" s="20"/>
      <c r="G48" s="26"/>
      <c r="H48" s="20"/>
    </row>
    <row r="49">
      <c r="D49" s="20"/>
      <c r="G49" s="26"/>
      <c r="H49" s="20"/>
    </row>
    <row r="50">
      <c r="D50" s="20"/>
      <c r="G50" s="26"/>
      <c r="H50" s="20"/>
    </row>
    <row r="51">
      <c r="D51" s="20"/>
      <c r="G51" s="26"/>
      <c r="H51" s="20"/>
    </row>
    <row r="52">
      <c r="D52" s="20"/>
      <c r="G52" s="26"/>
      <c r="H52" s="20"/>
    </row>
    <row r="53">
      <c r="D53" s="20"/>
      <c r="G53" s="26"/>
      <c r="H53" s="20"/>
    </row>
    <row r="54">
      <c r="D54" s="20"/>
      <c r="G54" s="26"/>
      <c r="H54" s="20"/>
    </row>
    <row r="55">
      <c r="D55" s="20"/>
      <c r="G55" s="26"/>
      <c r="H55" s="20"/>
    </row>
    <row r="56">
      <c r="D56" s="20"/>
      <c r="G56" s="26"/>
      <c r="H56" s="20"/>
    </row>
    <row r="57">
      <c r="D57" s="20"/>
      <c r="G57" s="26"/>
      <c r="H57" s="20"/>
    </row>
    <row r="58">
      <c r="D58" s="20"/>
      <c r="G58" s="26"/>
      <c r="H58" s="20"/>
    </row>
    <row r="59">
      <c r="D59" s="20"/>
      <c r="G59" s="26"/>
      <c r="H59" s="20"/>
    </row>
    <row r="60">
      <c r="D60" s="20"/>
      <c r="G60" s="26"/>
      <c r="H60" s="20"/>
    </row>
    <row r="61">
      <c r="D61" s="20"/>
      <c r="G61" s="26"/>
      <c r="H61" s="20"/>
    </row>
    <row r="62">
      <c r="D62" s="20"/>
      <c r="G62" s="26"/>
      <c r="H62" s="20"/>
    </row>
    <row r="63">
      <c r="D63" s="20"/>
      <c r="G63" s="26"/>
      <c r="H63" s="20"/>
    </row>
    <row r="64">
      <c r="D64" s="20"/>
      <c r="G64" s="26"/>
      <c r="H64" s="20"/>
    </row>
    <row r="65">
      <c r="D65" s="20"/>
      <c r="G65" s="26"/>
      <c r="H65" s="20"/>
    </row>
    <row r="66">
      <c r="D66" s="20"/>
      <c r="G66" s="26"/>
      <c r="H66" s="20"/>
    </row>
    <row r="67">
      <c r="D67" s="20"/>
      <c r="G67" s="26"/>
      <c r="H67" s="20"/>
    </row>
    <row r="68">
      <c r="D68" s="20"/>
      <c r="G68" s="26"/>
      <c r="H68" s="20"/>
    </row>
    <row r="69">
      <c r="D69" s="20"/>
      <c r="G69" s="26"/>
      <c r="H69" s="20"/>
    </row>
    <row r="70">
      <c r="D70" s="20"/>
      <c r="G70" s="26"/>
      <c r="H70" s="20"/>
    </row>
    <row r="71">
      <c r="D71" s="20"/>
      <c r="G71" s="26"/>
      <c r="H71" s="20"/>
    </row>
    <row r="72">
      <c r="D72" s="20"/>
      <c r="G72" s="26"/>
      <c r="H72" s="20"/>
    </row>
    <row r="73">
      <c r="D73" s="20"/>
      <c r="G73" s="26"/>
      <c r="H73" s="20"/>
    </row>
    <row r="74">
      <c r="D74" s="20"/>
      <c r="G74" s="26"/>
      <c r="H74" s="20"/>
    </row>
    <row r="75">
      <c r="D75" s="20"/>
      <c r="G75" s="26"/>
      <c r="H75" s="20"/>
    </row>
    <row r="76">
      <c r="D76" s="20"/>
      <c r="G76" s="26"/>
      <c r="H76" s="20"/>
    </row>
    <row r="77">
      <c r="D77" s="20"/>
      <c r="G77" s="26"/>
      <c r="H77" s="20"/>
    </row>
    <row r="78">
      <c r="D78" s="20"/>
      <c r="G78" s="26"/>
      <c r="H78" s="20"/>
    </row>
    <row r="79">
      <c r="D79" s="20"/>
      <c r="G79" s="26"/>
      <c r="H79" s="20"/>
    </row>
    <row r="80">
      <c r="D80" s="20"/>
      <c r="G80" s="26"/>
      <c r="H80" s="20"/>
    </row>
    <row r="81">
      <c r="D81" s="20"/>
      <c r="G81" s="26"/>
      <c r="H81" s="20"/>
    </row>
    <row r="82">
      <c r="D82" s="20"/>
      <c r="G82" s="26"/>
      <c r="H82" s="20"/>
    </row>
    <row r="83">
      <c r="D83" s="20"/>
      <c r="G83" s="26"/>
      <c r="H83" s="20"/>
    </row>
    <row r="84">
      <c r="D84" s="20"/>
      <c r="G84" s="26"/>
      <c r="H84" s="20"/>
    </row>
    <row r="85">
      <c r="D85" s="20"/>
      <c r="G85" s="26"/>
      <c r="H85" s="20"/>
    </row>
    <row r="86">
      <c r="D86" s="20"/>
      <c r="G86" s="26"/>
      <c r="H86" s="20"/>
    </row>
    <row r="87">
      <c r="D87" s="20"/>
      <c r="G87" s="26"/>
      <c r="H87" s="20"/>
    </row>
    <row r="88">
      <c r="D88" s="20"/>
      <c r="G88" s="26"/>
      <c r="H88" s="20"/>
    </row>
    <row r="89">
      <c r="D89" s="20"/>
      <c r="G89" s="26"/>
      <c r="H89" s="20"/>
    </row>
    <row r="90">
      <c r="D90" s="20"/>
      <c r="G90" s="26"/>
      <c r="H90" s="20"/>
    </row>
    <row r="91">
      <c r="D91" s="20"/>
      <c r="G91" s="26"/>
      <c r="H91" s="20"/>
    </row>
    <row r="92">
      <c r="D92" s="20"/>
      <c r="G92" s="26"/>
      <c r="H92" s="20"/>
    </row>
    <row r="93">
      <c r="D93" s="20"/>
      <c r="G93" s="26"/>
      <c r="H93" s="20"/>
    </row>
    <row r="94">
      <c r="D94" s="20"/>
      <c r="G94" s="26"/>
      <c r="H94" s="20"/>
    </row>
    <row r="95">
      <c r="D95" s="20"/>
      <c r="G95" s="26"/>
      <c r="H95" s="20"/>
    </row>
    <row r="96">
      <c r="D96" s="20"/>
      <c r="G96" s="26"/>
      <c r="H96" s="20"/>
    </row>
    <row r="97">
      <c r="D97" s="20"/>
      <c r="G97" s="26"/>
      <c r="H97" s="20"/>
    </row>
    <row r="98">
      <c r="D98" s="20"/>
      <c r="G98" s="26"/>
      <c r="H98" s="20"/>
    </row>
    <row r="99">
      <c r="D99" s="20"/>
      <c r="G99" s="26"/>
      <c r="H99" s="20"/>
    </row>
    <row r="100">
      <c r="D100" s="20"/>
      <c r="G100" s="26"/>
      <c r="H100" s="20"/>
    </row>
    <row r="101">
      <c r="D101" s="20"/>
      <c r="G101" s="26"/>
      <c r="H101" s="20"/>
    </row>
    <row r="102">
      <c r="D102" s="20"/>
      <c r="G102" s="26"/>
      <c r="H102" s="20"/>
    </row>
    <row r="103">
      <c r="D103" s="20"/>
      <c r="G103" s="26"/>
      <c r="H103" s="20"/>
    </row>
    <row r="104">
      <c r="D104" s="20"/>
      <c r="G104" s="26"/>
      <c r="H104" s="20"/>
    </row>
    <row r="105">
      <c r="D105" s="20"/>
      <c r="G105" s="26"/>
      <c r="H105" s="20"/>
    </row>
    <row r="106">
      <c r="D106" s="20"/>
      <c r="G106" s="26"/>
      <c r="H106" s="20"/>
    </row>
    <row r="107">
      <c r="D107" s="20"/>
      <c r="G107" s="26"/>
      <c r="H107" s="20"/>
    </row>
    <row r="108">
      <c r="D108" s="20"/>
      <c r="G108" s="26"/>
      <c r="H108" s="20"/>
    </row>
    <row r="109">
      <c r="D109" s="20"/>
      <c r="G109" s="26"/>
      <c r="H109" s="20"/>
    </row>
    <row r="110">
      <c r="D110" s="20"/>
      <c r="G110" s="26"/>
      <c r="H110" s="20"/>
    </row>
    <row r="111">
      <c r="D111" s="20"/>
      <c r="G111" s="26"/>
      <c r="H111" s="20"/>
    </row>
    <row r="112">
      <c r="D112" s="20"/>
      <c r="G112" s="26"/>
      <c r="H112" s="20"/>
    </row>
    <row r="113">
      <c r="D113" s="20"/>
      <c r="G113" s="26"/>
      <c r="H113" s="20"/>
    </row>
    <row r="114">
      <c r="D114" s="20"/>
      <c r="G114" s="26"/>
      <c r="H114" s="20"/>
    </row>
    <row r="115">
      <c r="D115" s="20"/>
      <c r="G115" s="26"/>
      <c r="H115" s="20"/>
    </row>
    <row r="116">
      <c r="D116" s="20"/>
      <c r="G116" s="26"/>
      <c r="H116" s="20"/>
    </row>
    <row r="117">
      <c r="D117" s="20"/>
      <c r="G117" s="26"/>
      <c r="H117" s="20"/>
    </row>
    <row r="118">
      <c r="D118" s="20"/>
      <c r="G118" s="26"/>
      <c r="H118" s="20"/>
    </row>
    <row r="119">
      <c r="D119" s="20"/>
      <c r="G119" s="26"/>
      <c r="H119" s="20"/>
    </row>
    <row r="120">
      <c r="D120" s="20"/>
      <c r="G120" s="26"/>
      <c r="H120" s="20"/>
    </row>
    <row r="121">
      <c r="D121" s="20"/>
      <c r="G121" s="26"/>
      <c r="H121" s="20"/>
    </row>
    <row r="122">
      <c r="D122" s="20"/>
      <c r="G122" s="26"/>
      <c r="H122" s="20"/>
    </row>
    <row r="123">
      <c r="D123" s="20"/>
      <c r="G123" s="26"/>
      <c r="H123" s="20"/>
    </row>
    <row r="124">
      <c r="D124" s="20"/>
      <c r="G124" s="26"/>
      <c r="H124" s="20"/>
    </row>
    <row r="125">
      <c r="D125" s="20"/>
      <c r="G125" s="26"/>
      <c r="H125" s="20"/>
    </row>
    <row r="126">
      <c r="D126" s="20"/>
      <c r="G126" s="26"/>
      <c r="H126" s="20"/>
    </row>
    <row r="127">
      <c r="D127" s="20"/>
      <c r="G127" s="26"/>
      <c r="H127" s="20"/>
    </row>
    <row r="128">
      <c r="D128" s="20"/>
      <c r="G128" s="26"/>
      <c r="H128" s="20"/>
    </row>
    <row r="129">
      <c r="D129" s="20"/>
      <c r="G129" s="26"/>
      <c r="H129" s="20"/>
    </row>
    <row r="130">
      <c r="D130" s="20"/>
      <c r="G130" s="26"/>
      <c r="H130" s="20"/>
    </row>
    <row r="131">
      <c r="D131" s="20"/>
      <c r="G131" s="26"/>
      <c r="H131" s="20"/>
    </row>
    <row r="132">
      <c r="D132" s="20"/>
      <c r="G132" s="26"/>
      <c r="H132" s="20"/>
    </row>
    <row r="133">
      <c r="D133" s="20"/>
      <c r="G133" s="26"/>
      <c r="H133" s="20"/>
    </row>
    <row r="134">
      <c r="D134" s="20"/>
      <c r="G134" s="26"/>
      <c r="H134" s="20"/>
    </row>
    <row r="135">
      <c r="D135" s="20"/>
      <c r="G135" s="26"/>
      <c r="H135" s="20"/>
    </row>
    <row r="136">
      <c r="D136" s="20"/>
      <c r="G136" s="26"/>
      <c r="H136" s="20"/>
    </row>
    <row r="137">
      <c r="D137" s="20"/>
      <c r="G137" s="26"/>
      <c r="H137" s="20"/>
    </row>
    <row r="138">
      <c r="D138" s="20"/>
      <c r="G138" s="26"/>
      <c r="H138" s="20"/>
    </row>
    <row r="139">
      <c r="D139" s="20"/>
      <c r="G139" s="26"/>
      <c r="H139" s="20"/>
    </row>
    <row r="140">
      <c r="D140" s="20"/>
      <c r="G140" s="26"/>
      <c r="H140" s="20"/>
    </row>
    <row r="141">
      <c r="D141" s="20"/>
      <c r="G141" s="26"/>
      <c r="H141" s="20"/>
    </row>
    <row r="142">
      <c r="D142" s="20"/>
      <c r="G142" s="26"/>
      <c r="H142" s="20"/>
    </row>
    <row r="143">
      <c r="D143" s="20"/>
      <c r="G143" s="26"/>
      <c r="H143" s="20"/>
    </row>
    <row r="144">
      <c r="D144" s="20"/>
      <c r="G144" s="26"/>
      <c r="H144" s="20"/>
    </row>
    <row r="145">
      <c r="D145" s="20"/>
      <c r="G145" s="26"/>
      <c r="H145" s="20"/>
    </row>
    <row r="146">
      <c r="D146" s="20"/>
      <c r="G146" s="26"/>
      <c r="H146" s="20"/>
    </row>
    <row r="147">
      <c r="D147" s="20"/>
      <c r="G147" s="26"/>
      <c r="H147" s="20"/>
    </row>
    <row r="148">
      <c r="D148" s="20"/>
      <c r="G148" s="26"/>
      <c r="H148" s="20"/>
    </row>
    <row r="149">
      <c r="D149" s="20"/>
      <c r="G149" s="26"/>
      <c r="H149" s="20"/>
    </row>
    <row r="150">
      <c r="D150" s="20"/>
      <c r="G150" s="26"/>
      <c r="H150" s="20"/>
    </row>
    <row r="151">
      <c r="D151" s="20"/>
      <c r="G151" s="26"/>
      <c r="H151" s="20"/>
    </row>
    <row r="152">
      <c r="D152" s="20"/>
      <c r="G152" s="26"/>
      <c r="H152" s="20"/>
    </row>
    <row r="153">
      <c r="D153" s="20"/>
      <c r="G153" s="26"/>
      <c r="H153" s="20"/>
    </row>
    <row r="154">
      <c r="D154" s="20"/>
      <c r="G154" s="26"/>
      <c r="H154" s="20"/>
    </row>
    <row r="155">
      <c r="D155" s="20"/>
      <c r="G155" s="26"/>
      <c r="H155" s="20"/>
    </row>
    <row r="156">
      <c r="D156" s="20"/>
      <c r="G156" s="26"/>
      <c r="H156" s="20"/>
    </row>
    <row r="157">
      <c r="D157" s="20"/>
      <c r="G157" s="26"/>
      <c r="H157" s="20"/>
    </row>
    <row r="158">
      <c r="D158" s="20"/>
      <c r="G158" s="26"/>
      <c r="H158" s="20"/>
    </row>
    <row r="159">
      <c r="D159" s="20"/>
      <c r="G159" s="26"/>
      <c r="H159" s="20"/>
    </row>
    <row r="160">
      <c r="D160" s="20"/>
      <c r="G160" s="26"/>
      <c r="H160" s="20"/>
    </row>
    <row r="161">
      <c r="D161" s="20"/>
      <c r="G161" s="26"/>
      <c r="H161" s="20"/>
    </row>
    <row r="162">
      <c r="D162" s="20"/>
      <c r="G162" s="26"/>
      <c r="H162" s="20"/>
    </row>
    <row r="163">
      <c r="D163" s="20"/>
      <c r="G163" s="26"/>
      <c r="H163" s="20"/>
    </row>
    <row r="164">
      <c r="D164" s="20"/>
      <c r="G164" s="26"/>
      <c r="H164" s="20"/>
    </row>
    <row r="165">
      <c r="D165" s="20"/>
      <c r="G165" s="26"/>
      <c r="H165" s="20"/>
    </row>
    <row r="166">
      <c r="D166" s="20"/>
      <c r="G166" s="26"/>
      <c r="H166" s="20"/>
    </row>
    <row r="167">
      <c r="D167" s="20"/>
      <c r="G167" s="26"/>
      <c r="H167" s="20"/>
    </row>
    <row r="168">
      <c r="D168" s="20"/>
      <c r="G168" s="26"/>
      <c r="H168" s="20"/>
    </row>
    <row r="169">
      <c r="D169" s="20"/>
      <c r="G169" s="26"/>
      <c r="H169" s="20"/>
    </row>
    <row r="170">
      <c r="D170" s="20"/>
      <c r="G170" s="26"/>
      <c r="H170" s="20"/>
    </row>
    <row r="171">
      <c r="D171" s="20"/>
      <c r="G171" s="26"/>
      <c r="H171" s="20"/>
    </row>
    <row r="172">
      <c r="D172" s="20"/>
      <c r="G172" s="26"/>
      <c r="H172" s="20"/>
    </row>
    <row r="173">
      <c r="D173" s="20"/>
      <c r="G173" s="26"/>
      <c r="H173" s="20"/>
    </row>
    <row r="174">
      <c r="D174" s="20"/>
      <c r="G174" s="26"/>
      <c r="H174" s="20"/>
    </row>
    <row r="175">
      <c r="D175" s="20"/>
      <c r="G175" s="26"/>
      <c r="H175" s="20"/>
    </row>
    <row r="176">
      <c r="D176" s="20"/>
      <c r="G176" s="26"/>
      <c r="H176" s="20"/>
    </row>
    <row r="177">
      <c r="D177" s="20"/>
      <c r="G177" s="26"/>
      <c r="H177" s="20"/>
    </row>
    <row r="178">
      <c r="D178" s="20"/>
      <c r="G178" s="26"/>
      <c r="H178" s="20"/>
    </row>
    <row r="179">
      <c r="D179" s="20"/>
      <c r="G179" s="26"/>
      <c r="H179" s="20"/>
    </row>
    <row r="180">
      <c r="D180" s="20"/>
      <c r="G180" s="26"/>
      <c r="H180" s="20"/>
    </row>
    <row r="181">
      <c r="D181" s="20"/>
      <c r="G181" s="26"/>
      <c r="H181" s="20"/>
    </row>
    <row r="182">
      <c r="D182" s="20"/>
      <c r="G182" s="26"/>
      <c r="H182" s="20"/>
    </row>
    <row r="183">
      <c r="D183" s="20"/>
      <c r="G183" s="26"/>
      <c r="H183" s="20"/>
    </row>
    <row r="184">
      <c r="D184" s="20"/>
      <c r="G184" s="26"/>
      <c r="H184" s="20"/>
    </row>
    <row r="185">
      <c r="D185" s="20"/>
      <c r="G185" s="26"/>
      <c r="H185" s="20"/>
    </row>
    <row r="186">
      <c r="D186" s="20"/>
      <c r="G186" s="26"/>
      <c r="H186" s="20"/>
    </row>
    <row r="187">
      <c r="D187" s="20"/>
      <c r="G187" s="26"/>
      <c r="H187" s="20"/>
    </row>
    <row r="188">
      <c r="D188" s="20"/>
      <c r="G188" s="26"/>
      <c r="H188" s="20"/>
    </row>
    <row r="189">
      <c r="D189" s="20"/>
      <c r="G189" s="26"/>
      <c r="H189" s="20"/>
    </row>
    <row r="190">
      <c r="D190" s="20"/>
      <c r="G190" s="26"/>
      <c r="H190" s="20"/>
    </row>
    <row r="191">
      <c r="D191" s="20"/>
      <c r="G191" s="26"/>
      <c r="H191" s="20"/>
    </row>
    <row r="192">
      <c r="D192" s="20"/>
      <c r="G192" s="26"/>
      <c r="H192" s="20"/>
    </row>
    <row r="193">
      <c r="D193" s="20"/>
      <c r="G193" s="26"/>
      <c r="H193" s="20"/>
    </row>
    <row r="194">
      <c r="D194" s="20"/>
      <c r="G194" s="26"/>
      <c r="H194" s="20"/>
    </row>
    <row r="195">
      <c r="D195" s="20"/>
      <c r="G195" s="26"/>
      <c r="H195" s="20"/>
    </row>
    <row r="196">
      <c r="D196" s="20"/>
      <c r="G196" s="26"/>
      <c r="H196" s="20"/>
    </row>
    <row r="197">
      <c r="D197" s="20"/>
      <c r="G197" s="26"/>
      <c r="H197" s="20"/>
    </row>
    <row r="198">
      <c r="D198" s="20"/>
      <c r="G198" s="26"/>
      <c r="H198" s="20"/>
    </row>
    <row r="199">
      <c r="D199" s="20"/>
      <c r="G199" s="26"/>
      <c r="H199" s="20"/>
    </row>
    <row r="200">
      <c r="D200" s="20"/>
      <c r="G200" s="26"/>
      <c r="H200" s="20"/>
    </row>
    <row r="201">
      <c r="D201" s="20"/>
      <c r="G201" s="26"/>
      <c r="H201" s="20"/>
    </row>
    <row r="202">
      <c r="D202" s="20"/>
      <c r="G202" s="26"/>
      <c r="H202" s="20"/>
    </row>
    <row r="203">
      <c r="D203" s="20"/>
      <c r="G203" s="26"/>
      <c r="H203" s="20"/>
    </row>
    <row r="204">
      <c r="D204" s="20"/>
      <c r="G204" s="26"/>
      <c r="H204" s="20"/>
    </row>
    <row r="205">
      <c r="D205" s="20"/>
      <c r="G205" s="26"/>
      <c r="H205" s="20"/>
    </row>
    <row r="206">
      <c r="D206" s="20"/>
      <c r="G206" s="26"/>
      <c r="H206" s="20"/>
    </row>
    <row r="207">
      <c r="D207" s="20"/>
      <c r="G207" s="26"/>
      <c r="H207" s="20"/>
    </row>
    <row r="208">
      <c r="D208" s="20"/>
      <c r="G208" s="26"/>
      <c r="H208" s="20"/>
    </row>
    <row r="209">
      <c r="D209" s="20"/>
      <c r="G209" s="26"/>
      <c r="H209" s="20"/>
    </row>
    <row r="210">
      <c r="D210" s="20"/>
      <c r="G210" s="26"/>
      <c r="H210" s="20"/>
    </row>
    <row r="211">
      <c r="D211" s="20"/>
      <c r="G211" s="26"/>
      <c r="H211" s="20"/>
    </row>
    <row r="212">
      <c r="D212" s="20"/>
      <c r="G212" s="26"/>
      <c r="H212" s="20"/>
    </row>
    <row r="213">
      <c r="D213" s="20"/>
      <c r="G213" s="26"/>
      <c r="H213" s="20"/>
    </row>
    <row r="214">
      <c r="D214" s="20"/>
      <c r="G214" s="26"/>
      <c r="H214" s="20"/>
    </row>
    <row r="215">
      <c r="D215" s="20"/>
      <c r="G215" s="26"/>
      <c r="H215" s="20"/>
    </row>
    <row r="216">
      <c r="D216" s="20"/>
      <c r="G216" s="26"/>
      <c r="H216" s="20"/>
    </row>
    <row r="217">
      <c r="D217" s="20"/>
      <c r="G217" s="26"/>
      <c r="H217" s="20"/>
    </row>
    <row r="218">
      <c r="D218" s="20"/>
      <c r="G218" s="26"/>
      <c r="H218" s="20"/>
    </row>
    <row r="219">
      <c r="D219" s="20"/>
      <c r="G219" s="26"/>
      <c r="H219" s="20"/>
    </row>
    <row r="220">
      <c r="D220" s="20"/>
      <c r="G220" s="26"/>
      <c r="H220" s="20"/>
    </row>
    <row r="221">
      <c r="D221" s="20"/>
      <c r="G221" s="26"/>
      <c r="H221" s="20"/>
    </row>
    <row r="222">
      <c r="D222" s="20"/>
      <c r="G222" s="26"/>
      <c r="H222" s="20"/>
    </row>
    <row r="223">
      <c r="D223" s="20"/>
      <c r="G223" s="26"/>
      <c r="H223" s="20"/>
    </row>
    <row r="224">
      <c r="D224" s="20"/>
      <c r="G224" s="26"/>
      <c r="H224" s="20"/>
    </row>
    <row r="225">
      <c r="D225" s="20"/>
      <c r="G225" s="26"/>
      <c r="H225" s="20"/>
    </row>
    <row r="226">
      <c r="D226" s="20"/>
      <c r="G226" s="26"/>
      <c r="H226" s="20"/>
    </row>
    <row r="227">
      <c r="D227" s="20"/>
      <c r="G227" s="26"/>
      <c r="H227" s="20"/>
    </row>
    <row r="228">
      <c r="D228" s="20"/>
      <c r="G228" s="26"/>
      <c r="H228" s="20"/>
    </row>
    <row r="229">
      <c r="D229" s="20"/>
      <c r="G229" s="26"/>
      <c r="H229" s="20"/>
    </row>
    <row r="230">
      <c r="D230" s="20"/>
      <c r="G230" s="26"/>
      <c r="H230" s="20"/>
    </row>
    <row r="231">
      <c r="D231" s="20"/>
      <c r="G231" s="26"/>
      <c r="H231" s="20"/>
    </row>
    <row r="232">
      <c r="D232" s="20"/>
      <c r="G232" s="26"/>
      <c r="H232" s="20"/>
    </row>
    <row r="233">
      <c r="D233" s="20"/>
      <c r="G233" s="26"/>
      <c r="H233" s="20"/>
    </row>
    <row r="234">
      <c r="D234" s="20"/>
      <c r="G234" s="26"/>
      <c r="H234" s="20"/>
    </row>
    <row r="235">
      <c r="D235" s="20"/>
      <c r="G235" s="26"/>
      <c r="H235" s="20"/>
    </row>
    <row r="236">
      <c r="D236" s="20"/>
      <c r="G236" s="26"/>
      <c r="H236" s="20"/>
    </row>
    <row r="237">
      <c r="D237" s="20"/>
      <c r="G237" s="26"/>
      <c r="H237" s="20"/>
    </row>
    <row r="238">
      <c r="D238" s="20"/>
      <c r="G238" s="26"/>
      <c r="H238" s="20"/>
    </row>
    <row r="239">
      <c r="D239" s="20"/>
      <c r="G239" s="26"/>
      <c r="H239" s="20"/>
    </row>
    <row r="240">
      <c r="D240" s="20"/>
      <c r="G240" s="26"/>
      <c r="H240" s="20"/>
    </row>
    <row r="241">
      <c r="D241" s="20"/>
      <c r="G241" s="26"/>
      <c r="H241" s="20"/>
    </row>
    <row r="242">
      <c r="D242" s="20"/>
      <c r="G242" s="26"/>
      <c r="H242" s="20"/>
    </row>
    <row r="243">
      <c r="D243" s="20"/>
      <c r="G243" s="26"/>
      <c r="H243" s="20"/>
    </row>
    <row r="244">
      <c r="D244" s="20"/>
      <c r="G244" s="26"/>
      <c r="H244" s="20"/>
    </row>
    <row r="245">
      <c r="D245" s="20"/>
      <c r="G245" s="26"/>
      <c r="H245" s="20"/>
    </row>
    <row r="246">
      <c r="D246" s="20"/>
      <c r="G246" s="26"/>
      <c r="H246" s="20"/>
    </row>
    <row r="247">
      <c r="D247" s="20"/>
      <c r="G247" s="26"/>
      <c r="H247" s="20"/>
    </row>
    <row r="248">
      <c r="D248" s="20"/>
      <c r="G248" s="26"/>
      <c r="H248" s="20"/>
    </row>
    <row r="249">
      <c r="D249" s="20"/>
      <c r="G249" s="26"/>
      <c r="H249" s="20"/>
    </row>
    <row r="250">
      <c r="D250" s="20"/>
      <c r="G250" s="26"/>
      <c r="H250" s="20"/>
    </row>
    <row r="251">
      <c r="D251" s="20"/>
      <c r="G251" s="26"/>
      <c r="H251" s="20"/>
    </row>
    <row r="252">
      <c r="D252" s="20"/>
      <c r="G252" s="26"/>
      <c r="H252" s="20"/>
    </row>
    <row r="253">
      <c r="D253" s="20"/>
      <c r="G253" s="26"/>
      <c r="H253" s="20"/>
    </row>
    <row r="254">
      <c r="D254" s="20"/>
      <c r="G254" s="26"/>
      <c r="H254" s="20"/>
    </row>
    <row r="255">
      <c r="D255" s="20"/>
      <c r="G255" s="26"/>
      <c r="H255" s="20"/>
    </row>
    <row r="256">
      <c r="D256" s="20"/>
      <c r="G256" s="26"/>
      <c r="H256" s="20"/>
    </row>
    <row r="257">
      <c r="D257" s="20"/>
      <c r="G257" s="26"/>
      <c r="H257" s="20"/>
    </row>
    <row r="258">
      <c r="D258" s="20"/>
      <c r="G258" s="26"/>
      <c r="H258" s="20"/>
    </row>
    <row r="259">
      <c r="D259" s="20"/>
      <c r="G259" s="26"/>
      <c r="H259" s="20"/>
    </row>
    <row r="260">
      <c r="D260" s="20"/>
      <c r="G260" s="26"/>
      <c r="H260" s="20"/>
    </row>
    <row r="261">
      <c r="D261" s="20"/>
      <c r="G261" s="26"/>
      <c r="H261" s="20"/>
    </row>
    <row r="262">
      <c r="D262" s="20"/>
      <c r="G262" s="26"/>
      <c r="H262" s="20"/>
    </row>
    <row r="263">
      <c r="D263" s="20"/>
      <c r="G263" s="26"/>
      <c r="H263" s="20"/>
    </row>
    <row r="264">
      <c r="D264" s="20"/>
      <c r="G264" s="26"/>
      <c r="H264" s="20"/>
    </row>
    <row r="265">
      <c r="D265" s="20"/>
      <c r="G265" s="26"/>
      <c r="H265" s="20"/>
    </row>
    <row r="266">
      <c r="D266" s="20"/>
      <c r="G266" s="26"/>
      <c r="H266" s="20"/>
    </row>
    <row r="267">
      <c r="D267" s="20"/>
      <c r="G267" s="26"/>
      <c r="H267" s="20"/>
    </row>
    <row r="268">
      <c r="D268" s="20"/>
      <c r="G268" s="26"/>
      <c r="H268" s="20"/>
    </row>
    <row r="269">
      <c r="D269" s="20"/>
      <c r="G269" s="26"/>
      <c r="H269" s="20"/>
    </row>
    <row r="270">
      <c r="D270" s="20"/>
      <c r="G270" s="26"/>
      <c r="H270" s="20"/>
    </row>
    <row r="271">
      <c r="D271" s="20"/>
      <c r="G271" s="26"/>
      <c r="H271" s="20"/>
    </row>
    <row r="272">
      <c r="D272" s="20"/>
      <c r="G272" s="26"/>
      <c r="H272" s="20"/>
    </row>
    <row r="273">
      <c r="D273" s="20"/>
      <c r="G273" s="26"/>
      <c r="H273" s="20"/>
    </row>
    <row r="274">
      <c r="D274" s="20"/>
      <c r="G274" s="26"/>
      <c r="H274" s="20"/>
    </row>
    <row r="275">
      <c r="D275" s="20"/>
      <c r="G275" s="26"/>
      <c r="H275" s="20"/>
    </row>
    <row r="276">
      <c r="D276" s="20"/>
      <c r="G276" s="26"/>
      <c r="H276" s="20"/>
    </row>
    <row r="277">
      <c r="D277" s="20"/>
      <c r="G277" s="26"/>
      <c r="H277" s="20"/>
    </row>
    <row r="278">
      <c r="D278" s="20"/>
      <c r="G278" s="26"/>
      <c r="H278" s="20"/>
    </row>
    <row r="279">
      <c r="D279" s="20"/>
      <c r="G279" s="26"/>
      <c r="H279" s="20"/>
    </row>
    <row r="280">
      <c r="D280" s="20"/>
      <c r="G280" s="26"/>
      <c r="H280" s="20"/>
    </row>
    <row r="281">
      <c r="D281" s="20"/>
      <c r="G281" s="26"/>
      <c r="H281" s="20"/>
    </row>
    <row r="282">
      <c r="D282" s="20"/>
      <c r="G282" s="26"/>
      <c r="H282" s="20"/>
    </row>
    <row r="283">
      <c r="D283" s="20"/>
      <c r="G283" s="26"/>
      <c r="H283" s="20"/>
    </row>
    <row r="284">
      <c r="D284" s="20"/>
      <c r="G284" s="26"/>
      <c r="H284" s="20"/>
    </row>
    <row r="285">
      <c r="D285" s="20"/>
      <c r="G285" s="26"/>
      <c r="H285" s="20"/>
    </row>
    <row r="286">
      <c r="D286" s="20"/>
      <c r="G286" s="26"/>
      <c r="H286" s="20"/>
    </row>
    <row r="287">
      <c r="D287" s="20"/>
      <c r="G287" s="26"/>
      <c r="H287" s="20"/>
    </row>
    <row r="288">
      <c r="D288" s="20"/>
      <c r="G288" s="26"/>
      <c r="H288" s="20"/>
    </row>
    <row r="289">
      <c r="D289" s="20"/>
      <c r="G289" s="26"/>
      <c r="H289" s="20"/>
    </row>
    <row r="290">
      <c r="D290" s="20"/>
      <c r="G290" s="26"/>
      <c r="H290" s="20"/>
    </row>
    <row r="291">
      <c r="D291" s="20"/>
      <c r="G291" s="26"/>
      <c r="H291" s="20"/>
    </row>
    <row r="292">
      <c r="D292" s="20"/>
      <c r="G292" s="26"/>
      <c r="H292" s="20"/>
    </row>
    <row r="293">
      <c r="D293" s="20"/>
      <c r="G293" s="26"/>
      <c r="H293" s="20"/>
    </row>
    <row r="294">
      <c r="D294" s="20"/>
      <c r="G294" s="26"/>
      <c r="H294" s="20"/>
    </row>
    <row r="295">
      <c r="D295" s="20"/>
      <c r="G295" s="26"/>
      <c r="H295" s="20"/>
    </row>
    <row r="296">
      <c r="D296" s="20"/>
      <c r="G296" s="26"/>
      <c r="H296" s="20"/>
    </row>
    <row r="297">
      <c r="D297" s="20"/>
      <c r="G297" s="26"/>
      <c r="H297" s="20"/>
    </row>
    <row r="298">
      <c r="D298" s="20"/>
      <c r="G298" s="26"/>
      <c r="H298" s="20"/>
    </row>
    <row r="299">
      <c r="D299" s="20"/>
      <c r="G299" s="26"/>
      <c r="H299" s="20"/>
    </row>
    <row r="300">
      <c r="D300" s="20"/>
      <c r="G300" s="26"/>
      <c r="H300" s="20"/>
    </row>
    <row r="301">
      <c r="D301" s="20"/>
      <c r="G301" s="26"/>
      <c r="H301" s="20"/>
    </row>
    <row r="302">
      <c r="D302" s="20"/>
      <c r="G302" s="26"/>
      <c r="H302" s="20"/>
    </row>
    <row r="303">
      <c r="D303" s="20"/>
      <c r="G303" s="26"/>
      <c r="H303" s="20"/>
    </row>
    <row r="304">
      <c r="D304" s="20"/>
      <c r="G304" s="26"/>
      <c r="H304" s="20"/>
    </row>
    <row r="305">
      <c r="D305" s="20"/>
      <c r="G305" s="26"/>
      <c r="H305" s="20"/>
    </row>
    <row r="306">
      <c r="D306" s="20"/>
      <c r="G306" s="26"/>
      <c r="H306" s="20"/>
    </row>
    <row r="307">
      <c r="D307" s="20"/>
      <c r="G307" s="26"/>
      <c r="H307" s="20"/>
    </row>
    <row r="308">
      <c r="D308" s="20"/>
      <c r="G308" s="26"/>
      <c r="H308" s="20"/>
    </row>
    <row r="309">
      <c r="D309" s="20"/>
      <c r="G309" s="26"/>
      <c r="H309" s="20"/>
    </row>
    <row r="310">
      <c r="D310" s="20"/>
      <c r="G310" s="26"/>
      <c r="H310" s="20"/>
    </row>
    <row r="311">
      <c r="D311" s="20"/>
      <c r="G311" s="26"/>
      <c r="H311" s="20"/>
    </row>
    <row r="312">
      <c r="D312" s="20"/>
      <c r="G312" s="26"/>
      <c r="H312" s="20"/>
    </row>
    <row r="313">
      <c r="D313" s="20"/>
      <c r="G313" s="26"/>
      <c r="H313" s="20"/>
    </row>
    <row r="314">
      <c r="D314" s="20"/>
      <c r="G314" s="26"/>
      <c r="H314" s="20"/>
    </row>
    <row r="315">
      <c r="D315" s="20"/>
      <c r="G315" s="26"/>
      <c r="H315" s="20"/>
    </row>
    <row r="316">
      <c r="D316" s="20"/>
      <c r="G316" s="26"/>
      <c r="H316" s="20"/>
    </row>
    <row r="317">
      <c r="D317" s="20"/>
      <c r="G317" s="26"/>
      <c r="H317" s="20"/>
    </row>
    <row r="318">
      <c r="D318" s="20"/>
      <c r="G318" s="26"/>
      <c r="H318" s="20"/>
    </row>
    <row r="319">
      <c r="D319" s="20"/>
      <c r="G319" s="26"/>
      <c r="H319" s="20"/>
    </row>
    <row r="320">
      <c r="D320" s="20"/>
      <c r="G320" s="26"/>
      <c r="H320" s="20"/>
    </row>
    <row r="321">
      <c r="D321" s="20"/>
      <c r="G321" s="26"/>
      <c r="H321" s="20"/>
    </row>
    <row r="322">
      <c r="D322" s="20"/>
      <c r="G322" s="26"/>
      <c r="H322" s="20"/>
    </row>
    <row r="323">
      <c r="D323" s="20"/>
      <c r="G323" s="26"/>
      <c r="H323" s="20"/>
    </row>
    <row r="324">
      <c r="D324" s="20"/>
      <c r="G324" s="26"/>
      <c r="H324" s="20"/>
    </row>
    <row r="325">
      <c r="D325" s="20"/>
      <c r="G325" s="26"/>
      <c r="H325" s="20"/>
    </row>
    <row r="326">
      <c r="D326" s="20"/>
      <c r="G326" s="26"/>
      <c r="H326" s="20"/>
    </row>
    <row r="327">
      <c r="D327" s="20"/>
      <c r="G327" s="26"/>
      <c r="H327" s="20"/>
    </row>
    <row r="328">
      <c r="D328" s="20"/>
      <c r="G328" s="26"/>
      <c r="H328" s="20"/>
    </row>
    <row r="329">
      <c r="D329" s="20"/>
      <c r="G329" s="26"/>
      <c r="H329" s="20"/>
    </row>
    <row r="330">
      <c r="D330" s="20"/>
      <c r="G330" s="26"/>
      <c r="H330" s="20"/>
    </row>
    <row r="331">
      <c r="D331" s="20"/>
      <c r="G331" s="26"/>
      <c r="H331" s="20"/>
    </row>
    <row r="332">
      <c r="D332" s="20"/>
      <c r="G332" s="26"/>
      <c r="H332" s="20"/>
    </row>
    <row r="333">
      <c r="D333" s="20"/>
      <c r="G333" s="26"/>
      <c r="H333" s="20"/>
    </row>
    <row r="334">
      <c r="D334" s="20"/>
      <c r="G334" s="26"/>
      <c r="H334" s="20"/>
    </row>
    <row r="335">
      <c r="D335" s="20"/>
      <c r="G335" s="26"/>
      <c r="H335" s="20"/>
    </row>
    <row r="336">
      <c r="D336" s="20"/>
      <c r="G336" s="26"/>
      <c r="H336" s="20"/>
    </row>
    <row r="337">
      <c r="D337" s="20"/>
      <c r="G337" s="26"/>
      <c r="H337" s="20"/>
    </row>
    <row r="338">
      <c r="D338" s="20"/>
      <c r="G338" s="26"/>
      <c r="H338" s="20"/>
    </row>
    <row r="339">
      <c r="D339" s="20"/>
      <c r="G339" s="26"/>
      <c r="H339" s="20"/>
    </row>
    <row r="340">
      <c r="D340" s="20"/>
      <c r="G340" s="26"/>
      <c r="H340" s="20"/>
    </row>
    <row r="341">
      <c r="D341" s="20"/>
      <c r="G341" s="26"/>
      <c r="H341" s="20"/>
    </row>
    <row r="342">
      <c r="D342" s="20"/>
      <c r="G342" s="26"/>
      <c r="H342" s="20"/>
    </row>
    <row r="343">
      <c r="D343" s="20"/>
      <c r="G343" s="26"/>
      <c r="H343" s="20"/>
    </row>
    <row r="344">
      <c r="D344" s="20"/>
      <c r="G344" s="26"/>
      <c r="H344" s="20"/>
    </row>
    <row r="345">
      <c r="D345" s="20"/>
      <c r="G345" s="26"/>
      <c r="H345" s="20"/>
    </row>
    <row r="346">
      <c r="D346" s="20"/>
      <c r="G346" s="26"/>
      <c r="H346" s="20"/>
    </row>
    <row r="347">
      <c r="D347" s="20"/>
      <c r="G347" s="26"/>
      <c r="H347" s="20"/>
    </row>
    <row r="348">
      <c r="D348" s="20"/>
      <c r="G348" s="26"/>
      <c r="H348" s="20"/>
    </row>
    <row r="349">
      <c r="D349" s="20"/>
      <c r="G349" s="26"/>
      <c r="H349" s="20"/>
    </row>
    <row r="350">
      <c r="D350" s="20"/>
      <c r="G350" s="26"/>
      <c r="H350" s="20"/>
    </row>
    <row r="351">
      <c r="D351" s="20"/>
      <c r="G351" s="26"/>
      <c r="H351" s="20"/>
    </row>
    <row r="352">
      <c r="D352" s="20"/>
      <c r="G352" s="26"/>
      <c r="H352" s="20"/>
    </row>
    <row r="353">
      <c r="D353" s="20"/>
      <c r="G353" s="26"/>
      <c r="H353" s="20"/>
    </row>
    <row r="354">
      <c r="D354" s="20"/>
      <c r="G354" s="26"/>
      <c r="H354" s="20"/>
    </row>
    <row r="355">
      <c r="D355" s="20"/>
      <c r="G355" s="26"/>
      <c r="H355" s="20"/>
    </row>
    <row r="356">
      <c r="D356" s="20"/>
      <c r="G356" s="26"/>
      <c r="H356" s="20"/>
    </row>
    <row r="357">
      <c r="D357" s="20"/>
      <c r="G357" s="26"/>
      <c r="H357" s="20"/>
    </row>
    <row r="358">
      <c r="D358" s="20"/>
      <c r="G358" s="26"/>
      <c r="H358" s="20"/>
    </row>
    <row r="359">
      <c r="D359" s="20"/>
      <c r="G359" s="26"/>
      <c r="H359" s="20"/>
    </row>
    <row r="360">
      <c r="D360" s="20"/>
      <c r="G360" s="26"/>
      <c r="H360" s="20"/>
    </row>
    <row r="361">
      <c r="D361" s="20"/>
      <c r="G361" s="26"/>
      <c r="H361" s="20"/>
    </row>
    <row r="362">
      <c r="D362" s="20"/>
      <c r="G362" s="26"/>
      <c r="H362" s="20"/>
    </row>
    <row r="363">
      <c r="D363" s="20"/>
      <c r="G363" s="26"/>
      <c r="H363" s="20"/>
    </row>
    <row r="364">
      <c r="D364" s="20"/>
      <c r="G364" s="26"/>
      <c r="H364" s="20"/>
    </row>
    <row r="365">
      <c r="D365" s="20"/>
      <c r="G365" s="26"/>
      <c r="H365" s="20"/>
    </row>
    <row r="366">
      <c r="D366" s="20"/>
      <c r="G366" s="26"/>
      <c r="H366" s="20"/>
    </row>
    <row r="367">
      <c r="D367" s="20"/>
      <c r="G367" s="26"/>
      <c r="H367" s="20"/>
    </row>
    <row r="368">
      <c r="D368" s="20"/>
      <c r="G368" s="26"/>
      <c r="H368" s="20"/>
    </row>
    <row r="369">
      <c r="D369" s="20"/>
      <c r="G369" s="26"/>
      <c r="H369" s="20"/>
    </row>
    <row r="370">
      <c r="D370" s="20"/>
      <c r="G370" s="26"/>
      <c r="H370" s="20"/>
    </row>
    <row r="371">
      <c r="D371" s="20"/>
      <c r="G371" s="26"/>
      <c r="H371" s="20"/>
    </row>
    <row r="372">
      <c r="D372" s="20"/>
      <c r="G372" s="26"/>
      <c r="H372" s="20"/>
    </row>
    <row r="373">
      <c r="D373" s="20"/>
      <c r="G373" s="26"/>
      <c r="H373" s="20"/>
    </row>
    <row r="374">
      <c r="D374" s="20"/>
      <c r="G374" s="26"/>
      <c r="H374" s="20"/>
    </row>
    <row r="375">
      <c r="D375" s="20"/>
      <c r="G375" s="26"/>
      <c r="H375" s="20"/>
    </row>
    <row r="376">
      <c r="D376" s="20"/>
      <c r="G376" s="26"/>
      <c r="H376" s="20"/>
    </row>
    <row r="377">
      <c r="D377" s="20"/>
      <c r="G377" s="26"/>
      <c r="H377" s="20"/>
    </row>
    <row r="378">
      <c r="D378" s="20"/>
      <c r="G378" s="26"/>
      <c r="H378" s="20"/>
    </row>
    <row r="379">
      <c r="D379" s="20"/>
      <c r="G379" s="26"/>
      <c r="H379" s="20"/>
    </row>
    <row r="380">
      <c r="D380" s="20"/>
      <c r="G380" s="26"/>
      <c r="H380" s="20"/>
    </row>
    <row r="381">
      <c r="D381" s="20"/>
      <c r="G381" s="26"/>
      <c r="H381" s="20"/>
    </row>
    <row r="382">
      <c r="D382" s="20"/>
      <c r="G382" s="26"/>
      <c r="H382" s="20"/>
    </row>
    <row r="383">
      <c r="D383" s="20"/>
      <c r="G383" s="26"/>
      <c r="H383" s="20"/>
    </row>
    <row r="384">
      <c r="D384" s="20"/>
      <c r="G384" s="26"/>
      <c r="H384" s="20"/>
    </row>
    <row r="385">
      <c r="D385" s="20"/>
      <c r="G385" s="26"/>
      <c r="H385" s="20"/>
    </row>
    <row r="386">
      <c r="D386" s="20"/>
      <c r="G386" s="26"/>
      <c r="H386" s="20"/>
    </row>
    <row r="387">
      <c r="D387" s="20"/>
      <c r="G387" s="26"/>
      <c r="H387" s="20"/>
    </row>
    <row r="388">
      <c r="D388" s="20"/>
      <c r="G388" s="26"/>
      <c r="H388" s="20"/>
    </row>
    <row r="389">
      <c r="D389" s="20"/>
      <c r="G389" s="26"/>
      <c r="H389" s="20"/>
    </row>
    <row r="390">
      <c r="D390" s="20"/>
      <c r="G390" s="26"/>
      <c r="H390" s="20"/>
    </row>
    <row r="391">
      <c r="D391" s="20"/>
      <c r="G391" s="26"/>
      <c r="H391" s="20"/>
    </row>
    <row r="392">
      <c r="D392" s="20"/>
      <c r="G392" s="26"/>
      <c r="H392" s="20"/>
    </row>
    <row r="393">
      <c r="D393" s="20"/>
      <c r="G393" s="26"/>
      <c r="H393" s="20"/>
    </row>
    <row r="394">
      <c r="D394" s="20"/>
      <c r="G394" s="26"/>
      <c r="H394" s="20"/>
    </row>
    <row r="395">
      <c r="D395" s="20"/>
      <c r="G395" s="26"/>
      <c r="H395" s="20"/>
    </row>
    <row r="396">
      <c r="D396" s="20"/>
      <c r="G396" s="26"/>
      <c r="H396" s="20"/>
    </row>
    <row r="397">
      <c r="D397" s="20"/>
      <c r="G397" s="26"/>
      <c r="H397" s="20"/>
    </row>
    <row r="398">
      <c r="D398" s="20"/>
      <c r="G398" s="26"/>
      <c r="H398" s="20"/>
    </row>
    <row r="399">
      <c r="D399" s="20"/>
      <c r="G399" s="26"/>
      <c r="H399" s="20"/>
    </row>
    <row r="400">
      <c r="D400" s="20"/>
      <c r="G400" s="26"/>
      <c r="H400" s="20"/>
    </row>
    <row r="401">
      <c r="D401" s="20"/>
      <c r="G401" s="26"/>
      <c r="H401" s="20"/>
    </row>
    <row r="402">
      <c r="D402" s="20"/>
      <c r="G402" s="26"/>
      <c r="H402" s="20"/>
    </row>
    <row r="403">
      <c r="D403" s="20"/>
      <c r="G403" s="26"/>
      <c r="H403" s="20"/>
    </row>
    <row r="404">
      <c r="D404" s="20"/>
      <c r="G404" s="26"/>
      <c r="H404" s="20"/>
    </row>
    <row r="405">
      <c r="D405" s="20"/>
      <c r="G405" s="26"/>
      <c r="H405" s="20"/>
    </row>
    <row r="406">
      <c r="D406" s="20"/>
      <c r="G406" s="26"/>
      <c r="H406" s="20"/>
    </row>
    <row r="407">
      <c r="D407" s="20"/>
      <c r="G407" s="26"/>
      <c r="H407" s="20"/>
    </row>
    <row r="408">
      <c r="D408" s="20"/>
      <c r="G408" s="26"/>
      <c r="H408" s="20"/>
    </row>
    <row r="409">
      <c r="D409" s="20"/>
      <c r="G409" s="26"/>
      <c r="H409" s="20"/>
    </row>
    <row r="410">
      <c r="D410" s="20"/>
      <c r="G410" s="26"/>
      <c r="H410" s="20"/>
    </row>
    <row r="411">
      <c r="D411" s="20"/>
      <c r="G411" s="26"/>
      <c r="H411" s="20"/>
    </row>
    <row r="412">
      <c r="D412" s="20"/>
      <c r="G412" s="26"/>
      <c r="H412" s="20"/>
    </row>
    <row r="413">
      <c r="D413" s="20"/>
      <c r="G413" s="26"/>
      <c r="H413" s="20"/>
    </row>
    <row r="414">
      <c r="D414" s="20"/>
      <c r="G414" s="26"/>
      <c r="H414" s="20"/>
    </row>
    <row r="415">
      <c r="D415" s="20"/>
      <c r="G415" s="26"/>
      <c r="H415" s="20"/>
    </row>
    <row r="416">
      <c r="D416" s="20"/>
      <c r="G416" s="26"/>
      <c r="H416" s="20"/>
    </row>
    <row r="417">
      <c r="D417" s="20"/>
      <c r="G417" s="26"/>
      <c r="H417" s="20"/>
    </row>
    <row r="418">
      <c r="D418" s="20"/>
      <c r="G418" s="26"/>
      <c r="H418" s="20"/>
    </row>
    <row r="419">
      <c r="D419" s="20"/>
      <c r="G419" s="26"/>
      <c r="H419" s="20"/>
    </row>
    <row r="420">
      <c r="D420" s="20"/>
      <c r="G420" s="26"/>
      <c r="H420" s="20"/>
    </row>
    <row r="421">
      <c r="D421" s="20"/>
      <c r="G421" s="26"/>
      <c r="H421" s="20"/>
    </row>
    <row r="422">
      <c r="D422" s="20"/>
      <c r="G422" s="26"/>
      <c r="H422" s="20"/>
    </row>
    <row r="423">
      <c r="D423" s="20"/>
      <c r="G423" s="26"/>
      <c r="H423" s="20"/>
    </row>
    <row r="424">
      <c r="D424" s="20"/>
      <c r="G424" s="26"/>
      <c r="H424" s="20"/>
    </row>
    <row r="425">
      <c r="D425" s="20"/>
      <c r="G425" s="26"/>
      <c r="H425" s="20"/>
    </row>
    <row r="426">
      <c r="D426" s="20"/>
      <c r="G426" s="26"/>
      <c r="H426" s="20"/>
    </row>
    <row r="427">
      <c r="D427" s="20"/>
      <c r="G427" s="26"/>
      <c r="H427" s="20"/>
    </row>
    <row r="428">
      <c r="D428" s="20"/>
      <c r="G428" s="26"/>
      <c r="H428" s="20"/>
    </row>
    <row r="429">
      <c r="D429" s="20"/>
      <c r="G429" s="26"/>
      <c r="H429" s="20"/>
    </row>
    <row r="430">
      <c r="D430" s="20"/>
      <c r="G430" s="26"/>
      <c r="H430" s="20"/>
    </row>
    <row r="431">
      <c r="D431" s="20"/>
      <c r="G431" s="26"/>
      <c r="H431" s="20"/>
    </row>
    <row r="432">
      <c r="D432" s="20"/>
      <c r="G432" s="26"/>
      <c r="H432" s="20"/>
    </row>
    <row r="433">
      <c r="D433" s="20"/>
      <c r="G433" s="26"/>
      <c r="H433" s="20"/>
    </row>
    <row r="434">
      <c r="D434" s="20"/>
      <c r="G434" s="26"/>
      <c r="H434" s="20"/>
    </row>
    <row r="435">
      <c r="D435" s="20"/>
      <c r="G435" s="26"/>
      <c r="H435" s="20"/>
    </row>
    <row r="436">
      <c r="D436" s="20"/>
      <c r="G436" s="26"/>
      <c r="H436" s="20"/>
    </row>
    <row r="437">
      <c r="D437" s="20"/>
      <c r="G437" s="26"/>
      <c r="H437" s="20"/>
    </row>
    <row r="438">
      <c r="D438" s="20"/>
      <c r="G438" s="26"/>
      <c r="H438" s="20"/>
    </row>
    <row r="439">
      <c r="D439" s="20"/>
      <c r="G439" s="26"/>
      <c r="H439" s="20"/>
    </row>
    <row r="440">
      <c r="D440" s="20"/>
      <c r="G440" s="26"/>
      <c r="H440" s="20"/>
    </row>
    <row r="441">
      <c r="D441" s="20"/>
      <c r="G441" s="26"/>
      <c r="H441" s="20"/>
    </row>
    <row r="442">
      <c r="D442" s="20"/>
      <c r="G442" s="26"/>
      <c r="H442" s="20"/>
    </row>
    <row r="443">
      <c r="D443" s="20"/>
      <c r="G443" s="26"/>
      <c r="H443" s="20"/>
    </row>
    <row r="444">
      <c r="D444" s="20"/>
      <c r="G444" s="26"/>
      <c r="H444" s="20"/>
    </row>
    <row r="445">
      <c r="D445" s="20"/>
      <c r="G445" s="26"/>
      <c r="H445" s="20"/>
    </row>
    <row r="446">
      <c r="D446" s="20"/>
      <c r="G446" s="26"/>
      <c r="H446" s="20"/>
    </row>
    <row r="447">
      <c r="D447" s="20"/>
      <c r="G447" s="26"/>
      <c r="H447" s="20"/>
    </row>
    <row r="448">
      <c r="D448" s="20"/>
      <c r="G448" s="26"/>
      <c r="H448" s="20"/>
    </row>
    <row r="449">
      <c r="D449" s="20"/>
      <c r="G449" s="26"/>
      <c r="H449" s="20"/>
    </row>
    <row r="450">
      <c r="D450" s="20"/>
      <c r="G450" s="26"/>
      <c r="H450" s="20"/>
    </row>
    <row r="451">
      <c r="D451" s="20"/>
      <c r="G451" s="26"/>
      <c r="H451" s="20"/>
    </row>
    <row r="452">
      <c r="D452" s="20"/>
      <c r="G452" s="26"/>
      <c r="H452" s="20"/>
    </row>
    <row r="453">
      <c r="D453" s="20"/>
      <c r="G453" s="26"/>
      <c r="H453" s="20"/>
    </row>
    <row r="454">
      <c r="D454" s="20"/>
      <c r="G454" s="26"/>
      <c r="H454" s="20"/>
    </row>
    <row r="455">
      <c r="D455" s="20"/>
      <c r="G455" s="26"/>
      <c r="H455" s="20"/>
    </row>
    <row r="456">
      <c r="D456" s="20"/>
      <c r="G456" s="26"/>
      <c r="H456" s="20"/>
    </row>
    <row r="457">
      <c r="D457" s="20"/>
      <c r="G457" s="26"/>
      <c r="H457" s="20"/>
    </row>
    <row r="458">
      <c r="D458" s="20"/>
      <c r="G458" s="26"/>
      <c r="H458" s="20"/>
    </row>
    <row r="459">
      <c r="D459" s="20"/>
      <c r="G459" s="26"/>
      <c r="H459" s="20"/>
    </row>
    <row r="460">
      <c r="D460" s="20"/>
      <c r="G460" s="26"/>
      <c r="H460" s="20"/>
    </row>
    <row r="461">
      <c r="D461" s="20"/>
      <c r="G461" s="26"/>
      <c r="H461" s="20"/>
    </row>
    <row r="462">
      <c r="D462" s="20"/>
      <c r="G462" s="26"/>
      <c r="H462" s="20"/>
    </row>
    <row r="463">
      <c r="D463" s="20"/>
      <c r="G463" s="26"/>
      <c r="H463" s="20"/>
    </row>
    <row r="464">
      <c r="D464" s="20"/>
      <c r="G464" s="26"/>
      <c r="H464" s="20"/>
    </row>
    <row r="465">
      <c r="D465" s="20"/>
      <c r="G465" s="26"/>
      <c r="H465" s="20"/>
    </row>
    <row r="466">
      <c r="D466" s="20"/>
      <c r="G466" s="26"/>
      <c r="H466" s="20"/>
    </row>
    <row r="467">
      <c r="D467" s="20"/>
      <c r="G467" s="26"/>
      <c r="H467" s="20"/>
    </row>
    <row r="468">
      <c r="D468" s="20"/>
      <c r="G468" s="26"/>
      <c r="H468" s="20"/>
    </row>
    <row r="469">
      <c r="D469" s="20"/>
      <c r="G469" s="26"/>
      <c r="H469" s="20"/>
    </row>
    <row r="470">
      <c r="D470" s="20"/>
      <c r="G470" s="26"/>
      <c r="H470" s="20"/>
    </row>
    <row r="471">
      <c r="D471" s="20"/>
      <c r="G471" s="26"/>
      <c r="H471" s="20"/>
    </row>
    <row r="472">
      <c r="D472" s="20"/>
      <c r="G472" s="26"/>
      <c r="H472" s="20"/>
    </row>
    <row r="473">
      <c r="D473" s="20"/>
      <c r="G473" s="26"/>
      <c r="H473" s="20"/>
    </row>
    <row r="474">
      <c r="D474" s="20"/>
      <c r="G474" s="26"/>
      <c r="H474" s="20"/>
    </row>
    <row r="475">
      <c r="D475" s="20"/>
      <c r="G475" s="26"/>
      <c r="H475" s="20"/>
    </row>
    <row r="476">
      <c r="D476" s="20"/>
      <c r="G476" s="26"/>
      <c r="H476" s="20"/>
    </row>
    <row r="477">
      <c r="D477" s="20"/>
      <c r="G477" s="26"/>
      <c r="H477" s="20"/>
    </row>
    <row r="478">
      <c r="D478" s="20"/>
      <c r="G478" s="26"/>
      <c r="H478" s="20"/>
    </row>
    <row r="479">
      <c r="D479" s="20"/>
      <c r="G479" s="26"/>
      <c r="H479" s="20"/>
    </row>
    <row r="480">
      <c r="D480" s="20"/>
      <c r="G480" s="26"/>
      <c r="H480" s="20"/>
    </row>
    <row r="481">
      <c r="D481" s="20"/>
      <c r="G481" s="26"/>
      <c r="H481" s="20"/>
    </row>
    <row r="482">
      <c r="D482" s="20"/>
      <c r="G482" s="26"/>
      <c r="H482" s="20"/>
    </row>
    <row r="483">
      <c r="D483" s="20"/>
      <c r="G483" s="26"/>
      <c r="H483" s="20"/>
    </row>
    <row r="484">
      <c r="D484" s="20"/>
      <c r="G484" s="26"/>
      <c r="H484" s="20"/>
    </row>
    <row r="485">
      <c r="D485" s="20"/>
      <c r="G485" s="26"/>
      <c r="H485" s="20"/>
    </row>
    <row r="486">
      <c r="D486" s="20"/>
      <c r="G486" s="26"/>
      <c r="H486" s="20"/>
    </row>
    <row r="487">
      <c r="D487" s="20"/>
      <c r="G487" s="26"/>
      <c r="H487" s="20"/>
    </row>
    <row r="488">
      <c r="D488" s="20"/>
      <c r="G488" s="26"/>
      <c r="H488" s="20"/>
    </row>
    <row r="489">
      <c r="D489" s="20"/>
      <c r="G489" s="26"/>
      <c r="H489" s="20"/>
    </row>
    <row r="490">
      <c r="D490" s="20"/>
      <c r="G490" s="26"/>
      <c r="H490" s="20"/>
    </row>
    <row r="491">
      <c r="D491" s="20"/>
      <c r="G491" s="26"/>
      <c r="H491" s="20"/>
    </row>
    <row r="492">
      <c r="D492" s="20"/>
      <c r="G492" s="26"/>
      <c r="H492" s="20"/>
    </row>
    <row r="493">
      <c r="D493" s="20"/>
      <c r="G493" s="26"/>
      <c r="H493" s="20"/>
    </row>
    <row r="494">
      <c r="D494" s="20"/>
      <c r="G494" s="26"/>
      <c r="H494" s="20"/>
    </row>
    <row r="495">
      <c r="D495" s="20"/>
      <c r="G495" s="26"/>
      <c r="H495" s="20"/>
    </row>
    <row r="496">
      <c r="D496" s="20"/>
      <c r="G496" s="26"/>
      <c r="H496" s="20"/>
    </row>
    <row r="497">
      <c r="D497" s="20"/>
      <c r="G497" s="26"/>
      <c r="H497" s="20"/>
    </row>
    <row r="498">
      <c r="D498" s="20"/>
      <c r="G498" s="26"/>
      <c r="H498" s="20"/>
    </row>
    <row r="499">
      <c r="D499" s="20"/>
      <c r="G499" s="26"/>
      <c r="H499" s="20"/>
    </row>
    <row r="500">
      <c r="D500" s="20"/>
      <c r="G500" s="26"/>
      <c r="H500" s="20"/>
    </row>
    <row r="501">
      <c r="D501" s="20"/>
      <c r="G501" s="26"/>
      <c r="H501" s="20"/>
    </row>
    <row r="502">
      <c r="D502" s="20"/>
      <c r="G502" s="26"/>
      <c r="H502" s="20"/>
    </row>
    <row r="503">
      <c r="D503" s="20"/>
      <c r="G503" s="26"/>
      <c r="H503" s="20"/>
    </row>
    <row r="504">
      <c r="D504" s="20"/>
      <c r="G504" s="26"/>
      <c r="H504" s="20"/>
    </row>
    <row r="505">
      <c r="D505" s="20"/>
      <c r="G505" s="26"/>
      <c r="H505" s="20"/>
    </row>
    <row r="506">
      <c r="D506" s="20"/>
      <c r="G506" s="26"/>
      <c r="H506" s="20"/>
    </row>
    <row r="507">
      <c r="D507" s="20"/>
      <c r="G507" s="26"/>
      <c r="H507" s="20"/>
    </row>
    <row r="508">
      <c r="D508" s="20"/>
      <c r="G508" s="26"/>
      <c r="H508" s="20"/>
    </row>
    <row r="509">
      <c r="D509" s="20"/>
      <c r="G509" s="26"/>
      <c r="H509" s="20"/>
    </row>
    <row r="510">
      <c r="D510" s="20"/>
      <c r="G510" s="26"/>
      <c r="H510" s="20"/>
    </row>
    <row r="511">
      <c r="D511" s="20"/>
      <c r="G511" s="26"/>
      <c r="H511" s="20"/>
    </row>
    <row r="512">
      <c r="D512" s="20"/>
      <c r="G512" s="26"/>
      <c r="H512" s="20"/>
    </row>
    <row r="513">
      <c r="D513" s="20"/>
      <c r="G513" s="26"/>
      <c r="H513" s="20"/>
    </row>
    <row r="514">
      <c r="D514" s="20"/>
      <c r="G514" s="26"/>
      <c r="H514" s="20"/>
    </row>
    <row r="515">
      <c r="D515" s="20"/>
      <c r="G515" s="26"/>
      <c r="H515" s="20"/>
    </row>
    <row r="516">
      <c r="D516" s="20"/>
      <c r="G516" s="26"/>
      <c r="H516" s="20"/>
    </row>
    <row r="517">
      <c r="D517" s="20"/>
      <c r="G517" s="26"/>
      <c r="H517" s="20"/>
    </row>
    <row r="518">
      <c r="D518" s="20"/>
      <c r="G518" s="26"/>
      <c r="H518" s="20"/>
    </row>
    <row r="519">
      <c r="D519" s="20"/>
      <c r="G519" s="26"/>
      <c r="H519" s="20"/>
    </row>
    <row r="520">
      <c r="D520" s="20"/>
      <c r="G520" s="26"/>
      <c r="H520" s="20"/>
    </row>
    <row r="521">
      <c r="D521" s="20"/>
      <c r="G521" s="26"/>
      <c r="H521" s="20"/>
    </row>
    <row r="522">
      <c r="D522" s="20"/>
      <c r="G522" s="26"/>
      <c r="H522" s="20"/>
    </row>
    <row r="523">
      <c r="D523" s="20"/>
      <c r="G523" s="26"/>
      <c r="H523" s="20"/>
    </row>
    <row r="524">
      <c r="D524" s="20"/>
      <c r="G524" s="26"/>
      <c r="H524" s="20"/>
    </row>
    <row r="525">
      <c r="D525" s="20"/>
      <c r="G525" s="26"/>
      <c r="H525" s="20"/>
    </row>
    <row r="526">
      <c r="D526" s="20"/>
      <c r="G526" s="26"/>
      <c r="H526" s="20"/>
    </row>
    <row r="527">
      <c r="D527" s="20"/>
      <c r="G527" s="26"/>
      <c r="H527" s="20"/>
    </row>
    <row r="528">
      <c r="D528" s="20"/>
      <c r="G528" s="26"/>
      <c r="H528" s="20"/>
    </row>
    <row r="529">
      <c r="D529" s="20"/>
      <c r="G529" s="26"/>
      <c r="H529" s="20"/>
    </row>
    <row r="530">
      <c r="D530" s="20"/>
      <c r="G530" s="26"/>
      <c r="H530" s="20"/>
    </row>
    <row r="531">
      <c r="D531" s="20"/>
      <c r="G531" s="26"/>
      <c r="H531" s="20"/>
    </row>
    <row r="532">
      <c r="D532" s="20"/>
      <c r="G532" s="26"/>
      <c r="H532" s="20"/>
    </row>
    <row r="533">
      <c r="D533" s="20"/>
      <c r="G533" s="26"/>
      <c r="H533" s="20"/>
    </row>
    <row r="534">
      <c r="D534" s="20"/>
      <c r="G534" s="26"/>
      <c r="H534" s="20"/>
    </row>
    <row r="535">
      <c r="D535" s="20"/>
      <c r="G535" s="26"/>
      <c r="H535" s="20"/>
    </row>
    <row r="536">
      <c r="D536" s="20"/>
      <c r="G536" s="26"/>
      <c r="H536" s="20"/>
    </row>
    <row r="537">
      <c r="D537" s="20"/>
      <c r="G537" s="26"/>
      <c r="H537" s="20"/>
    </row>
    <row r="538">
      <c r="D538" s="20"/>
      <c r="G538" s="26"/>
      <c r="H538" s="20"/>
    </row>
    <row r="539">
      <c r="D539" s="20"/>
      <c r="G539" s="26"/>
      <c r="H539" s="20"/>
    </row>
    <row r="540">
      <c r="D540" s="20"/>
      <c r="G540" s="26"/>
      <c r="H540" s="20"/>
    </row>
    <row r="541">
      <c r="D541" s="20"/>
      <c r="G541" s="26"/>
      <c r="H541" s="20"/>
    </row>
    <row r="542">
      <c r="D542" s="20"/>
      <c r="G542" s="26"/>
      <c r="H542" s="20"/>
    </row>
    <row r="543">
      <c r="D543" s="20"/>
      <c r="G543" s="26"/>
      <c r="H543" s="20"/>
    </row>
    <row r="544">
      <c r="D544" s="20"/>
      <c r="G544" s="26"/>
      <c r="H544" s="20"/>
    </row>
    <row r="545">
      <c r="D545" s="20"/>
      <c r="G545" s="26"/>
      <c r="H545" s="20"/>
    </row>
    <row r="546">
      <c r="D546" s="20"/>
      <c r="G546" s="26"/>
      <c r="H546" s="20"/>
    </row>
    <row r="547">
      <c r="D547" s="20"/>
      <c r="G547" s="26"/>
      <c r="H547" s="20"/>
    </row>
    <row r="548">
      <c r="D548" s="20"/>
      <c r="G548" s="26"/>
      <c r="H548" s="20"/>
    </row>
    <row r="549">
      <c r="D549" s="20"/>
      <c r="G549" s="26"/>
      <c r="H549" s="20"/>
    </row>
    <row r="550">
      <c r="D550" s="20"/>
      <c r="G550" s="26"/>
      <c r="H550" s="20"/>
    </row>
    <row r="551">
      <c r="D551" s="20"/>
      <c r="G551" s="26"/>
      <c r="H551" s="20"/>
    </row>
    <row r="552">
      <c r="D552" s="20"/>
      <c r="G552" s="26"/>
      <c r="H552" s="20"/>
    </row>
    <row r="553">
      <c r="D553" s="20"/>
      <c r="G553" s="26"/>
      <c r="H553" s="20"/>
    </row>
    <row r="554">
      <c r="D554" s="20"/>
      <c r="G554" s="26"/>
      <c r="H554" s="20"/>
    </row>
    <row r="555">
      <c r="D555" s="20"/>
      <c r="G555" s="26"/>
      <c r="H555" s="20"/>
    </row>
    <row r="556">
      <c r="D556" s="20"/>
      <c r="G556" s="26"/>
      <c r="H556" s="20"/>
    </row>
    <row r="557">
      <c r="D557" s="20"/>
      <c r="G557" s="26"/>
      <c r="H557" s="20"/>
    </row>
    <row r="558">
      <c r="D558" s="20"/>
      <c r="G558" s="26"/>
      <c r="H558" s="20"/>
    </row>
    <row r="559">
      <c r="D559" s="20"/>
      <c r="G559" s="26"/>
      <c r="H559" s="20"/>
    </row>
    <row r="560">
      <c r="D560" s="20"/>
      <c r="G560" s="26"/>
      <c r="H560" s="20"/>
    </row>
    <row r="561">
      <c r="D561" s="20"/>
      <c r="G561" s="26"/>
      <c r="H561" s="20"/>
    </row>
    <row r="562">
      <c r="D562" s="20"/>
      <c r="G562" s="26"/>
      <c r="H562" s="20"/>
    </row>
    <row r="563">
      <c r="D563" s="20"/>
      <c r="G563" s="26"/>
      <c r="H563" s="20"/>
    </row>
    <row r="564">
      <c r="D564" s="20"/>
      <c r="G564" s="26"/>
      <c r="H564" s="20"/>
    </row>
    <row r="565">
      <c r="D565" s="20"/>
      <c r="G565" s="26"/>
      <c r="H565" s="20"/>
    </row>
    <row r="566">
      <c r="D566" s="20"/>
      <c r="G566" s="26"/>
      <c r="H566" s="20"/>
    </row>
    <row r="567">
      <c r="D567" s="20"/>
      <c r="G567" s="26"/>
      <c r="H567" s="20"/>
    </row>
    <row r="568">
      <c r="D568" s="20"/>
      <c r="G568" s="26"/>
      <c r="H568" s="20"/>
    </row>
    <row r="569">
      <c r="D569" s="20"/>
      <c r="G569" s="26"/>
      <c r="H569" s="20"/>
    </row>
    <row r="570">
      <c r="D570" s="20"/>
      <c r="G570" s="26"/>
      <c r="H570" s="20"/>
    </row>
    <row r="571">
      <c r="D571" s="20"/>
      <c r="G571" s="26"/>
      <c r="H571" s="20"/>
    </row>
    <row r="572">
      <c r="D572" s="20"/>
      <c r="G572" s="26"/>
      <c r="H572" s="20"/>
    </row>
    <row r="573">
      <c r="D573" s="20"/>
      <c r="G573" s="26"/>
      <c r="H573" s="20"/>
    </row>
    <row r="574">
      <c r="D574" s="20"/>
      <c r="G574" s="26"/>
      <c r="H574" s="20"/>
    </row>
    <row r="575">
      <c r="D575" s="20"/>
      <c r="G575" s="26"/>
      <c r="H575" s="20"/>
    </row>
    <row r="576">
      <c r="D576" s="20"/>
      <c r="G576" s="26"/>
      <c r="H576" s="20"/>
    </row>
    <row r="577">
      <c r="D577" s="20"/>
      <c r="G577" s="26"/>
      <c r="H577" s="20"/>
    </row>
    <row r="578">
      <c r="D578" s="20"/>
      <c r="G578" s="26"/>
      <c r="H578" s="20"/>
    </row>
    <row r="579">
      <c r="D579" s="20"/>
      <c r="G579" s="26"/>
      <c r="H579" s="20"/>
    </row>
    <row r="580">
      <c r="D580" s="20"/>
      <c r="G580" s="26"/>
      <c r="H580" s="20"/>
    </row>
    <row r="581">
      <c r="D581" s="20"/>
      <c r="G581" s="26"/>
      <c r="H581" s="20"/>
    </row>
    <row r="582">
      <c r="D582" s="20"/>
      <c r="G582" s="26"/>
      <c r="H582" s="20"/>
    </row>
    <row r="583">
      <c r="D583" s="20"/>
      <c r="G583" s="26"/>
      <c r="H583" s="20"/>
    </row>
    <row r="584">
      <c r="D584" s="20"/>
      <c r="G584" s="26"/>
      <c r="H584" s="20"/>
    </row>
    <row r="585">
      <c r="D585" s="20"/>
      <c r="G585" s="26"/>
      <c r="H585" s="20"/>
    </row>
    <row r="586">
      <c r="D586" s="20"/>
      <c r="G586" s="26"/>
      <c r="H586" s="20"/>
    </row>
    <row r="587">
      <c r="D587" s="20"/>
      <c r="G587" s="26"/>
      <c r="H587" s="20"/>
    </row>
    <row r="588">
      <c r="D588" s="20"/>
      <c r="G588" s="26"/>
      <c r="H588" s="20"/>
    </row>
    <row r="589">
      <c r="D589" s="20"/>
      <c r="G589" s="26"/>
      <c r="H589" s="20"/>
    </row>
    <row r="590">
      <c r="D590" s="20"/>
      <c r="G590" s="26"/>
      <c r="H590" s="20"/>
    </row>
    <row r="591">
      <c r="D591" s="20"/>
      <c r="G591" s="26"/>
      <c r="H591" s="20"/>
    </row>
    <row r="592">
      <c r="D592" s="20"/>
      <c r="G592" s="26"/>
      <c r="H592" s="20"/>
    </row>
    <row r="593">
      <c r="D593" s="20"/>
      <c r="G593" s="26"/>
      <c r="H593" s="20"/>
    </row>
    <row r="594">
      <c r="D594" s="20"/>
      <c r="G594" s="26"/>
      <c r="H594" s="20"/>
    </row>
    <row r="595">
      <c r="D595" s="20"/>
      <c r="G595" s="26"/>
      <c r="H595" s="20"/>
    </row>
    <row r="596">
      <c r="D596" s="20"/>
      <c r="G596" s="26"/>
      <c r="H596" s="20"/>
    </row>
    <row r="597">
      <c r="D597" s="20"/>
      <c r="G597" s="26"/>
      <c r="H597" s="20"/>
    </row>
    <row r="598">
      <c r="D598" s="20"/>
      <c r="G598" s="26"/>
      <c r="H598" s="20"/>
    </row>
    <row r="599">
      <c r="D599" s="20"/>
      <c r="G599" s="26"/>
      <c r="H599" s="20"/>
    </row>
    <row r="600">
      <c r="D600" s="20"/>
      <c r="G600" s="26"/>
      <c r="H600" s="20"/>
    </row>
    <row r="601">
      <c r="D601" s="20"/>
      <c r="G601" s="26"/>
      <c r="H601" s="20"/>
    </row>
    <row r="602">
      <c r="D602" s="20"/>
      <c r="G602" s="26"/>
      <c r="H602" s="20"/>
    </row>
    <row r="603">
      <c r="D603" s="20"/>
      <c r="G603" s="26"/>
      <c r="H603" s="20"/>
    </row>
    <row r="604">
      <c r="D604" s="20"/>
      <c r="G604" s="26"/>
      <c r="H604" s="20"/>
    </row>
    <row r="605">
      <c r="D605" s="20"/>
      <c r="G605" s="26"/>
      <c r="H605" s="20"/>
    </row>
    <row r="606">
      <c r="D606" s="20"/>
      <c r="G606" s="26"/>
      <c r="H606" s="20"/>
    </row>
    <row r="607">
      <c r="D607" s="20"/>
      <c r="G607" s="26"/>
      <c r="H607" s="20"/>
    </row>
    <row r="608">
      <c r="D608" s="20"/>
      <c r="G608" s="26"/>
      <c r="H608" s="20"/>
    </row>
    <row r="609">
      <c r="D609" s="20"/>
      <c r="G609" s="26"/>
      <c r="H609" s="20"/>
    </row>
    <row r="610">
      <c r="D610" s="20"/>
      <c r="G610" s="26"/>
      <c r="H610" s="20"/>
    </row>
    <row r="611">
      <c r="D611" s="20"/>
      <c r="G611" s="26"/>
      <c r="H611" s="20"/>
    </row>
    <row r="612">
      <c r="D612" s="20"/>
      <c r="G612" s="26"/>
      <c r="H612" s="20"/>
    </row>
    <row r="613">
      <c r="D613" s="20"/>
      <c r="G613" s="26"/>
      <c r="H613" s="20"/>
    </row>
    <row r="614">
      <c r="D614" s="20"/>
      <c r="G614" s="26"/>
      <c r="H614" s="20"/>
    </row>
    <row r="615">
      <c r="D615" s="20"/>
      <c r="G615" s="26"/>
      <c r="H615" s="20"/>
    </row>
    <row r="616">
      <c r="D616" s="20"/>
      <c r="G616" s="26"/>
      <c r="H616" s="20"/>
    </row>
    <row r="617">
      <c r="D617" s="20"/>
      <c r="G617" s="26"/>
      <c r="H617" s="20"/>
    </row>
    <row r="618">
      <c r="D618" s="20"/>
      <c r="G618" s="26"/>
      <c r="H618" s="20"/>
    </row>
    <row r="619">
      <c r="D619" s="20"/>
      <c r="G619" s="26"/>
      <c r="H619" s="20"/>
    </row>
    <row r="620">
      <c r="D620" s="20"/>
      <c r="G620" s="26"/>
      <c r="H620" s="20"/>
    </row>
    <row r="621">
      <c r="D621" s="20"/>
      <c r="G621" s="26"/>
      <c r="H621" s="20"/>
    </row>
    <row r="622">
      <c r="D622" s="20"/>
      <c r="G622" s="26"/>
      <c r="H622" s="20"/>
    </row>
    <row r="623">
      <c r="D623" s="20"/>
      <c r="G623" s="26"/>
      <c r="H623" s="20"/>
    </row>
    <row r="624">
      <c r="D624" s="20"/>
      <c r="G624" s="26"/>
      <c r="H624" s="20"/>
    </row>
    <row r="625">
      <c r="D625" s="20"/>
      <c r="G625" s="26"/>
      <c r="H625" s="20"/>
    </row>
    <row r="626">
      <c r="D626" s="20"/>
      <c r="G626" s="26"/>
      <c r="H626" s="20"/>
    </row>
    <row r="627">
      <c r="D627" s="20"/>
      <c r="G627" s="26"/>
      <c r="H627" s="20"/>
    </row>
    <row r="628">
      <c r="D628" s="20"/>
      <c r="G628" s="26"/>
      <c r="H628" s="20"/>
    </row>
    <row r="629">
      <c r="D629" s="20"/>
      <c r="G629" s="26"/>
      <c r="H629" s="20"/>
    </row>
    <row r="630">
      <c r="D630" s="20"/>
      <c r="G630" s="26"/>
      <c r="H630" s="20"/>
    </row>
    <row r="631">
      <c r="D631" s="20"/>
      <c r="G631" s="26"/>
      <c r="H631" s="20"/>
    </row>
    <row r="632">
      <c r="D632" s="20"/>
      <c r="G632" s="26"/>
      <c r="H632" s="20"/>
    </row>
    <row r="633">
      <c r="D633" s="20"/>
      <c r="G633" s="26"/>
      <c r="H633" s="20"/>
    </row>
    <row r="634">
      <c r="D634" s="20"/>
      <c r="G634" s="26"/>
      <c r="H634" s="20"/>
    </row>
    <row r="635">
      <c r="D635" s="20"/>
      <c r="G635" s="26"/>
      <c r="H635" s="20"/>
    </row>
    <row r="636">
      <c r="D636" s="20"/>
      <c r="G636" s="26"/>
      <c r="H636" s="20"/>
    </row>
    <row r="637">
      <c r="D637" s="20"/>
      <c r="G637" s="26"/>
      <c r="H637" s="20"/>
    </row>
    <row r="638">
      <c r="D638" s="20"/>
      <c r="G638" s="26"/>
      <c r="H638" s="20"/>
    </row>
    <row r="639">
      <c r="D639" s="20"/>
      <c r="G639" s="26"/>
      <c r="H639" s="20"/>
    </row>
    <row r="640">
      <c r="D640" s="20"/>
      <c r="G640" s="26"/>
      <c r="H640" s="20"/>
    </row>
    <row r="641">
      <c r="D641" s="20"/>
      <c r="G641" s="26"/>
      <c r="H641" s="20"/>
    </row>
    <row r="642">
      <c r="D642" s="20"/>
      <c r="G642" s="26"/>
      <c r="H642" s="20"/>
    </row>
    <row r="643">
      <c r="D643" s="20"/>
      <c r="G643" s="26"/>
      <c r="H643" s="20"/>
    </row>
    <row r="644">
      <c r="D644" s="20"/>
      <c r="G644" s="26"/>
      <c r="H644" s="20"/>
    </row>
    <row r="645">
      <c r="D645" s="20"/>
      <c r="G645" s="26"/>
      <c r="H645" s="20"/>
    </row>
    <row r="646">
      <c r="D646" s="20"/>
      <c r="G646" s="26"/>
      <c r="H646" s="20"/>
    </row>
    <row r="647">
      <c r="D647" s="20"/>
      <c r="G647" s="26"/>
      <c r="H647" s="20"/>
    </row>
    <row r="648">
      <c r="D648" s="20"/>
      <c r="G648" s="26"/>
      <c r="H648" s="20"/>
    </row>
    <row r="649">
      <c r="D649" s="20"/>
      <c r="G649" s="26"/>
      <c r="H649" s="20"/>
    </row>
    <row r="650">
      <c r="D650" s="20"/>
      <c r="G650" s="26"/>
      <c r="H650" s="20"/>
    </row>
    <row r="651">
      <c r="D651" s="20"/>
      <c r="G651" s="26"/>
      <c r="H651" s="20"/>
    </row>
    <row r="652">
      <c r="D652" s="20"/>
      <c r="G652" s="26"/>
      <c r="H652" s="20"/>
    </row>
    <row r="653">
      <c r="D653" s="20"/>
      <c r="G653" s="26"/>
      <c r="H653" s="20"/>
    </row>
    <row r="654">
      <c r="D654" s="20"/>
      <c r="G654" s="26"/>
      <c r="H654" s="20"/>
    </row>
    <row r="655">
      <c r="D655" s="20"/>
      <c r="G655" s="26"/>
      <c r="H655" s="20"/>
    </row>
    <row r="656">
      <c r="D656" s="20"/>
      <c r="G656" s="26"/>
      <c r="H656" s="20"/>
    </row>
    <row r="657">
      <c r="D657" s="20"/>
      <c r="G657" s="26"/>
      <c r="H657" s="20"/>
    </row>
    <row r="658">
      <c r="D658" s="20"/>
      <c r="G658" s="26"/>
      <c r="H658" s="20"/>
    </row>
    <row r="659">
      <c r="D659" s="20"/>
      <c r="G659" s="26"/>
      <c r="H659" s="20"/>
    </row>
    <row r="660">
      <c r="D660" s="20"/>
      <c r="G660" s="26"/>
      <c r="H660" s="20"/>
    </row>
    <row r="661">
      <c r="D661" s="20"/>
      <c r="G661" s="26"/>
      <c r="H661" s="20"/>
    </row>
    <row r="662">
      <c r="D662" s="20"/>
      <c r="G662" s="26"/>
      <c r="H662" s="20"/>
    </row>
    <row r="663">
      <c r="D663" s="20"/>
      <c r="G663" s="26"/>
      <c r="H663" s="20"/>
    </row>
    <row r="664">
      <c r="D664" s="20"/>
      <c r="G664" s="26"/>
      <c r="H664" s="20"/>
    </row>
    <row r="665">
      <c r="D665" s="20"/>
      <c r="G665" s="26"/>
      <c r="H665" s="20"/>
    </row>
    <row r="666">
      <c r="D666" s="20"/>
      <c r="G666" s="26"/>
      <c r="H666" s="20"/>
    </row>
    <row r="667">
      <c r="D667" s="20"/>
      <c r="G667" s="26"/>
      <c r="H667" s="20"/>
    </row>
    <row r="668">
      <c r="D668" s="20"/>
      <c r="G668" s="26"/>
      <c r="H668" s="20"/>
    </row>
    <row r="669">
      <c r="D669" s="20"/>
      <c r="G669" s="26"/>
      <c r="H669" s="20"/>
    </row>
    <row r="670">
      <c r="D670" s="20"/>
      <c r="G670" s="26"/>
      <c r="H670" s="20"/>
    </row>
    <row r="671">
      <c r="D671" s="20"/>
      <c r="G671" s="26"/>
      <c r="H671" s="20"/>
    </row>
    <row r="672">
      <c r="D672" s="20"/>
      <c r="G672" s="26"/>
      <c r="H672" s="20"/>
    </row>
    <row r="673">
      <c r="D673" s="20"/>
      <c r="G673" s="26"/>
      <c r="H673" s="20"/>
    </row>
    <row r="674">
      <c r="D674" s="20"/>
      <c r="G674" s="26"/>
      <c r="H674" s="20"/>
    </row>
    <row r="675">
      <c r="D675" s="20"/>
      <c r="G675" s="26"/>
      <c r="H675" s="20"/>
    </row>
    <row r="676">
      <c r="D676" s="20"/>
      <c r="G676" s="26"/>
      <c r="H676" s="20"/>
    </row>
    <row r="677">
      <c r="D677" s="20"/>
      <c r="G677" s="26"/>
      <c r="H677" s="20"/>
    </row>
    <row r="678">
      <c r="D678" s="20"/>
      <c r="G678" s="26"/>
      <c r="H678" s="20"/>
    </row>
    <row r="679">
      <c r="D679" s="20"/>
      <c r="G679" s="26"/>
      <c r="H679" s="20"/>
    </row>
    <row r="680">
      <c r="D680" s="20"/>
      <c r="G680" s="26"/>
      <c r="H680" s="20"/>
    </row>
    <row r="681">
      <c r="D681" s="20"/>
      <c r="G681" s="26"/>
      <c r="H681" s="20"/>
    </row>
    <row r="682">
      <c r="D682" s="20"/>
      <c r="G682" s="26"/>
      <c r="H682" s="20"/>
    </row>
    <row r="683">
      <c r="D683" s="20"/>
      <c r="G683" s="26"/>
      <c r="H683" s="20"/>
    </row>
    <row r="684">
      <c r="D684" s="20"/>
      <c r="G684" s="26"/>
      <c r="H684" s="20"/>
    </row>
    <row r="685">
      <c r="D685" s="20"/>
      <c r="G685" s="26"/>
      <c r="H685" s="20"/>
    </row>
    <row r="686">
      <c r="D686" s="20"/>
      <c r="G686" s="26"/>
      <c r="H686" s="20"/>
    </row>
    <row r="687">
      <c r="D687" s="20"/>
      <c r="G687" s="26"/>
      <c r="H687" s="20"/>
    </row>
    <row r="688">
      <c r="D688" s="20"/>
      <c r="G688" s="26"/>
      <c r="H688" s="20"/>
    </row>
    <row r="689">
      <c r="D689" s="20"/>
      <c r="G689" s="26"/>
      <c r="H689" s="20"/>
    </row>
    <row r="690">
      <c r="D690" s="20"/>
      <c r="G690" s="26"/>
      <c r="H690" s="20"/>
    </row>
    <row r="691">
      <c r="D691" s="20"/>
      <c r="G691" s="26"/>
      <c r="H691" s="20"/>
    </row>
    <row r="692">
      <c r="D692" s="20"/>
      <c r="G692" s="26"/>
      <c r="H692" s="20"/>
    </row>
    <row r="693">
      <c r="D693" s="20"/>
      <c r="G693" s="26"/>
      <c r="H693" s="20"/>
    </row>
    <row r="694">
      <c r="D694" s="20"/>
      <c r="G694" s="26"/>
      <c r="H694" s="20"/>
    </row>
    <row r="695">
      <c r="D695" s="20"/>
      <c r="G695" s="26"/>
      <c r="H695" s="20"/>
    </row>
    <row r="696">
      <c r="D696" s="20"/>
      <c r="G696" s="26"/>
      <c r="H696" s="20"/>
    </row>
    <row r="697">
      <c r="D697" s="20"/>
      <c r="G697" s="26"/>
      <c r="H697" s="20"/>
    </row>
    <row r="698">
      <c r="D698" s="20"/>
      <c r="G698" s="26"/>
      <c r="H698" s="20"/>
    </row>
    <row r="699">
      <c r="D699" s="20"/>
      <c r="G699" s="26"/>
      <c r="H699" s="20"/>
    </row>
    <row r="700">
      <c r="D700" s="20"/>
      <c r="G700" s="26"/>
      <c r="H700" s="20"/>
    </row>
    <row r="701">
      <c r="D701" s="20"/>
      <c r="G701" s="26"/>
      <c r="H701" s="20"/>
    </row>
    <row r="702">
      <c r="D702" s="20"/>
      <c r="G702" s="26"/>
      <c r="H702" s="20"/>
    </row>
    <row r="703">
      <c r="D703" s="20"/>
      <c r="G703" s="26"/>
      <c r="H703" s="20"/>
    </row>
    <row r="704">
      <c r="D704" s="20"/>
      <c r="G704" s="26"/>
      <c r="H704" s="20"/>
    </row>
    <row r="705">
      <c r="D705" s="20"/>
      <c r="G705" s="26"/>
      <c r="H705" s="20"/>
    </row>
    <row r="706">
      <c r="D706" s="20"/>
      <c r="G706" s="26"/>
      <c r="H706" s="20"/>
    </row>
    <row r="707">
      <c r="D707" s="20"/>
      <c r="G707" s="26"/>
      <c r="H707" s="20"/>
    </row>
    <row r="708">
      <c r="D708" s="20"/>
      <c r="G708" s="26"/>
      <c r="H708" s="20"/>
    </row>
    <row r="709">
      <c r="D709" s="20"/>
      <c r="G709" s="26"/>
      <c r="H709" s="20"/>
    </row>
    <row r="710">
      <c r="D710" s="20"/>
      <c r="G710" s="26"/>
      <c r="H710" s="20"/>
    </row>
    <row r="711">
      <c r="D711" s="20"/>
      <c r="G711" s="26"/>
      <c r="H711" s="20"/>
    </row>
    <row r="712">
      <c r="D712" s="20"/>
      <c r="G712" s="26"/>
      <c r="H712" s="20"/>
    </row>
    <row r="713">
      <c r="D713" s="20"/>
      <c r="G713" s="26"/>
      <c r="H713" s="20"/>
    </row>
    <row r="714">
      <c r="D714" s="20"/>
      <c r="G714" s="26"/>
      <c r="H714" s="20"/>
    </row>
    <row r="715">
      <c r="D715" s="20"/>
      <c r="G715" s="26"/>
      <c r="H715" s="20"/>
    </row>
    <row r="716">
      <c r="D716" s="20"/>
      <c r="G716" s="26"/>
      <c r="H716" s="20"/>
    </row>
    <row r="717">
      <c r="D717" s="20"/>
      <c r="G717" s="26"/>
      <c r="H717" s="20"/>
    </row>
    <row r="718">
      <c r="D718" s="20"/>
      <c r="G718" s="26"/>
      <c r="H718" s="20"/>
    </row>
    <row r="719">
      <c r="D719" s="20"/>
      <c r="G719" s="26"/>
      <c r="H719" s="20"/>
    </row>
    <row r="720">
      <c r="D720" s="20"/>
      <c r="G720" s="26"/>
      <c r="H720" s="20"/>
    </row>
    <row r="721">
      <c r="D721" s="20"/>
      <c r="G721" s="26"/>
      <c r="H721" s="20"/>
    </row>
    <row r="722">
      <c r="D722" s="20"/>
      <c r="G722" s="26"/>
      <c r="H722" s="20"/>
    </row>
    <row r="723">
      <c r="D723" s="20"/>
      <c r="G723" s="26"/>
      <c r="H723" s="20"/>
    </row>
    <row r="724">
      <c r="D724" s="20"/>
      <c r="G724" s="26"/>
      <c r="H724" s="20"/>
    </row>
    <row r="725">
      <c r="D725" s="20"/>
      <c r="G725" s="26"/>
      <c r="H725" s="20"/>
    </row>
    <row r="726">
      <c r="D726" s="20"/>
      <c r="G726" s="26"/>
      <c r="H726" s="20"/>
    </row>
    <row r="727">
      <c r="D727" s="20"/>
      <c r="G727" s="26"/>
      <c r="H727" s="20"/>
    </row>
    <row r="728">
      <c r="D728" s="20"/>
      <c r="G728" s="26"/>
      <c r="H728" s="20"/>
    </row>
    <row r="729">
      <c r="D729" s="20"/>
      <c r="G729" s="26"/>
      <c r="H729" s="20"/>
    </row>
    <row r="730">
      <c r="D730" s="20"/>
      <c r="G730" s="26"/>
      <c r="H730" s="20"/>
    </row>
    <row r="731">
      <c r="D731" s="20"/>
      <c r="G731" s="26"/>
      <c r="H731" s="20"/>
    </row>
    <row r="732">
      <c r="D732" s="20"/>
      <c r="G732" s="26"/>
      <c r="H732" s="20"/>
    </row>
    <row r="733">
      <c r="D733" s="20"/>
      <c r="G733" s="26"/>
      <c r="H733" s="20"/>
    </row>
    <row r="734">
      <c r="D734" s="20"/>
      <c r="G734" s="26"/>
      <c r="H734" s="20"/>
    </row>
    <row r="735">
      <c r="D735" s="20"/>
      <c r="G735" s="26"/>
      <c r="H735" s="20"/>
    </row>
    <row r="736">
      <c r="D736" s="20"/>
      <c r="G736" s="26"/>
      <c r="H736" s="20"/>
    </row>
    <row r="737">
      <c r="D737" s="20"/>
      <c r="G737" s="26"/>
      <c r="H737" s="20"/>
    </row>
    <row r="738">
      <c r="D738" s="20"/>
      <c r="G738" s="26"/>
      <c r="H738" s="20"/>
    </row>
    <row r="739">
      <c r="D739" s="20"/>
      <c r="G739" s="26"/>
      <c r="H739" s="20"/>
    </row>
    <row r="740">
      <c r="D740" s="20"/>
      <c r="G740" s="26"/>
      <c r="H740" s="20"/>
    </row>
    <row r="741">
      <c r="D741" s="20"/>
      <c r="G741" s="26"/>
      <c r="H741" s="20"/>
    </row>
    <row r="742">
      <c r="D742" s="20"/>
      <c r="G742" s="26"/>
      <c r="H742" s="20"/>
    </row>
    <row r="743">
      <c r="D743" s="20"/>
      <c r="G743" s="26"/>
      <c r="H743" s="20"/>
    </row>
    <row r="744">
      <c r="D744" s="20"/>
      <c r="G744" s="26"/>
      <c r="H744" s="20"/>
    </row>
    <row r="745">
      <c r="D745" s="20"/>
      <c r="G745" s="26"/>
      <c r="H745" s="20"/>
    </row>
    <row r="746">
      <c r="D746" s="20"/>
      <c r="G746" s="26"/>
      <c r="H746" s="20"/>
    </row>
    <row r="747">
      <c r="D747" s="20"/>
      <c r="G747" s="26"/>
      <c r="H747" s="20"/>
    </row>
    <row r="748">
      <c r="D748" s="20"/>
      <c r="G748" s="26"/>
      <c r="H748" s="20"/>
    </row>
    <row r="749">
      <c r="D749" s="20"/>
      <c r="G749" s="26"/>
      <c r="H749" s="20"/>
    </row>
    <row r="750">
      <c r="D750" s="20"/>
      <c r="G750" s="26"/>
      <c r="H750" s="20"/>
    </row>
    <row r="751">
      <c r="D751" s="20"/>
      <c r="G751" s="26"/>
      <c r="H751" s="20"/>
    </row>
    <row r="752">
      <c r="D752" s="20"/>
      <c r="G752" s="26"/>
      <c r="H752" s="20"/>
    </row>
    <row r="753">
      <c r="D753" s="20"/>
      <c r="G753" s="26"/>
      <c r="H753" s="20"/>
    </row>
    <row r="754">
      <c r="D754" s="20"/>
      <c r="G754" s="26"/>
      <c r="H754" s="20"/>
    </row>
    <row r="755">
      <c r="D755" s="20"/>
      <c r="G755" s="26"/>
      <c r="H755" s="20"/>
    </row>
    <row r="756">
      <c r="D756" s="20"/>
      <c r="G756" s="26"/>
      <c r="H756" s="20"/>
    </row>
    <row r="757">
      <c r="D757" s="20"/>
      <c r="G757" s="26"/>
      <c r="H757" s="20"/>
    </row>
    <row r="758">
      <c r="D758" s="20"/>
      <c r="G758" s="26"/>
      <c r="H758" s="20"/>
    </row>
    <row r="759">
      <c r="D759" s="20"/>
      <c r="G759" s="26"/>
      <c r="H759" s="20"/>
    </row>
    <row r="760">
      <c r="D760" s="20"/>
      <c r="G760" s="26"/>
      <c r="H760" s="20"/>
    </row>
    <row r="761">
      <c r="D761" s="20"/>
      <c r="G761" s="26"/>
      <c r="H761" s="20"/>
    </row>
    <row r="762">
      <c r="D762" s="20"/>
      <c r="G762" s="26"/>
      <c r="H762" s="20"/>
    </row>
    <row r="763">
      <c r="D763" s="20"/>
      <c r="G763" s="26"/>
      <c r="H763" s="20"/>
    </row>
    <row r="764">
      <c r="D764" s="20"/>
      <c r="G764" s="26"/>
      <c r="H764" s="20"/>
    </row>
    <row r="765">
      <c r="D765" s="20"/>
      <c r="G765" s="26"/>
      <c r="H765" s="20"/>
    </row>
    <row r="766">
      <c r="D766" s="20"/>
      <c r="G766" s="26"/>
      <c r="H766" s="20"/>
    </row>
    <row r="767">
      <c r="D767" s="20"/>
      <c r="G767" s="26"/>
      <c r="H767" s="20"/>
    </row>
    <row r="768">
      <c r="D768" s="20"/>
      <c r="G768" s="26"/>
      <c r="H768" s="20"/>
    </row>
    <row r="769">
      <c r="D769" s="20"/>
      <c r="G769" s="26"/>
      <c r="H769" s="20"/>
    </row>
    <row r="770">
      <c r="D770" s="20"/>
      <c r="G770" s="26"/>
      <c r="H770" s="20"/>
    </row>
    <row r="771">
      <c r="D771" s="20"/>
      <c r="G771" s="26"/>
      <c r="H771" s="20"/>
    </row>
    <row r="772">
      <c r="D772" s="20"/>
      <c r="G772" s="26"/>
      <c r="H772" s="20"/>
    </row>
    <row r="773">
      <c r="D773" s="20"/>
      <c r="G773" s="26"/>
      <c r="H773" s="20"/>
    </row>
    <row r="774">
      <c r="D774" s="20"/>
      <c r="G774" s="26"/>
      <c r="H774" s="20"/>
    </row>
    <row r="775">
      <c r="D775" s="20"/>
      <c r="G775" s="26"/>
      <c r="H775" s="20"/>
    </row>
    <row r="776">
      <c r="D776" s="20"/>
      <c r="G776" s="26"/>
      <c r="H776" s="20"/>
    </row>
    <row r="777">
      <c r="D777" s="20"/>
      <c r="G777" s="26"/>
      <c r="H777" s="20"/>
    </row>
    <row r="778">
      <c r="D778" s="20"/>
      <c r="G778" s="26"/>
      <c r="H778" s="20"/>
    </row>
    <row r="779">
      <c r="D779" s="20"/>
      <c r="G779" s="26"/>
      <c r="H779" s="20"/>
    </row>
    <row r="780">
      <c r="D780" s="20"/>
      <c r="G780" s="26"/>
      <c r="H780" s="20"/>
    </row>
    <row r="781">
      <c r="D781" s="20"/>
      <c r="G781" s="26"/>
      <c r="H781" s="20"/>
    </row>
    <row r="782">
      <c r="D782" s="20"/>
      <c r="G782" s="26"/>
      <c r="H782" s="20"/>
    </row>
    <row r="783">
      <c r="D783" s="20"/>
      <c r="G783" s="26"/>
      <c r="H783" s="20"/>
    </row>
    <row r="784">
      <c r="D784" s="20"/>
      <c r="G784" s="26"/>
      <c r="H784" s="20"/>
    </row>
    <row r="785">
      <c r="D785" s="20"/>
      <c r="G785" s="26"/>
      <c r="H785" s="20"/>
    </row>
    <row r="786">
      <c r="D786" s="20"/>
      <c r="G786" s="26"/>
      <c r="H786" s="20"/>
    </row>
    <row r="787">
      <c r="D787" s="20"/>
      <c r="G787" s="26"/>
      <c r="H787" s="20"/>
    </row>
    <row r="788">
      <c r="D788" s="20"/>
      <c r="G788" s="26"/>
      <c r="H788" s="20"/>
    </row>
    <row r="789">
      <c r="D789" s="20"/>
      <c r="G789" s="26"/>
      <c r="H789" s="20"/>
    </row>
    <row r="790">
      <c r="D790" s="20"/>
      <c r="G790" s="26"/>
      <c r="H790" s="20"/>
    </row>
    <row r="791">
      <c r="D791" s="20"/>
      <c r="G791" s="26"/>
      <c r="H791" s="20"/>
    </row>
    <row r="792">
      <c r="D792" s="20"/>
      <c r="G792" s="26"/>
      <c r="H792" s="20"/>
    </row>
    <row r="793">
      <c r="D793" s="20"/>
      <c r="G793" s="26"/>
      <c r="H793" s="20"/>
    </row>
    <row r="794">
      <c r="D794" s="20"/>
      <c r="G794" s="26"/>
      <c r="H794" s="20"/>
    </row>
    <row r="795">
      <c r="D795" s="20"/>
      <c r="G795" s="26"/>
      <c r="H795" s="20"/>
    </row>
    <row r="796">
      <c r="D796" s="20"/>
      <c r="G796" s="26"/>
      <c r="H796" s="20"/>
    </row>
    <row r="797">
      <c r="D797" s="20"/>
      <c r="G797" s="26"/>
      <c r="H797" s="20"/>
    </row>
    <row r="798">
      <c r="D798" s="20"/>
      <c r="G798" s="26"/>
      <c r="H798" s="20"/>
    </row>
    <row r="799">
      <c r="D799" s="20"/>
      <c r="G799" s="26"/>
      <c r="H799" s="20"/>
    </row>
    <row r="800">
      <c r="D800" s="20"/>
      <c r="G800" s="26"/>
      <c r="H800" s="20"/>
    </row>
    <row r="801">
      <c r="D801" s="20"/>
      <c r="G801" s="26"/>
      <c r="H801" s="20"/>
    </row>
    <row r="802">
      <c r="D802" s="20"/>
      <c r="G802" s="26"/>
      <c r="H802" s="20"/>
    </row>
    <row r="803">
      <c r="D803" s="20"/>
      <c r="G803" s="26"/>
      <c r="H803" s="20"/>
    </row>
    <row r="804">
      <c r="D804" s="20"/>
      <c r="G804" s="26"/>
      <c r="H804" s="20"/>
    </row>
    <row r="805">
      <c r="D805" s="20"/>
      <c r="G805" s="26"/>
      <c r="H805" s="20"/>
    </row>
    <row r="806">
      <c r="D806" s="20"/>
      <c r="G806" s="26"/>
      <c r="H806" s="20"/>
    </row>
    <row r="807">
      <c r="D807" s="20"/>
      <c r="G807" s="26"/>
      <c r="H807" s="20"/>
    </row>
    <row r="808">
      <c r="D808" s="20"/>
      <c r="G808" s="26"/>
      <c r="H808" s="20"/>
    </row>
    <row r="809">
      <c r="D809" s="20"/>
      <c r="G809" s="26"/>
      <c r="H809" s="20"/>
    </row>
    <row r="810">
      <c r="D810" s="20"/>
      <c r="G810" s="26"/>
      <c r="H810" s="20"/>
    </row>
    <row r="811">
      <c r="D811" s="20"/>
      <c r="G811" s="26"/>
      <c r="H811" s="20"/>
    </row>
    <row r="812">
      <c r="D812" s="20"/>
      <c r="G812" s="26"/>
      <c r="H812" s="20"/>
    </row>
    <row r="813">
      <c r="D813" s="20"/>
      <c r="G813" s="26"/>
      <c r="H813" s="20"/>
    </row>
    <row r="814">
      <c r="D814" s="20"/>
      <c r="G814" s="26"/>
      <c r="H814" s="20"/>
    </row>
    <row r="815">
      <c r="D815" s="20"/>
      <c r="G815" s="26"/>
      <c r="H815" s="20"/>
    </row>
    <row r="816">
      <c r="D816" s="20"/>
      <c r="G816" s="26"/>
      <c r="H816" s="20"/>
    </row>
    <row r="817">
      <c r="D817" s="20"/>
      <c r="G817" s="26"/>
      <c r="H817" s="20"/>
    </row>
    <row r="818">
      <c r="D818" s="20"/>
      <c r="G818" s="26"/>
      <c r="H818" s="20"/>
    </row>
    <row r="819">
      <c r="D819" s="20"/>
      <c r="G819" s="26"/>
      <c r="H819" s="20"/>
    </row>
    <row r="820">
      <c r="D820" s="20"/>
      <c r="G820" s="26"/>
      <c r="H820" s="20"/>
    </row>
    <row r="821">
      <c r="D821" s="20"/>
      <c r="G821" s="26"/>
      <c r="H821" s="20"/>
    </row>
    <row r="822">
      <c r="D822" s="20"/>
      <c r="G822" s="26"/>
      <c r="H822" s="20"/>
    </row>
    <row r="823">
      <c r="D823" s="20"/>
      <c r="G823" s="26"/>
      <c r="H823" s="20"/>
    </row>
    <row r="824">
      <c r="D824" s="20"/>
      <c r="G824" s="26"/>
      <c r="H824" s="20"/>
    </row>
    <row r="825">
      <c r="D825" s="20"/>
      <c r="G825" s="26"/>
      <c r="H825" s="20"/>
    </row>
    <row r="826">
      <c r="D826" s="20"/>
      <c r="G826" s="26"/>
      <c r="H826" s="20"/>
    </row>
    <row r="827">
      <c r="D827" s="20"/>
      <c r="G827" s="26"/>
      <c r="H827" s="20"/>
    </row>
    <row r="828">
      <c r="D828" s="20"/>
      <c r="G828" s="26"/>
      <c r="H828" s="20"/>
    </row>
    <row r="829">
      <c r="D829" s="20"/>
      <c r="G829" s="26"/>
      <c r="H829" s="20"/>
    </row>
    <row r="830">
      <c r="D830" s="20"/>
      <c r="G830" s="26"/>
      <c r="H830" s="20"/>
    </row>
    <row r="831">
      <c r="D831" s="20"/>
      <c r="G831" s="26"/>
      <c r="H831" s="20"/>
    </row>
    <row r="832">
      <c r="D832" s="20"/>
      <c r="G832" s="26"/>
      <c r="H832" s="20"/>
    </row>
    <row r="833">
      <c r="D833" s="20"/>
      <c r="G833" s="26"/>
      <c r="H833" s="20"/>
    </row>
    <row r="834">
      <c r="D834" s="20"/>
      <c r="G834" s="26"/>
      <c r="H834" s="20"/>
    </row>
    <row r="835">
      <c r="D835" s="20"/>
      <c r="G835" s="26"/>
      <c r="H835" s="20"/>
    </row>
    <row r="836">
      <c r="D836" s="20"/>
      <c r="G836" s="26"/>
      <c r="H836" s="20"/>
    </row>
    <row r="837">
      <c r="D837" s="20"/>
      <c r="G837" s="26"/>
      <c r="H837" s="20"/>
    </row>
    <row r="838">
      <c r="D838" s="20"/>
      <c r="G838" s="26"/>
      <c r="H838" s="20"/>
    </row>
    <row r="839">
      <c r="D839" s="20"/>
      <c r="G839" s="26"/>
      <c r="H839" s="20"/>
    </row>
    <row r="840">
      <c r="D840" s="20"/>
      <c r="G840" s="26"/>
      <c r="H840" s="20"/>
    </row>
    <row r="841">
      <c r="D841" s="20"/>
      <c r="G841" s="26"/>
      <c r="H841" s="20"/>
    </row>
    <row r="842">
      <c r="D842" s="20"/>
      <c r="G842" s="26"/>
      <c r="H842" s="20"/>
    </row>
    <row r="843">
      <c r="D843" s="20"/>
      <c r="G843" s="26"/>
      <c r="H843" s="20"/>
    </row>
    <row r="844">
      <c r="D844" s="20"/>
      <c r="G844" s="26"/>
      <c r="H844" s="20"/>
    </row>
    <row r="845">
      <c r="D845" s="20"/>
      <c r="G845" s="26"/>
      <c r="H845" s="20"/>
    </row>
    <row r="846">
      <c r="D846" s="20"/>
      <c r="G846" s="26"/>
      <c r="H846" s="20"/>
    </row>
    <row r="847">
      <c r="D847" s="20"/>
      <c r="G847" s="26"/>
      <c r="H847" s="20"/>
    </row>
    <row r="848">
      <c r="D848" s="20"/>
      <c r="G848" s="26"/>
      <c r="H848" s="20"/>
    </row>
    <row r="849">
      <c r="D849" s="20"/>
      <c r="G849" s="26"/>
      <c r="H849" s="20"/>
    </row>
    <row r="850">
      <c r="D850" s="20"/>
      <c r="G850" s="26"/>
      <c r="H850" s="20"/>
    </row>
    <row r="851">
      <c r="D851" s="20"/>
      <c r="G851" s="26"/>
      <c r="H851" s="20"/>
    </row>
    <row r="852">
      <c r="D852" s="20"/>
      <c r="G852" s="26"/>
      <c r="H852" s="20"/>
    </row>
    <row r="853">
      <c r="D853" s="20"/>
      <c r="G853" s="26"/>
      <c r="H853" s="20"/>
    </row>
    <row r="854">
      <c r="D854" s="20"/>
      <c r="G854" s="26"/>
      <c r="H854" s="20"/>
    </row>
    <row r="855">
      <c r="D855" s="20"/>
      <c r="G855" s="26"/>
      <c r="H855" s="20"/>
    </row>
    <row r="856">
      <c r="D856" s="20"/>
      <c r="G856" s="26"/>
      <c r="H856" s="20"/>
    </row>
    <row r="857">
      <c r="D857" s="20"/>
      <c r="G857" s="26"/>
      <c r="H857" s="20"/>
    </row>
    <row r="858">
      <c r="D858" s="20"/>
      <c r="G858" s="26"/>
      <c r="H858" s="20"/>
    </row>
    <row r="859">
      <c r="D859" s="20"/>
      <c r="G859" s="26"/>
      <c r="H859" s="20"/>
    </row>
    <row r="860">
      <c r="D860" s="20"/>
      <c r="G860" s="26"/>
      <c r="H860" s="20"/>
    </row>
    <row r="861">
      <c r="D861" s="20"/>
      <c r="G861" s="26"/>
      <c r="H861" s="20"/>
    </row>
    <row r="862">
      <c r="D862" s="20"/>
      <c r="G862" s="26"/>
      <c r="H862" s="20"/>
    </row>
    <row r="863">
      <c r="D863" s="20"/>
      <c r="G863" s="26"/>
      <c r="H863" s="20"/>
    </row>
    <row r="864">
      <c r="D864" s="20"/>
      <c r="G864" s="26"/>
      <c r="H864" s="20"/>
    </row>
    <row r="865">
      <c r="D865" s="20"/>
      <c r="G865" s="26"/>
      <c r="H865" s="20"/>
    </row>
    <row r="866">
      <c r="D866" s="20"/>
      <c r="G866" s="26"/>
      <c r="H866" s="20"/>
    </row>
    <row r="867">
      <c r="D867" s="20"/>
      <c r="G867" s="26"/>
      <c r="H867" s="20"/>
    </row>
    <row r="868">
      <c r="D868" s="20"/>
      <c r="G868" s="26"/>
      <c r="H868" s="20"/>
    </row>
    <row r="869">
      <c r="D869" s="20"/>
      <c r="G869" s="26"/>
      <c r="H869" s="20"/>
    </row>
    <row r="870">
      <c r="D870" s="20"/>
      <c r="G870" s="26"/>
      <c r="H870" s="20"/>
    </row>
    <row r="871">
      <c r="D871" s="20"/>
      <c r="G871" s="26"/>
      <c r="H871" s="20"/>
    </row>
    <row r="872">
      <c r="D872" s="20"/>
      <c r="G872" s="26"/>
      <c r="H872" s="20"/>
    </row>
    <row r="873">
      <c r="D873" s="20"/>
      <c r="G873" s="26"/>
      <c r="H873" s="20"/>
    </row>
    <row r="874">
      <c r="D874" s="20"/>
      <c r="G874" s="26"/>
      <c r="H874" s="20"/>
    </row>
    <row r="875">
      <c r="D875" s="20"/>
      <c r="G875" s="26"/>
      <c r="H875" s="20"/>
    </row>
    <row r="876">
      <c r="D876" s="20"/>
      <c r="G876" s="26"/>
      <c r="H876" s="20"/>
    </row>
    <row r="877">
      <c r="D877" s="20"/>
      <c r="G877" s="26"/>
      <c r="H877" s="20"/>
    </row>
    <row r="878">
      <c r="D878" s="20"/>
      <c r="G878" s="26"/>
      <c r="H878" s="20"/>
    </row>
    <row r="879">
      <c r="D879" s="20"/>
      <c r="G879" s="26"/>
      <c r="H879" s="20"/>
    </row>
    <row r="880">
      <c r="D880" s="20"/>
      <c r="G880" s="26"/>
      <c r="H880" s="20"/>
    </row>
    <row r="881">
      <c r="D881" s="20"/>
      <c r="G881" s="26"/>
      <c r="H881" s="20"/>
    </row>
    <row r="882">
      <c r="D882" s="20"/>
      <c r="G882" s="26"/>
      <c r="H882" s="20"/>
    </row>
    <row r="883">
      <c r="D883" s="20"/>
      <c r="G883" s="26"/>
      <c r="H883" s="20"/>
    </row>
    <row r="884">
      <c r="D884" s="20"/>
      <c r="G884" s="26"/>
      <c r="H884" s="20"/>
    </row>
    <row r="885">
      <c r="D885" s="20"/>
      <c r="G885" s="26"/>
      <c r="H885" s="20"/>
    </row>
    <row r="886">
      <c r="D886" s="20"/>
      <c r="G886" s="26"/>
      <c r="H886" s="20"/>
    </row>
    <row r="887">
      <c r="D887" s="20"/>
      <c r="G887" s="26"/>
      <c r="H887" s="20"/>
    </row>
    <row r="888">
      <c r="D888" s="20"/>
      <c r="G888" s="26"/>
      <c r="H888" s="20"/>
    </row>
    <row r="889">
      <c r="D889" s="20"/>
      <c r="G889" s="26"/>
      <c r="H889" s="20"/>
    </row>
    <row r="890">
      <c r="D890" s="20"/>
      <c r="G890" s="26"/>
      <c r="H890" s="20"/>
    </row>
    <row r="891">
      <c r="D891" s="20"/>
      <c r="G891" s="26"/>
      <c r="H891" s="20"/>
    </row>
    <row r="892">
      <c r="D892" s="20"/>
      <c r="G892" s="26"/>
      <c r="H892" s="20"/>
    </row>
    <row r="893">
      <c r="D893" s="20"/>
      <c r="G893" s="26"/>
      <c r="H893" s="20"/>
    </row>
    <row r="894">
      <c r="D894" s="20"/>
      <c r="G894" s="26"/>
      <c r="H894" s="20"/>
    </row>
    <row r="895">
      <c r="D895" s="20"/>
      <c r="G895" s="26"/>
      <c r="H895" s="20"/>
    </row>
    <row r="896">
      <c r="D896" s="20"/>
      <c r="G896" s="26"/>
      <c r="H896" s="20"/>
    </row>
    <row r="897">
      <c r="D897" s="20"/>
      <c r="G897" s="26"/>
      <c r="H897" s="20"/>
    </row>
    <row r="898">
      <c r="D898" s="20"/>
      <c r="G898" s="26"/>
      <c r="H898" s="20"/>
    </row>
    <row r="899">
      <c r="D899" s="20"/>
      <c r="G899" s="26"/>
      <c r="H899" s="20"/>
    </row>
    <row r="900">
      <c r="D900" s="20"/>
      <c r="G900" s="26"/>
      <c r="H900" s="20"/>
    </row>
    <row r="901">
      <c r="D901" s="20"/>
      <c r="G901" s="26"/>
      <c r="H901" s="20"/>
    </row>
    <row r="902">
      <c r="D902" s="20"/>
      <c r="G902" s="26"/>
      <c r="H902" s="20"/>
    </row>
    <row r="903">
      <c r="D903" s="20"/>
      <c r="G903" s="26"/>
      <c r="H903" s="20"/>
    </row>
    <row r="904">
      <c r="D904" s="20"/>
      <c r="G904" s="26"/>
      <c r="H904" s="20"/>
    </row>
    <row r="905">
      <c r="D905" s="20"/>
      <c r="G905" s="26"/>
      <c r="H905" s="20"/>
    </row>
    <row r="906">
      <c r="D906" s="20"/>
      <c r="G906" s="26"/>
      <c r="H906" s="20"/>
    </row>
    <row r="907">
      <c r="D907" s="20"/>
      <c r="G907" s="26"/>
      <c r="H907" s="20"/>
    </row>
    <row r="908">
      <c r="D908" s="20"/>
      <c r="G908" s="26"/>
      <c r="H908" s="20"/>
    </row>
    <row r="909">
      <c r="D909" s="20"/>
      <c r="G909" s="26"/>
      <c r="H909" s="20"/>
    </row>
    <row r="910">
      <c r="D910" s="20"/>
      <c r="G910" s="26"/>
      <c r="H910" s="20"/>
    </row>
    <row r="911">
      <c r="D911" s="20"/>
      <c r="G911" s="26"/>
      <c r="H911" s="20"/>
    </row>
    <row r="912">
      <c r="D912" s="20"/>
      <c r="G912" s="26"/>
      <c r="H912" s="20"/>
    </row>
    <row r="913">
      <c r="D913" s="20"/>
      <c r="G913" s="26"/>
      <c r="H913" s="20"/>
    </row>
    <row r="914">
      <c r="D914" s="20"/>
      <c r="G914" s="26"/>
      <c r="H914" s="20"/>
    </row>
    <row r="915">
      <c r="D915" s="20"/>
      <c r="G915" s="26"/>
      <c r="H915" s="20"/>
    </row>
    <row r="916">
      <c r="D916" s="20"/>
      <c r="G916" s="26"/>
      <c r="H916" s="20"/>
    </row>
    <row r="917">
      <c r="D917" s="20"/>
      <c r="G917" s="26"/>
      <c r="H917" s="20"/>
    </row>
    <row r="918">
      <c r="D918" s="20"/>
      <c r="G918" s="26"/>
      <c r="H918" s="20"/>
    </row>
    <row r="919">
      <c r="D919" s="20"/>
      <c r="G919" s="26"/>
      <c r="H919" s="20"/>
    </row>
    <row r="920">
      <c r="D920" s="20"/>
      <c r="G920" s="26"/>
      <c r="H920" s="20"/>
    </row>
    <row r="921">
      <c r="D921" s="20"/>
      <c r="G921" s="26"/>
      <c r="H921" s="20"/>
    </row>
    <row r="922">
      <c r="D922" s="20"/>
      <c r="G922" s="26"/>
      <c r="H922" s="20"/>
    </row>
    <row r="923">
      <c r="D923" s="20"/>
      <c r="G923" s="26"/>
      <c r="H923" s="20"/>
    </row>
    <row r="924">
      <c r="D924" s="20"/>
      <c r="G924" s="26"/>
      <c r="H924" s="20"/>
    </row>
    <row r="925">
      <c r="D925" s="20"/>
      <c r="G925" s="26"/>
      <c r="H925" s="20"/>
    </row>
    <row r="926">
      <c r="D926" s="20"/>
      <c r="G926" s="26"/>
      <c r="H926" s="20"/>
    </row>
    <row r="927">
      <c r="D927" s="20"/>
      <c r="G927" s="26"/>
      <c r="H927" s="20"/>
    </row>
    <row r="928">
      <c r="D928" s="20"/>
      <c r="G928" s="26"/>
      <c r="H928" s="20"/>
    </row>
    <row r="929">
      <c r="D929" s="20"/>
      <c r="G929" s="26"/>
      <c r="H929" s="20"/>
    </row>
    <row r="930">
      <c r="D930" s="20"/>
      <c r="G930" s="26"/>
      <c r="H930" s="20"/>
    </row>
    <row r="931">
      <c r="D931" s="20"/>
      <c r="G931" s="26"/>
      <c r="H931" s="20"/>
    </row>
    <row r="932">
      <c r="D932" s="20"/>
      <c r="G932" s="26"/>
      <c r="H932" s="20"/>
    </row>
    <row r="933">
      <c r="D933" s="20"/>
      <c r="G933" s="26"/>
      <c r="H933" s="20"/>
    </row>
    <row r="934">
      <c r="D934" s="20"/>
      <c r="G934" s="26"/>
      <c r="H934" s="20"/>
    </row>
    <row r="935">
      <c r="D935" s="20"/>
      <c r="G935" s="26"/>
      <c r="H935" s="20"/>
    </row>
    <row r="936">
      <c r="D936" s="20"/>
      <c r="G936" s="26"/>
      <c r="H936" s="20"/>
    </row>
    <row r="937">
      <c r="D937" s="20"/>
      <c r="G937" s="26"/>
      <c r="H937" s="20"/>
    </row>
    <row r="938">
      <c r="D938" s="20"/>
      <c r="G938" s="26"/>
      <c r="H938" s="20"/>
    </row>
    <row r="939">
      <c r="D939" s="20"/>
      <c r="G939" s="26"/>
      <c r="H939" s="20"/>
    </row>
    <row r="940">
      <c r="D940" s="20"/>
      <c r="G940" s="26"/>
      <c r="H940" s="20"/>
    </row>
    <row r="941">
      <c r="D941" s="20"/>
      <c r="G941" s="26"/>
      <c r="H941" s="20"/>
    </row>
    <row r="942">
      <c r="D942" s="20"/>
      <c r="G942" s="26"/>
      <c r="H942" s="20"/>
    </row>
    <row r="943">
      <c r="D943" s="20"/>
      <c r="G943" s="26"/>
      <c r="H943" s="20"/>
    </row>
    <row r="944">
      <c r="D944" s="20"/>
      <c r="G944" s="26"/>
      <c r="H944" s="20"/>
    </row>
    <row r="945">
      <c r="D945" s="20"/>
      <c r="G945" s="26"/>
      <c r="H945" s="20"/>
    </row>
    <row r="946">
      <c r="D946" s="20"/>
      <c r="G946" s="26"/>
      <c r="H946" s="20"/>
    </row>
    <row r="947">
      <c r="D947" s="20"/>
      <c r="G947" s="26"/>
      <c r="H947" s="20"/>
    </row>
    <row r="948">
      <c r="D948" s="20"/>
      <c r="G948" s="26"/>
      <c r="H948" s="20"/>
    </row>
    <row r="949">
      <c r="D949" s="20"/>
      <c r="G949" s="26"/>
      <c r="H949" s="20"/>
    </row>
    <row r="950">
      <c r="D950" s="20"/>
      <c r="G950" s="26"/>
      <c r="H950" s="20"/>
    </row>
    <row r="951">
      <c r="D951" s="20"/>
      <c r="G951" s="26"/>
      <c r="H951" s="20"/>
    </row>
    <row r="952">
      <c r="D952" s="20"/>
      <c r="G952" s="26"/>
      <c r="H952" s="20"/>
    </row>
    <row r="953">
      <c r="D953" s="20"/>
      <c r="G953" s="26"/>
      <c r="H953" s="20"/>
    </row>
    <row r="954">
      <c r="D954" s="20"/>
      <c r="G954" s="26"/>
      <c r="H954" s="20"/>
    </row>
    <row r="955">
      <c r="D955" s="20"/>
      <c r="G955" s="26"/>
      <c r="H955" s="20"/>
    </row>
    <row r="956">
      <c r="D956" s="20"/>
      <c r="G956" s="26"/>
      <c r="H956" s="20"/>
    </row>
    <row r="957">
      <c r="D957" s="20"/>
      <c r="G957" s="26"/>
      <c r="H957" s="20"/>
    </row>
    <row r="958">
      <c r="D958" s="20"/>
      <c r="G958" s="26"/>
      <c r="H958" s="20"/>
    </row>
    <row r="959">
      <c r="D959" s="20"/>
      <c r="G959" s="26"/>
      <c r="H959" s="20"/>
    </row>
    <row r="960">
      <c r="D960" s="20"/>
      <c r="G960" s="26"/>
      <c r="H960" s="20"/>
    </row>
    <row r="961">
      <c r="D961" s="20"/>
      <c r="G961" s="26"/>
      <c r="H961" s="20"/>
    </row>
    <row r="962">
      <c r="D962" s="20"/>
      <c r="G962" s="26"/>
      <c r="H962" s="20"/>
    </row>
    <row r="963">
      <c r="D963" s="20"/>
      <c r="G963" s="26"/>
      <c r="H963" s="20"/>
    </row>
    <row r="964">
      <c r="D964" s="20"/>
      <c r="G964" s="26"/>
      <c r="H964" s="20"/>
    </row>
    <row r="965">
      <c r="D965" s="20"/>
      <c r="G965" s="26"/>
      <c r="H965" s="20"/>
    </row>
    <row r="966">
      <c r="D966" s="20"/>
      <c r="G966" s="26"/>
      <c r="H966" s="20"/>
    </row>
    <row r="967">
      <c r="D967" s="20"/>
      <c r="G967" s="26"/>
      <c r="H967" s="20"/>
    </row>
    <row r="968">
      <c r="D968" s="20"/>
      <c r="G968" s="26"/>
      <c r="H968" s="20"/>
    </row>
    <row r="969">
      <c r="D969" s="20"/>
      <c r="G969" s="26"/>
      <c r="H969" s="20"/>
    </row>
    <row r="970">
      <c r="D970" s="20"/>
      <c r="G970" s="26"/>
      <c r="H970" s="20"/>
    </row>
    <row r="971">
      <c r="D971" s="20"/>
      <c r="G971" s="26"/>
      <c r="H971" s="20"/>
    </row>
    <row r="972">
      <c r="D972" s="20"/>
      <c r="G972" s="26"/>
      <c r="H972" s="20"/>
    </row>
    <row r="973">
      <c r="D973" s="20"/>
      <c r="G973" s="26"/>
      <c r="H973" s="20"/>
    </row>
    <row r="974">
      <c r="D974" s="20"/>
      <c r="G974" s="26"/>
      <c r="H974" s="20"/>
    </row>
    <row r="975">
      <c r="D975" s="20"/>
      <c r="G975" s="26"/>
      <c r="H975" s="20"/>
    </row>
    <row r="976">
      <c r="D976" s="20"/>
      <c r="G976" s="26"/>
      <c r="H976" s="20"/>
    </row>
    <row r="977">
      <c r="D977" s="20"/>
      <c r="G977" s="26"/>
      <c r="H977" s="20"/>
    </row>
    <row r="978">
      <c r="D978" s="20"/>
      <c r="G978" s="26"/>
      <c r="H978" s="20"/>
    </row>
    <row r="979">
      <c r="D979" s="20"/>
      <c r="G979" s="26"/>
      <c r="H979" s="20"/>
    </row>
    <row r="980">
      <c r="D980" s="20"/>
      <c r="G980" s="26"/>
      <c r="H980" s="20"/>
    </row>
    <row r="981">
      <c r="D981" s="20"/>
      <c r="G981" s="26"/>
      <c r="H981" s="20"/>
    </row>
    <row r="982">
      <c r="D982" s="20"/>
      <c r="G982" s="26"/>
      <c r="H982" s="20"/>
    </row>
    <row r="983">
      <c r="D983" s="20"/>
      <c r="G983" s="26"/>
      <c r="H983" s="20"/>
    </row>
    <row r="984">
      <c r="D984" s="20"/>
      <c r="G984" s="26"/>
      <c r="H984" s="20"/>
    </row>
    <row r="985">
      <c r="D985" s="20"/>
      <c r="G985" s="26"/>
      <c r="H985" s="20"/>
    </row>
    <row r="986">
      <c r="D986" s="20"/>
      <c r="G986" s="26"/>
      <c r="H986" s="20"/>
    </row>
    <row r="987">
      <c r="D987" s="20"/>
      <c r="G987" s="26"/>
      <c r="H987" s="20"/>
    </row>
    <row r="988">
      <c r="D988" s="20"/>
      <c r="G988" s="26"/>
      <c r="H988" s="20"/>
    </row>
    <row r="989">
      <c r="D989" s="20"/>
      <c r="G989" s="26"/>
      <c r="H989" s="20"/>
    </row>
    <row r="990">
      <c r="D990" s="20"/>
      <c r="G990" s="26"/>
      <c r="H990" s="20"/>
    </row>
    <row r="991">
      <c r="D991" s="20"/>
      <c r="G991" s="26"/>
      <c r="H991" s="20"/>
    </row>
    <row r="992">
      <c r="D992" s="20"/>
      <c r="G992" s="26"/>
      <c r="H992" s="20"/>
    </row>
    <row r="993">
      <c r="D993" s="20"/>
      <c r="G993" s="26"/>
      <c r="H993" s="20"/>
    </row>
    <row r="994">
      <c r="D994" s="20"/>
      <c r="G994" s="26"/>
      <c r="H994" s="20"/>
    </row>
    <row r="995">
      <c r="D995" s="20"/>
      <c r="G995" s="26"/>
      <c r="H995" s="20"/>
    </row>
    <row r="996">
      <c r="D996" s="20"/>
      <c r="G996" s="26"/>
      <c r="H996" s="20"/>
    </row>
    <row r="997">
      <c r="D997" s="20"/>
      <c r="G997" s="26"/>
      <c r="H997" s="20"/>
    </row>
    <row r="998">
      <c r="D998" s="20"/>
      <c r="G998" s="26"/>
      <c r="H998" s="20"/>
    </row>
    <row r="999">
      <c r="D999" s="20"/>
      <c r="G999" s="26"/>
      <c r="H999" s="20"/>
    </row>
    <row r="1000">
      <c r="D1000" s="20"/>
      <c r="G1000" s="26"/>
      <c r="H1000" s="20"/>
    </row>
  </sheetData>
  <mergeCells count="2">
    <mergeCell ref="A1:H1"/>
    <mergeCell ref="A3:H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4" t="s">
        <v>50</v>
      </c>
      <c r="B1" s="24" t="s">
        <v>56</v>
      </c>
      <c r="C1" s="24" t="s">
        <v>36</v>
      </c>
      <c r="D1" s="24" t="s">
        <v>51</v>
      </c>
      <c r="E1" s="24" t="s">
        <v>52</v>
      </c>
      <c r="F1" s="24" t="s">
        <v>57</v>
      </c>
      <c r="G1" s="24" t="s">
        <v>58</v>
      </c>
    </row>
    <row r="2">
      <c r="A2" s="19" t="s">
        <v>59</v>
      </c>
      <c r="B2" s="19" t="s">
        <v>60</v>
      </c>
      <c r="C2" s="19" t="s">
        <v>42</v>
      </c>
      <c r="D2" s="19" t="s">
        <v>61</v>
      </c>
      <c r="E2" s="33">
        <v>46263.33333333333</v>
      </c>
      <c r="F2" s="34">
        <v>2.0</v>
      </c>
      <c r="G2" s="33">
        <v>46244.030594386575</v>
      </c>
    </row>
    <row r="3">
      <c r="A3" s="19" t="s">
        <v>62</v>
      </c>
      <c r="B3" s="35">
        <v>45901.0</v>
      </c>
      <c r="C3" s="19" t="s">
        <v>43</v>
      </c>
      <c r="D3" s="19" t="s">
        <v>63</v>
      </c>
      <c r="E3" s="33">
        <v>45900.33333333333</v>
      </c>
      <c r="F3" s="34">
        <v>0.0</v>
      </c>
      <c r="G3" s="33">
        <v>46244.517237928245</v>
      </c>
    </row>
    <row r="4">
      <c r="E4" s="23"/>
      <c r="G4" s="23"/>
    </row>
    <row r="5">
      <c r="E5" s="23"/>
      <c r="G5" s="23"/>
    </row>
    <row r="6">
      <c r="E6" s="23"/>
      <c r="G6" s="23"/>
    </row>
    <row r="7">
      <c r="E7" s="23"/>
      <c r="G7" s="23"/>
    </row>
    <row r="8">
      <c r="E8" s="23"/>
      <c r="G8" s="23"/>
    </row>
    <row r="9">
      <c r="E9" s="23"/>
      <c r="G9" s="23"/>
    </row>
    <row r="10">
      <c r="E10" s="23"/>
      <c r="G10" s="23"/>
    </row>
    <row r="11">
      <c r="E11" s="23"/>
      <c r="G11" s="23"/>
    </row>
    <row r="12">
      <c r="E12" s="23"/>
      <c r="G12" s="23"/>
    </row>
    <row r="13">
      <c r="E13" s="23"/>
      <c r="G13" s="23"/>
    </row>
    <row r="14">
      <c r="E14" s="23"/>
      <c r="G14" s="23"/>
    </row>
    <row r="15">
      <c r="E15" s="23"/>
      <c r="G15" s="23"/>
    </row>
    <row r="16">
      <c r="E16" s="23"/>
      <c r="G16" s="23"/>
    </row>
    <row r="17">
      <c r="E17" s="23"/>
      <c r="G17" s="23"/>
    </row>
    <row r="18">
      <c r="E18" s="23"/>
      <c r="G18" s="23"/>
    </row>
    <row r="19">
      <c r="E19" s="23"/>
      <c r="G19" s="23"/>
    </row>
    <row r="20">
      <c r="E20" s="23"/>
      <c r="G20" s="23"/>
    </row>
    <row r="21">
      <c r="E21" s="23"/>
      <c r="G21" s="23"/>
    </row>
    <row r="22">
      <c r="E22" s="23"/>
      <c r="G22" s="23"/>
    </row>
    <row r="23">
      <c r="E23" s="23"/>
      <c r="G23" s="23"/>
    </row>
    <row r="24">
      <c r="E24" s="23"/>
      <c r="G24" s="23"/>
    </row>
    <row r="25">
      <c r="E25" s="23"/>
      <c r="G25" s="23"/>
    </row>
    <row r="26">
      <c r="E26" s="23"/>
      <c r="G26" s="23"/>
    </row>
    <row r="27">
      <c r="E27" s="23"/>
      <c r="G27" s="23"/>
    </row>
    <row r="28">
      <c r="E28" s="23"/>
      <c r="G28" s="23"/>
    </row>
    <row r="29">
      <c r="E29" s="23"/>
      <c r="G29" s="23"/>
    </row>
    <row r="30">
      <c r="E30" s="23"/>
      <c r="G30" s="23"/>
    </row>
    <row r="31">
      <c r="E31" s="23"/>
      <c r="G31" s="23"/>
    </row>
    <row r="32">
      <c r="E32" s="23"/>
      <c r="G32" s="23"/>
    </row>
    <row r="33">
      <c r="E33" s="23"/>
      <c r="G33" s="23"/>
    </row>
    <row r="34">
      <c r="E34" s="23"/>
      <c r="G34" s="23"/>
    </row>
    <row r="35">
      <c r="E35" s="23"/>
      <c r="G35" s="23"/>
    </row>
    <row r="36">
      <c r="E36" s="23"/>
      <c r="G36" s="23"/>
    </row>
    <row r="37">
      <c r="E37" s="23"/>
      <c r="G37" s="23"/>
    </row>
    <row r="38">
      <c r="E38" s="23"/>
      <c r="G38" s="23"/>
    </row>
    <row r="39">
      <c r="E39" s="23"/>
      <c r="G39" s="23"/>
    </row>
    <row r="40">
      <c r="E40" s="23"/>
      <c r="G40" s="23"/>
    </row>
    <row r="41">
      <c r="E41" s="23"/>
      <c r="G41" s="23"/>
    </row>
    <row r="42">
      <c r="E42" s="23"/>
      <c r="G42" s="23"/>
    </row>
    <row r="43">
      <c r="E43" s="23"/>
      <c r="G43" s="23"/>
    </row>
    <row r="44">
      <c r="E44" s="23"/>
      <c r="G44" s="23"/>
    </row>
    <row r="45">
      <c r="E45" s="23"/>
      <c r="G45" s="23"/>
    </row>
    <row r="46">
      <c r="E46" s="23"/>
      <c r="G46" s="23"/>
    </row>
    <row r="47">
      <c r="E47" s="23"/>
      <c r="G47" s="23"/>
    </row>
    <row r="48">
      <c r="E48" s="23"/>
      <c r="G48" s="23"/>
    </row>
    <row r="49">
      <c r="E49" s="23"/>
      <c r="G49" s="23"/>
    </row>
    <row r="50">
      <c r="E50" s="23"/>
      <c r="G50" s="23"/>
    </row>
    <row r="51">
      <c r="E51" s="23"/>
      <c r="G51" s="23"/>
    </row>
    <row r="52">
      <c r="E52" s="23"/>
      <c r="G52" s="23"/>
    </row>
    <row r="53">
      <c r="E53" s="23"/>
      <c r="G53" s="23"/>
    </row>
    <row r="54">
      <c r="E54" s="23"/>
      <c r="G54" s="23"/>
    </row>
    <row r="55">
      <c r="E55" s="23"/>
      <c r="G55" s="23"/>
    </row>
    <row r="56">
      <c r="E56" s="23"/>
      <c r="G56" s="23"/>
    </row>
    <row r="57">
      <c r="E57" s="23"/>
      <c r="G57" s="23"/>
    </row>
    <row r="58">
      <c r="E58" s="23"/>
      <c r="G58" s="23"/>
    </row>
    <row r="59">
      <c r="E59" s="23"/>
      <c r="G59" s="23"/>
    </row>
    <row r="60">
      <c r="E60" s="23"/>
      <c r="G60" s="23"/>
    </row>
    <row r="61">
      <c r="E61" s="23"/>
      <c r="G61" s="23"/>
    </row>
    <row r="62">
      <c r="E62" s="23"/>
      <c r="G62" s="23"/>
    </row>
    <row r="63">
      <c r="E63" s="23"/>
      <c r="G63" s="23"/>
    </row>
    <row r="64">
      <c r="E64" s="23"/>
      <c r="G64" s="23"/>
    </row>
    <row r="65">
      <c r="E65" s="23"/>
      <c r="G65" s="23"/>
    </row>
    <row r="66">
      <c r="E66" s="23"/>
      <c r="G66" s="23"/>
    </row>
    <row r="67">
      <c r="E67" s="23"/>
      <c r="G67" s="23"/>
    </row>
    <row r="68">
      <c r="E68" s="23"/>
      <c r="G68" s="23"/>
    </row>
    <row r="69">
      <c r="E69" s="23"/>
      <c r="G69" s="23"/>
    </row>
    <row r="70">
      <c r="E70" s="23"/>
      <c r="G70" s="23"/>
    </row>
    <row r="71">
      <c r="E71" s="23"/>
      <c r="G71" s="23"/>
    </row>
    <row r="72">
      <c r="E72" s="23"/>
      <c r="G72" s="23"/>
    </row>
    <row r="73">
      <c r="E73" s="23"/>
      <c r="G73" s="23"/>
    </row>
    <row r="74">
      <c r="E74" s="23"/>
      <c r="G74" s="23"/>
    </row>
    <row r="75">
      <c r="E75" s="23"/>
      <c r="G75" s="23"/>
    </row>
    <row r="76">
      <c r="E76" s="23"/>
      <c r="G76" s="23"/>
    </row>
    <row r="77">
      <c r="E77" s="23"/>
      <c r="G77" s="23"/>
    </row>
    <row r="78">
      <c r="E78" s="23"/>
      <c r="G78" s="23"/>
    </row>
    <row r="79">
      <c r="E79" s="23"/>
      <c r="G79" s="23"/>
    </row>
    <row r="80">
      <c r="E80" s="23"/>
      <c r="G80" s="23"/>
    </row>
    <row r="81">
      <c r="E81" s="23"/>
      <c r="G81" s="23"/>
    </row>
    <row r="82">
      <c r="E82" s="23"/>
      <c r="G82" s="23"/>
    </row>
    <row r="83">
      <c r="E83" s="23"/>
      <c r="G83" s="23"/>
    </row>
    <row r="84">
      <c r="E84" s="23"/>
      <c r="G84" s="23"/>
    </row>
    <row r="85">
      <c r="E85" s="23"/>
      <c r="G85" s="23"/>
    </row>
    <row r="86">
      <c r="E86" s="23"/>
      <c r="G86" s="23"/>
    </row>
    <row r="87">
      <c r="E87" s="23"/>
      <c r="G87" s="23"/>
    </row>
    <row r="88">
      <c r="E88" s="23"/>
      <c r="G88" s="23"/>
    </row>
    <row r="89">
      <c r="E89" s="23"/>
      <c r="G89" s="23"/>
    </row>
    <row r="90">
      <c r="E90" s="23"/>
      <c r="G90" s="23"/>
    </row>
    <row r="91">
      <c r="E91" s="23"/>
      <c r="G91" s="23"/>
    </row>
    <row r="92">
      <c r="E92" s="23"/>
      <c r="G92" s="23"/>
    </row>
    <row r="93">
      <c r="E93" s="23"/>
      <c r="G93" s="23"/>
    </row>
    <row r="94">
      <c r="E94" s="23"/>
      <c r="G94" s="23"/>
    </row>
    <row r="95">
      <c r="E95" s="23"/>
      <c r="G95" s="23"/>
    </row>
    <row r="96">
      <c r="E96" s="23"/>
      <c r="G96" s="23"/>
    </row>
    <row r="97">
      <c r="E97" s="23"/>
      <c r="G97" s="23"/>
    </row>
    <row r="98">
      <c r="E98" s="23"/>
      <c r="G98" s="23"/>
    </row>
    <row r="99">
      <c r="E99" s="23"/>
      <c r="G99" s="23"/>
    </row>
    <row r="100">
      <c r="E100" s="23"/>
      <c r="G100" s="23"/>
    </row>
    <row r="101">
      <c r="E101" s="23"/>
      <c r="G101" s="23"/>
    </row>
    <row r="102">
      <c r="E102" s="23"/>
      <c r="G102" s="23"/>
    </row>
    <row r="103">
      <c r="E103" s="23"/>
      <c r="G103" s="23"/>
    </row>
    <row r="104">
      <c r="E104" s="23"/>
      <c r="G104" s="23"/>
    </row>
    <row r="105">
      <c r="E105" s="23"/>
      <c r="G105" s="23"/>
    </row>
    <row r="106">
      <c r="E106" s="23"/>
      <c r="G106" s="23"/>
    </row>
    <row r="107">
      <c r="E107" s="23"/>
      <c r="G107" s="23"/>
    </row>
    <row r="108">
      <c r="E108" s="23"/>
      <c r="G108" s="23"/>
    </row>
    <row r="109">
      <c r="E109" s="23"/>
      <c r="G109" s="23"/>
    </row>
    <row r="110">
      <c r="E110" s="23"/>
      <c r="G110" s="23"/>
    </row>
    <row r="111">
      <c r="E111" s="23"/>
      <c r="G111" s="23"/>
    </row>
    <row r="112">
      <c r="E112" s="23"/>
      <c r="G112" s="23"/>
    </row>
    <row r="113">
      <c r="E113" s="23"/>
      <c r="G113" s="23"/>
    </row>
    <row r="114">
      <c r="E114" s="23"/>
      <c r="G114" s="23"/>
    </row>
    <row r="115">
      <c r="E115" s="23"/>
      <c r="G115" s="23"/>
    </row>
    <row r="116">
      <c r="E116" s="23"/>
      <c r="G116" s="23"/>
    </row>
    <row r="117">
      <c r="E117" s="23"/>
      <c r="G117" s="23"/>
    </row>
    <row r="118">
      <c r="E118" s="23"/>
      <c r="G118" s="23"/>
    </row>
    <row r="119">
      <c r="E119" s="23"/>
      <c r="G119" s="23"/>
    </row>
    <row r="120">
      <c r="E120" s="23"/>
      <c r="G120" s="23"/>
    </row>
    <row r="121">
      <c r="E121" s="23"/>
      <c r="G121" s="23"/>
    </row>
    <row r="122">
      <c r="E122" s="23"/>
      <c r="G122" s="23"/>
    </row>
    <row r="123">
      <c r="E123" s="23"/>
      <c r="G123" s="23"/>
    </row>
    <row r="124">
      <c r="E124" s="23"/>
      <c r="G124" s="23"/>
    </row>
    <row r="125">
      <c r="E125" s="23"/>
      <c r="G125" s="23"/>
    </row>
    <row r="126">
      <c r="E126" s="23"/>
      <c r="G126" s="23"/>
    </row>
    <row r="127">
      <c r="E127" s="23"/>
      <c r="G127" s="23"/>
    </row>
    <row r="128">
      <c r="E128" s="23"/>
      <c r="G128" s="23"/>
    </row>
    <row r="129">
      <c r="E129" s="23"/>
      <c r="G129" s="23"/>
    </row>
    <row r="130">
      <c r="E130" s="23"/>
      <c r="G130" s="23"/>
    </row>
    <row r="131">
      <c r="E131" s="23"/>
      <c r="G131" s="23"/>
    </row>
    <row r="132">
      <c r="E132" s="23"/>
      <c r="G132" s="23"/>
    </row>
    <row r="133">
      <c r="E133" s="23"/>
      <c r="G133" s="23"/>
    </row>
    <row r="134">
      <c r="E134" s="23"/>
      <c r="G134" s="23"/>
    </row>
    <row r="135">
      <c r="E135" s="23"/>
      <c r="G135" s="23"/>
    </row>
    <row r="136">
      <c r="E136" s="23"/>
      <c r="G136" s="23"/>
    </row>
    <row r="137">
      <c r="E137" s="23"/>
      <c r="G137" s="23"/>
    </row>
    <row r="138">
      <c r="E138" s="23"/>
      <c r="G138" s="23"/>
    </row>
    <row r="139">
      <c r="E139" s="23"/>
      <c r="G139" s="23"/>
    </row>
    <row r="140">
      <c r="E140" s="23"/>
      <c r="G140" s="23"/>
    </row>
    <row r="141">
      <c r="E141" s="23"/>
      <c r="G141" s="23"/>
    </row>
    <row r="142">
      <c r="E142" s="23"/>
      <c r="G142" s="23"/>
    </row>
    <row r="143">
      <c r="E143" s="23"/>
      <c r="G143" s="23"/>
    </row>
    <row r="144">
      <c r="E144" s="23"/>
      <c r="G144" s="23"/>
    </row>
    <row r="145">
      <c r="E145" s="23"/>
      <c r="G145" s="23"/>
    </row>
    <row r="146">
      <c r="E146" s="23"/>
      <c r="G146" s="23"/>
    </row>
    <row r="147">
      <c r="E147" s="23"/>
      <c r="G147" s="23"/>
    </row>
    <row r="148">
      <c r="E148" s="23"/>
      <c r="G148" s="23"/>
    </row>
    <row r="149">
      <c r="E149" s="23"/>
      <c r="G149" s="23"/>
    </row>
    <row r="150">
      <c r="E150" s="23"/>
      <c r="G150" s="23"/>
    </row>
    <row r="151">
      <c r="E151" s="23"/>
      <c r="G151" s="23"/>
    </row>
    <row r="152">
      <c r="E152" s="23"/>
      <c r="G152" s="23"/>
    </row>
    <row r="153">
      <c r="E153" s="23"/>
      <c r="G153" s="23"/>
    </row>
    <row r="154">
      <c r="E154" s="23"/>
      <c r="G154" s="23"/>
    </row>
    <row r="155">
      <c r="E155" s="23"/>
      <c r="G155" s="23"/>
    </row>
    <row r="156">
      <c r="E156" s="23"/>
      <c r="G156" s="23"/>
    </row>
    <row r="157">
      <c r="E157" s="23"/>
      <c r="G157" s="23"/>
    </row>
    <row r="158">
      <c r="E158" s="23"/>
      <c r="G158" s="23"/>
    </row>
    <row r="159">
      <c r="E159" s="23"/>
      <c r="G159" s="23"/>
    </row>
    <row r="160">
      <c r="E160" s="23"/>
      <c r="G160" s="23"/>
    </row>
    <row r="161">
      <c r="E161" s="23"/>
      <c r="G161" s="23"/>
    </row>
    <row r="162">
      <c r="E162" s="23"/>
      <c r="G162" s="23"/>
    </row>
    <row r="163">
      <c r="E163" s="23"/>
      <c r="G163" s="23"/>
    </row>
    <row r="164">
      <c r="E164" s="23"/>
      <c r="G164" s="23"/>
    </row>
    <row r="165">
      <c r="E165" s="23"/>
      <c r="G165" s="23"/>
    </row>
    <row r="166">
      <c r="E166" s="23"/>
      <c r="G166" s="23"/>
    </row>
    <row r="167">
      <c r="E167" s="23"/>
      <c r="G167" s="23"/>
    </row>
    <row r="168">
      <c r="E168" s="23"/>
      <c r="G168" s="23"/>
    </row>
    <row r="169">
      <c r="E169" s="23"/>
      <c r="G169" s="23"/>
    </row>
    <row r="170">
      <c r="E170" s="23"/>
      <c r="G170" s="23"/>
    </row>
    <row r="171">
      <c r="E171" s="23"/>
      <c r="G171" s="23"/>
    </row>
    <row r="172">
      <c r="E172" s="23"/>
      <c r="G172" s="23"/>
    </row>
    <row r="173">
      <c r="E173" s="23"/>
      <c r="G173" s="23"/>
    </row>
    <row r="174">
      <c r="E174" s="23"/>
      <c r="G174" s="23"/>
    </row>
    <row r="175">
      <c r="E175" s="23"/>
      <c r="G175" s="23"/>
    </row>
    <row r="176">
      <c r="E176" s="23"/>
      <c r="G176" s="23"/>
    </row>
    <row r="177">
      <c r="E177" s="23"/>
      <c r="G177" s="23"/>
    </row>
    <row r="178">
      <c r="E178" s="23"/>
      <c r="G178" s="23"/>
    </row>
    <row r="179">
      <c r="E179" s="23"/>
      <c r="G179" s="23"/>
    </row>
    <row r="180">
      <c r="E180" s="23"/>
      <c r="G180" s="23"/>
    </row>
    <row r="181">
      <c r="E181" s="23"/>
      <c r="G181" s="23"/>
    </row>
    <row r="182">
      <c r="E182" s="23"/>
      <c r="G182" s="23"/>
    </row>
    <row r="183">
      <c r="E183" s="23"/>
      <c r="G183" s="23"/>
    </row>
    <row r="184">
      <c r="E184" s="23"/>
      <c r="G184" s="23"/>
    </row>
    <row r="185">
      <c r="E185" s="23"/>
      <c r="G185" s="23"/>
    </row>
    <row r="186">
      <c r="E186" s="23"/>
      <c r="G186" s="23"/>
    </row>
    <row r="187">
      <c r="E187" s="23"/>
      <c r="G187" s="23"/>
    </row>
    <row r="188">
      <c r="E188" s="23"/>
      <c r="G188" s="23"/>
    </row>
    <row r="189">
      <c r="E189" s="23"/>
      <c r="G189" s="23"/>
    </row>
    <row r="190">
      <c r="E190" s="23"/>
      <c r="G190" s="23"/>
    </row>
    <row r="191">
      <c r="E191" s="23"/>
      <c r="G191" s="23"/>
    </row>
    <row r="192">
      <c r="E192" s="23"/>
      <c r="G192" s="23"/>
    </row>
    <row r="193">
      <c r="E193" s="23"/>
      <c r="G193" s="23"/>
    </row>
    <row r="194">
      <c r="E194" s="23"/>
      <c r="G194" s="23"/>
    </row>
    <row r="195">
      <c r="E195" s="23"/>
      <c r="G195" s="23"/>
    </row>
    <row r="196">
      <c r="E196" s="23"/>
      <c r="G196" s="23"/>
    </row>
    <row r="197">
      <c r="E197" s="23"/>
      <c r="G197" s="23"/>
    </row>
    <row r="198">
      <c r="E198" s="23"/>
      <c r="G198" s="23"/>
    </row>
    <row r="199">
      <c r="E199" s="23"/>
      <c r="G199" s="23"/>
    </row>
    <row r="200">
      <c r="E200" s="23"/>
      <c r="G200" s="23"/>
    </row>
    <row r="201">
      <c r="E201" s="23"/>
      <c r="G201" s="23"/>
    </row>
    <row r="202">
      <c r="E202" s="23"/>
      <c r="G202" s="23"/>
    </row>
    <row r="203">
      <c r="E203" s="23"/>
      <c r="G203" s="23"/>
    </row>
    <row r="204">
      <c r="E204" s="23"/>
      <c r="G204" s="23"/>
    </row>
    <row r="205">
      <c r="E205" s="23"/>
      <c r="G205" s="23"/>
    </row>
    <row r="206">
      <c r="E206" s="23"/>
      <c r="G206" s="23"/>
    </row>
    <row r="207">
      <c r="E207" s="23"/>
      <c r="G207" s="23"/>
    </row>
    <row r="208">
      <c r="E208" s="23"/>
      <c r="G208" s="23"/>
    </row>
    <row r="209">
      <c r="E209" s="23"/>
      <c r="G209" s="23"/>
    </row>
    <row r="210">
      <c r="E210" s="23"/>
      <c r="G210" s="23"/>
    </row>
    <row r="211">
      <c r="E211" s="23"/>
      <c r="G211" s="23"/>
    </row>
    <row r="212">
      <c r="E212" s="23"/>
      <c r="G212" s="23"/>
    </row>
    <row r="213">
      <c r="E213" s="23"/>
      <c r="G213" s="23"/>
    </row>
    <row r="214">
      <c r="E214" s="23"/>
      <c r="G214" s="23"/>
    </row>
    <row r="215">
      <c r="E215" s="23"/>
      <c r="G215" s="23"/>
    </row>
    <row r="216">
      <c r="E216" s="23"/>
      <c r="G216" s="23"/>
    </row>
    <row r="217">
      <c r="E217" s="23"/>
      <c r="G217" s="23"/>
    </row>
    <row r="218">
      <c r="E218" s="23"/>
      <c r="G218" s="23"/>
    </row>
    <row r="219">
      <c r="E219" s="23"/>
      <c r="G219" s="23"/>
    </row>
    <row r="220">
      <c r="E220" s="23"/>
      <c r="G220" s="23"/>
    </row>
    <row r="221">
      <c r="E221" s="23"/>
      <c r="G221" s="23"/>
    </row>
    <row r="222">
      <c r="E222" s="23"/>
      <c r="G222" s="23"/>
    </row>
    <row r="223">
      <c r="E223" s="23"/>
      <c r="G223" s="23"/>
    </row>
    <row r="224">
      <c r="E224" s="23"/>
      <c r="G224" s="23"/>
    </row>
    <row r="225">
      <c r="E225" s="23"/>
      <c r="G225" s="23"/>
    </row>
    <row r="226">
      <c r="E226" s="23"/>
      <c r="G226" s="23"/>
    </row>
    <row r="227">
      <c r="E227" s="23"/>
      <c r="G227" s="23"/>
    </row>
    <row r="228">
      <c r="E228" s="23"/>
      <c r="G228" s="23"/>
    </row>
    <row r="229">
      <c r="E229" s="23"/>
      <c r="G229" s="23"/>
    </row>
    <row r="230">
      <c r="E230" s="23"/>
      <c r="G230" s="23"/>
    </row>
    <row r="231">
      <c r="E231" s="23"/>
      <c r="G231" s="23"/>
    </row>
    <row r="232">
      <c r="E232" s="23"/>
      <c r="G232" s="23"/>
    </row>
    <row r="233">
      <c r="E233" s="23"/>
      <c r="G233" s="23"/>
    </row>
    <row r="234">
      <c r="E234" s="23"/>
      <c r="G234" s="23"/>
    </row>
    <row r="235">
      <c r="E235" s="23"/>
      <c r="G235" s="23"/>
    </row>
    <row r="236">
      <c r="E236" s="23"/>
      <c r="G236" s="23"/>
    </row>
    <row r="237">
      <c r="E237" s="23"/>
      <c r="G237" s="23"/>
    </row>
    <row r="238">
      <c r="E238" s="23"/>
      <c r="G238" s="23"/>
    </row>
    <row r="239">
      <c r="E239" s="23"/>
      <c r="G239" s="23"/>
    </row>
    <row r="240">
      <c r="E240" s="23"/>
      <c r="G240" s="23"/>
    </row>
    <row r="241">
      <c r="E241" s="23"/>
      <c r="G241" s="23"/>
    </row>
    <row r="242">
      <c r="E242" s="23"/>
      <c r="G242" s="23"/>
    </row>
    <row r="243">
      <c r="E243" s="23"/>
      <c r="G243" s="23"/>
    </row>
    <row r="244">
      <c r="E244" s="23"/>
      <c r="G244" s="23"/>
    </row>
    <row r="245">
      <c r="E245" s="23"/>
      <c r="G245" s="23"/>
    </row>
    <row r="246">
      <c r="E246" s="23"/>
      <c r="G246" s="23"/>
    </row>
    <row r="247">
      <c r="E247" s="23"/>
      <c r="G247" s="23"/>
    </row>
    <row r="248">
      <c r="E248" s="23"/>
      <c r="G248" s="23"/>
    </row>
    <row r="249">
      <c r="E249" s="23"/>
      <c r="G249" s="23"/>
    </row>
    <row r="250">
      <c r="E250" s="23"/>
      <c r="G250" s="23"/>
    </row>
    <row r="251">
      <c r="E251" s="23"/>
      <c r="G251" s="23"/>
    </row>
    <row r="252">
      <c r="E252" s="23"/>
      <c r="G252" s="23"/>
    </row>
    <row r="253">
      <c r="E253" s="23"/>
      <c r="G253" s="23"/>
    </row>
    <row r="254">
      <c r="E254" s="23"/>
      <c r="G254" s="23"/>
    </row>
    <row r="255">
      <c r="E255" s="23"/>
      <c r="G255" s="23"/>
    </row>
    <row r="256">
      <c r="E256" s="23"/>
      <c r="G256" s="23"/>
    </row>
    <row r="257">
      <c r="E257" s="23"/>
      <c r="G257" s="23"/>
    </row>
    <row r="258">
      <c r="E258" s="23"/>
      <c r="G258" s="23"/>
    </row>
    <row r="259">
      <c r="E259" s="23"/>
      <c r="G259" s="23"/>
    </row>
    <row r="260">
      <c r="E260" s="23"/>
      <c r="G260" s="23"/>
    </row>
    <row r="261">
      <c r="E261" s="23"/>
      <c r="G261" s="23"/>
    </row>
    <row r="262">
      <c r="E262" s="23"/>
      <c r="G262" s="23"/>
    </row>
    <row r="263">
      <c r="E263" s="23"/>
      <c r="G263" s="23"/>
    </row>
    <row r="264">
      <c r="E264" s="23"/>
      <c r="G264" s="23"/>
    </row>
    <row r="265">
      <c r="E265" s="23"/>
      <c r="G265" s="23"/>
    </row>
    <row r="266">
      <c r="E266" s="23"/>
      <c r="G266" s="23"/>
    </row>
    <row r="267">
      <c r="E267" s="23"/>
      <c r="G267" s="23"/>
    </row>
    <row r="268">
      <c r="E268" s="23"/>
      <c r="G268" s="23"/>
    </row>
    <row r="269">
      <c r="E269" s="23"/>
      <c r="G269" s="23"/>
    </row>
    <row r="270">
      <c r="E270" s="23"/>
      <c r="G270" s="23"/>
    </row>
    <row r="271">
      <c r="E271" s="23"/>
      <c r="G271" s="23"/>
    </row>
    <row r="272">
      <c r="E272" s="23"/>
      <c r="G272" s="23"/>
    </row>
    <row r="273">
      <c r="E273" s="23"/>
      <c r="G273" s="23"/>
    </row>
    <row r="274">
      <c r="E274" s="23"/>
      <c r="G274" s="23"/>
    </row>
    <row r="275">
      <c r="E275" s="23"/>
      <c r="G275" s="23"/>
    </row>
    <row r="276">
      <c r="E276" s="23"/>
      <c r="G276" s="23"/>
    </row>
    <row r="277">
      <c r="E277" s="23"/>
      <c r="G277" s="23"/>
    </row>
    <row r="278">
      <c r="E278" s="23"/>
      <c r="G278" s="23"/>
    </row>
    <row r="279">
      <c r="E279" s="23"/>
      <c r="G279" s="23"/>
    </row>
    <row r="280">
      <c r="E280" s="23"/>
      <c r="G280" s="23"/>
    </row>
    <row r="281">
      <c r="E281" s="23"/>
      <c r="G281" s="23"/>
    </row>
    <row r="282">
      <c r="E282" s="23"/>
      <c r="G282" s="23"/>
    </row>
    <row r="283">
      <c r="E283" s="23"/>
      <c r="G283" s="23"/>
    </row>
    <row r="284">
      <c r="E284" s="23"/>
      <c r="G284" s="23"/>
    </row>
    <row r="285">
      <c r="E285" s="23"/>
      <c r="G285" s="23"/>
    </row>
    <row r="286">
      <c r="E286" s="23"/>
      <c r="G286" s="23"/>
    </row>
    <row r="287">
      <c r="E287" s="23"/>
      <c r="G287" s="23"/>
    </row>
    <row r="288">
      <c r="E288" s="23"/>
      <c r="G288" s="23"/>
    </row>
    <row r="289">
      <c r="E289" s="23"/>
      <c r="G289" s="23"/>
    </row>
    <row r="290">
      <c r="E290" s="23"/>
      <c r="G290" s="23"/>
    </row>
    <row r="291">
      <c r="E291" s="23"/>
      <c r="G291" s="23"/>
    </row>
    <row r="292">
      <c r="E292" s="23"/>
      <c r="G292" s="23"/>
    </row>
    <row r="293">
      <c r="E293" s="23"/>
      <c r="G293" s="23"/>
    </row>
    <row r="294">
      <c r="E294" s="23"/>
      <c r="G294" s="23"/>
    </row>
    <row r="295">
      <c r="E295" s="23"/>
      <c r="G295" s="23"/>
    </row>
    <row r="296">
      <c r="E296" s="23"/>
      <c r="G296" s="23"/>
    </row>
    <row r="297">
      <c r="E297" s="23"/>
      <c r="G297" s="23"/>
    </row>
    <row r="298">
      <c r="E298" s="23"/>
      <c r="G298" s="23"/>
    </row>
    <row r="299">
      <c r="E299" s="23"/>
      <c r="G299" s="23"/>
    </row>
    <row r="300">
      <c r="E300" s="23"/>
      <c r="G300" s="23"/>
    </row>
    <row r="301">
      <c r="E301" s="23"/>
      <c r="G301" s="23"/>
    </row>
    <row r="302">
      <c r="E302" s="23"/>
      <c r="G302" s="23"/>
    </row>
    <row r="303">
      <c r="E303" s="23"/>
      <c r="G303" s="23"/>
    </row>
    <row r="304">
      <c r="E304" s="23"/>
      <c r="G304" s="23"/>
    </row>
    <row r="305">
      <c r="E305" s="23"/>
      <c r="G305" s="23"/>
    </row>
    <row r="306">
      <c r="E306" s="23"/>
      <c r="G306" s="23"/>
    </row>
    <row r="307">
      <c r="E307" s="23"/>
      <c r="G307" s="23"/>
    </row>
    <row r="308">
      <c r="E308" s="23"/>
      <c r="G308" s="23"/>
    </row>
    <row r="309">
      <c r="E309" s="23"/>
      <c r="G309" s="23"/>
    </row>
    <row r="310">
      <c r="E310" s="23"/>
      <c r="G310" s="23"/>
    </row>
    <row r="311">
      <c r="E311" s="23"/>
      <c r="G311" s="23"/>
    </row>
    <row r="312">
      <c r="E312" s="23"/>
      <c r="G312" s="23"/>
    </row>
    <row r="313">
      <c r="E313" s="23"/>
      <c r="G313" s="23"/>
    </row>
    <row r="314">
      <c r="E314" s="23"/>
      <c r="G314" s="23"/>
    </row>
    <row r="315">
      <c r="E315" s="23"/>
      <c r="G315" s="23"/>
    </row>
    <row r="316">
      <c r="E316" s="23"/>
      <c r="G316" s="23"/>
    </row>
    <row r="317">
      <c r="E317" s="23"/>
      <c r="G317" s="23"/>
    </row>
    <row r="318">
      <c r="E318" s="23"/>
      <c r="G318" s="23"/>
    </row>
    <row r="319">
      <c r="E319" s="23"/>
      <c r="G319" s="23"/>
    </row>
    <row r="320">
      <c r="E320" s="23"/>
      <c r="G320" s="23"/>
    </row>
    <row r="321">
      <c r="E321" s="23"/>
      <c r="G321" s="23"/>
    </row>
    <row r="322">
      <c r="E322" s="23"/>
      <c r="G322" s="23"/>
    </row>
    <row r="323">
      <c r="E323" s="23"/>
      <c r="G323" s="23"/>
    </row>
    <row r="324">
      <c r="E324" s="23"/>
      <c r="G324" s="23"/>
    </row>
    <row r="325">
      <c r="E325" s="23"/>
      <c r="G325" s="23"/>
    </row>
    <row r="326">
      <c r="E326" s="23"/>
      <c r="G326" s="23"/>
    </row>
    <row r="327">
      <c r="E327" s="23"/>
      <c r="G327" s="23"/>
    </row>
    <row r="328">
      <c r="E328" s="23"/>
      <c r="G328" s="23"/>
    </row>
    <row r="329">
      <c r="E329" s="23"/>
      <c r="G329" s="23"/>
    </row>
    <row r="330">
      <c r="E330" s="23"/>
      <c r="G330" s="23"/>
    </row>
    <row r="331">
      <c r="E331" s="23"/>
      <c r="G331" s="23"/>
    </row>
    <row r="332">
      <c r="E332" s="23"/>
      <c r="G332" s="23"/>
    </row>
    <row r="333">
      <c r="E333" s="23"/>
      <c r="G333" s="23"/>
    </row>
    <row r="334">
      <c r="E334" s="23"/>
      <c r="G334" s="23"/>
    </row>
    <row r="335">
      <c r="E335" s="23"/>
      <c r="G335" s="23"/>
    </row>
    <row r="336">
      <c r="E336" s="23"/>
      <c r="G336" s="23"/>
    </row>
    <row r="337">
      <c r="E337" s="23"/>
      <c r="G337" s="23"/>
    </row>
    <row r="338">
      <c r="E338" s="23"/>
      <c r="G338" s="23"/>
    </row>
    <row r="339">
      <c r="E339" s="23"/>
      <c r="G339" s="23"/>
    </row>
    <row r="340">
      <c r="E340" s="23"/>
      <c r="G340" s="23"/>
    </row>
    <row r="341">
      <c r="E341" s="23"/>
      <c r="G341" s="23"/>
    </row>
    <row r="342">
      <c r="E342" s="23"/>
      <c r="G342" s="23"/>
    </row>
    <row r="343">
      <c r="E343" s="23"/>
      <c r="G343" s="23"/>
    </row>
    <row r="344">
      <c r="E344" s="23"/>
      <c r="G344" s="23"/>
    </row>
    <row r="345">
      <c r="E345" s="23"/>
      <c r="G345" s="23"/>
    </row>
    <row r="346">
      <c r="E346" s="23"/>
      <c r="G346" s="23"/>
    </row>
    <row r="347">
      <c r="E347" s="23"/>
      <c r="G347" s="23"/>
    </row>
    <row r="348">
      <c r="E348" s="23"/>
      <c r="G348" s="23"/>
    </row>
    <row r="349">
      <c r="E349" s="23"/>
      <c r="G349" s="23"/>
    </row>
    <row r="350">
      <c r="E350" s="23"/>
      <c r="G350" s="23"/>
    </row>
    <row r="351">
      <c r="E351" s="23"/>
      <c r="G351" s="23"/>
    </row>
    <row r="352">
      <c r="E352" s="23"/>
      <c r="G352" s="23"/>
    </row>
    <row r="353">
      <c r="E353" s="23"/>
      <c r="G353" s="23"/>
    </row>
    <row r="354">
      <c r="E354" s="23"/>
      <c r="G354" s="23"/>
    </row>
    <row r="355">
      <c r="E355" s="23"/>
      <c r="G355" s="23"/>
    </row>
    <row r="356">
      <c r="E356" s="23"/>
      <c r="G356" s="23"/>
    </row>
    <row r="357">
      <c r="E357" s="23"/>
      <c r="G357" s="23"/>
    </row>
    <row r="358">
      <c r="E358" s="23"/>
      <c r="G358" s="23"/>
    </row>
    <row r="359">
      <c r="E359" s="23"/>
      <c r="G359" s="23"/>
    </row>
    <row r="360">
      <c r="E360" s="23"/>
      <c r="G360" s="23"/>
    </row>
    <row r="361">
      <c r="E361" s="23"/>
      <c r="G361" s="23"/>
    </row>
    <row r="362">
      <c r="E362" s="23"/>
      <c r="G362" s="23"/>
    </row>
    <row r="363">
      <c r="E363" s="23"/>
      <c r="G363" s="23"/>
    </row>
    <row r="364">
      <c r="E364" s="23"/>
      <c r="G364" s="23"/>
    </row>
    <row r="365">
      <c r="E365" s="23"/>
      <c r="G365" s="23"/>
    </row>
    <row r="366">
      <c r="E366" s="23"/>
      <c r="G366" s="23"/>
    </row>
    <row r="367">
      <c r="E367" s="23"/>
      <c r="G367" s="23"/>
    </row>
    <row r="368">
      <c r="E368" s="23"/>
      <c r="G368" s="23"/>
    </row>
    <row r="369">
      <c r="E369" s="23"/>
      <c r="G369" s="23"/>
    </row>
    <row r="370">
      <c r="E370" s="23"/>
      <c r="G370" s="23"/>
    </row>
    <row r="371">
      <c r="E371" s="23"/>
      <c r="G371" s="23"/>
    </row>
    <row r="372">
      <c r="E372" s="23"/>
      <c r="G372" s="23"/>
    </row>
    <row r="373">
      <c r="E373" s="23"/>
      <c r="G373" s="23"/>
    </row>
    <row r="374">
      <c r="E374" s="23"/>
      <c r="G374" s="23"/>
    </row>
    <row r="375">
      <c r="E375" s="23"/>
      <c r="G375" s="23"/>
    </row>
    <row r="376">
      <c r="E376" s="23"/>
      <c r="G376" s="23"/>
    </row>
    <row r="377">
      <c r="E377" s="23"/>
      <c r="G377" s="23"/>
    </row>
    <row r="378">
      <c r="E378" s="23"/>
      <c r="G378" s="23"/>
    </row>
    <row r="379">
      <c r="E379" s="23"/>
      <c r="G379" s="23"/>
    </row>
    <row r="380">
      <c r="E380" s="23"/>
      <c r="G380" s="23"/>
    </row>
    <row r="381">
      <c r="E381" s="23"/>
      <c r="G381" s="23"/>
    </row>
    <row r="382">
      <c r="E382" s="23"/>
      <c r="G382" s="23"/>
    </row>
    <row r="383">
      <c r="E383" s="23"/>
      <c r="G383" s="23"/>
    </row>
    <row r="384">
      <c r="E384" s="23"/>
      <c r="G384" s="23"/>
    </row>
    <row r="385">
      <c r="E385" s="23"/>
      <c r="G385" s="23"/>
    </row>
    <row r="386">
      <c r="E386" s="23"/>
      <c r="G386" s="23"/>
    </row>
    <row r="387">
      <c r="E387" s="23"/>
      <c r="G387" s="23"/>
    </row>
    <row r="388">
      <c r="E388" s="23"/>
      <c r="G388" s="23"/>
    </row>
    <row r="389">
      <c r="E389" s="23"/>
      <c r="G389" s="23"/>
    </row>
    <row r="390">
      <c r="E390" s="23"/>
      <c r="G390" s="23"/>
    </row>
    <row r="391">
      <c r="E391" s="23"/>
      <c r="G391" s="23"/>
    </row>
    <row r="392">
      <c r="E392" s="23"/>
      <c r="G392" s="23"/>
    </row>
    <row r="393">
      <c r="E393" s="23"/>
      <c r="G393" s="23"/>
    </row>
    <row r="394">
      <c r="E394" s="23"/>
      <c r="G394" s="23"/>
    </row>
    <row r="395">
      <c r="E395" s="23"/>
      <c r="G395" s="23"/>
    </row>
    <row r="396">
      <c r="E396" s="23"/>
      <c r="G396" s="23"/>
    </row>
    <row r="397">
      <c r="E397" s="23"/>
      <c r="G397" s="23"/>
    </row>
    <row r="398">
      <c r="E398" s="23"/>
      <c r="G398" s="23"/>
    </row>
    <row r="399">
      <c r="E399" s="23"/>
      <c r="G399" s="23"/>
    </row>
    <row r="400">
      <c r="E400" s="23"/>
      <c r="G400" s="23"/>
    </row>
    <row r="401">
      <c r="E401" s="23"/>
      <c r="G401" s="23"/>
    </row>
    <row r="402">
      <c r="E402" s="23"/>
      <c r="G402" s="23"/>
    </row>
    <row r="403">
      <c r="E403" s="23"/>
      <c r="G403" s="23"/>
    </row>
    <row r="404">
      <c r="E404" s="23"/>
      <c r="G404" s="23"/>
    </row>
    <row r="405">
      <c r="E405" s="23"/>
      <c r="G405" s="23"/>
    </row>
    <row r="406">
      <c r="E406" s="23"/>
      <c r="G406" s="23"/>
    </row>
    <row r="407">
      <c r="E407" s="23"/>
      <c r="G407" s="23"/>
    </row>
    <row r="408">
      <c r="E408" s="23"/>
      <c r="G408" s="23"/>
    </row>
    <row r="409">
      <c r="E409" s="23"/>
      <c r="G409" s="23"/>
    </row>
    <row r="410">
      <c r="E410" s="23"/>
      <c r="G410" s="23"/>
    </row>
    <row r="411">
      <c r="E411" s="23"/>
      <c r="G411" s="23"/>
    </row>
    <row r="412">
      <c r="E412" s="23"/>
      <c r="G412" s="23"/>
    </row>
    <row r="413">
      <c r="E413" s="23"/>
      <c r="G413" s="23"/>
    </row>
    <row r="414">
      <c r="E414" s="23"/>
      <c r="G414" s="23"/>
    </row>
    <row r="415">
      <c r="E415" s="23"/>
      <c r="G415" s="23"/>
    </row>
    <row r="416">
      <c r="E416" s="23"/>
      <c r="G416" s="23"/>
    </row>
    <row r="417">
      <c r="E417" s="23"/>
      <c r="G417" s="23"/>
    </row>
    <row r="418">
      <c r="E418" s="23"/>
      <c r="G418" s="23"/>
    </row>
    <row r="419">
      <c r="E419" s="23"/>
      <c r="G419" s="23"/>
    </row>
    <row r="420">
      <c r="E420" s="23"/>
      <c r="G420" s="23"/>
    </row>
    <row r="421">
      <c r="E421" s="23"/>
      <c r="G421" s="23"/>
    </row>
    <row r="422">
      <c r="E422" s="23"/>
      <c r="G422" s="23"/>
    </row>
    <row r="423">
      <c r="E423" s="23"/>
      <c r="G423" s="23"/>
    </row>
    <row r="424">
      <c r="E424" s="23"/>
      <c r="G424" s="23"/>
    </row>
    <row r="425">
      <c r="E425" s="23"/>
      <c r="G425" s="23"/>
    </row>
    <row r="426">
      <c r="E426" s="23"/>
      <c r="G426" s="23"/>
    </row>
    <row r="427">
      <c r="E427" s="23"/>
      <c r="G427" s="23"/>
    </row>
    <row r="428">
      <c r="E428" s="23"/>
      <c r="G428" s="23"/>
    </row>
    <row r="429">
      <c r="E429" s="23"/>
      <c r="G429" s="23"/>
    </row>
    <row r="430">
      <c r="E430" s="23"/>
      <c r="G430" s="23"/>
    </row>
    <row r="431">
      <c r="E431" s="23"/>
      <c r="G431" s="23"/>
    </row>
    <row r="432">
      <c r="E432" s="23"/>
      <c r="G432" s="23"/>
    </row>
    <row r="433">
      <c r="E433" s="23"/>
      <c r="G433" s="23"/>
    </row>
    <row r="434">
      <c r="E434" s="23"/>
      <c r="G434" s="23"/>
    </row>
    <row r="435">
      <c r="E435" s="23"/>
      <c r="G435" s="23"/>
    </row>
    <row r="436">
      <c r="E436" s="23"/>
      <c r="G436" s="23"/>
    </row>
    <row r="437">
      <c r="E437" s="23"/>
      <c r="G437" s="23"/>
    </row>
    <row r="438">
      <c r="E438" s="23"/>
      <c r="G438" s="23"/>
    </row>
    <row r="439">
      <c r="E439" s="23"/>
      <c r="G439" s="23"/>
    </row>
    <row r="440">
      <c r="E440" s="23"/>
      <c r="G440" s="23"/>
    </row>
    <row r="441">
      <c r="E441" s="23"/>
      <c r="G441" s="23"/>
    </row>
    <row r="442">
      <c r="E442" s="23"/>
      <c r="G442" s="23"/>
    </row>
    <row r="443">
      <c r="E443" s="23"/>
      <c r="G443" s="23"/>
    </row>
    <row r="444">
      <c r="E444" s="23"/>
      <c r="G444" s="23"/>
    </row>
    <row r="445">
      <c r="E445" s="23"/>
      <c r="G445" s="23"/>
    </row>
    <row r="446">
      <c r="E446" s="23"/>
      <c r="G446" s="23"/>
    </row>
    <row r="447">
      <c r="E447" s="23"/>
      <c r="G447" s="23"/>
    </row>
    <row r="448">
      <c r="E448" s="23"/>
      <c r="G448" s="23"/>
    </row>
    <row r="449">
      <c r="E449" s="23"/>
      <c r="G449" s="23"/>
    </row>
    <row r="450">
      <c r="E450" s="23"/>
      <c r="G450" s="23"/>
    </row>
    <row r="451">
      <c r="E451" s="23"/>
      <c r="G451" s="23"/>
    </row>
    <row r="452">
      <c r="E452" s="23"/>
      <c r="G452" s="23"/>
    </row>
    <row r="453">
      <c r="E453" s="23"/>
      <c r="G453" s="23"/>
    </row>
    <row r="454">
      <c r="E454" s="23"/>
      <c r="G454" s="23"/>
    </row>
    <row r="455">
      <c r="E455" s="23"/>
      <c r="G455" s="23"/>
    </row>
    <row r="456">
      <c r="E456" s="23"/>
      <c r="G456" s="23"/>
    </row>
    <row r="457">
      <c r="E457" s="23"/>
      <c r="G457" s="23"/>
    </row>
    <row r="458">
      <c r="E458" s="23"/>
      <c r="G458" s="23"/>
    </row>
    <row r="459">
      <c r="E459" s="23"/>
      <c r="G459" s="23"/>
    </row>
    <row r="460">
      <c r="E460" s="23"/>
      <c r="G460" s="23"/>
    </row>
    <row r="461">
      <c r="E461" s="23"/>
      <c r="G461" s="23"/>
    </row>
    <row r="462">
      <c r="E462" s="23"/>
      <c r="G462" s="23"/>
    </row>
    <row r="463">
      <c r="E463" s="23"/>
      <c r="G463" s="23"/>
    </row>
    <row r="464">
      <c r="E464" s="23"/>
      <c r="G464" s="23"/>
    </row>
    <row r="465">
      <c r="E465" s="23"/>
      <c r="G465" s="23"/>
    </row>
    <row r="466">
      <c r="E466" s="23"/>
      <c r="G466" s="23"/>
    </row>
    <row r="467">
      <c r="E467" s="23"/>
      <c r="G467" s="23"/>
    </row>
    <row r="468">
      <c r="E468" s="23"/>
      <c r="G468" s="23"/>
    </row>
    <row r="469">
      <c r="E469" s="23"/>
      <c r="G469" s="23"/>
    </row>
    <row r="470">
      <c r="E470" s="23"/>
      <c r="G470" s="23"/>
    </row>
    <row r="471">
      <c r="E471" s="23"/>
      <c r="G471" s="23"/>
    </row>
    <row r="472">
      <c r="E472" s="23"/>
      <c r="G472" s="23"/>
    </row>
    <row r="473">
      <c r="E473" s="23"/>
      <c r="G473" s="23"/>
    </row>
    <row r="474">
      <c r="E474" s="23"/>
      <c r="G474" s="23"/>
    </row>
    <row r="475">
      <c r="E475" s="23"/>
      <c r="G475" s="23"/>
    </row>
    <row r="476">
      <c r="E476" s="23"/>
      <c r="G476" s="23"/>
    </row>
    <row r="477">
      <c r="E477" s="23"/>
      <c r="G477" s="23"/>
    </row>
    <row r="478">
      <c r="E478" s="23"/>
      <c r="G478" s="23"/>
    </row>
    <row r="479">
      <c r="E479" s="23"/>
      <c r="G479" s="23"/>
    </row>
    <row r="480">
      <c r="E480" s="23"/>
      <c r="G480" s="23"/>
    </row>
    <row r="481">
      <c r="E481" s="23"/>
      <c r="G481" s="23"/>
    </row>
    <row r="482">
      <c r="E482" s="23"/>
      <c r="G482" s="23"/>
    </row>
    <row r="483">
      <c r="E483" s="23"/>
      <c r="G483" s="23"/>
    </row>
    <row r="484">
      <c r="E484" s="23"/>
      <c r="G484" s="23"/>
    </row>
    <row r="485">
      <c r="E485" s="23"/>
      <c r="G485" s="23"/>
    </row>
    <row r="486">
      <c r="E486" s="23"/>
      <c r="G486" s="23"/>
    </row>
    <row r="487">
      <c r="E487" s="23"/>
      <c r="G487" s="23"/>
    </row>
    <row r="488">
      <c r="E488" s="23"/>
      <c r="G488" s="23"/>
    </row>
    <row r="489">
      <c r="E489" s="23"/>
      <c r="G489" s="23"/>
    </row>
    <row r="490">
      <c r="E490" s="23"/>
      <c r="G490" s="23"/>
    </row>
    <row r="491">
      <c r="E491" s="23"/>
      <c r="G491" s="23"/>
    </row>
    <row r="492">
      <c r="E492" s="23"/>
      <c r="G492" s="23"/>
    </row>
    <row r="493">
      <c r="E493" s="23"/>
      <c r="G493" s="23"/>
    </row>
    <row r="494">
      <c r="E494" s="23"/>
      <c r="G494" s="23"/>
    </row>
    <row r="495">
      <c r="E495" s="23"/>
      <c r="G495" s="23"/>
    </row>
    <row r="496">
      <c r="E496" s="23"/>
      <c r="G496" s="23"/>
    </row>
    <row r="497">
      <c r="E497" s="23"/>
      <c r="G497" s="23"/>
    </row>
    <row r="498">
      <c r="E498" s="23"/>
      <c r="G498" s="23"/>
    </row>
    <row r="499">
      <c r="E499" s="23"/>
      <c r="G499" s="23"/>
    </row>
    <row r="500">
      <c r="E500" s="23"/>
      <c r="G500" s="23"/>
    </row>
    <row r="501">
      <c r="E501" s="23"/>
      <c r="G501" s="23"/>
    </row>
    <row r="502">
      <c r="E502" s="23"/>
      <c r="G502" s="23"/>
    </row>
    <row r="503">
      <c r="E503" s="23"/>
      <c r="G503" s="23"/>
    </row>
    <row r="504">
      <c r="E504" s="23"/>
      <c r="G504" s="23"/>
    </row>
    <row r="505">
      <c r="E505" s="23"/>
      <c r="G505" s="23"/>
    </row>
    <row r="506">
      <c r="E506" s="23"/>
      <c r="G506" s="23"/>
    </row>
    <row r="507">
      <c r="E507" s="23"/>
      <c r="G507" s="23"/>
    </row>
    <row r="508">
      <c r="E508" s="23"/>
      <c r="G508" s="23"/>
    </row>
    <row r="509">
      <c r="E509" s="23"/>
      <c r="G509" s="23"/>
    </row>
    <row r="510">
      <c r="E510" s="23"/>
      <c r="G510" s="23"/>
    </row>
    <row r="511">
      <c r="E511" s="23"/>
      <c r="G511" s="23"/>
    </row>
    <row r="512">
      <c r="E512" s="23"/>
      <c r="G512" s="23"/>
    </row>
    <row r="513">
      <c r="E513" s="23"/>
      <c r="G513" s="23"/>
    </row>
    <row r="514">
      <c r="E514" s="23"/>
      <c r="G514" s="23"/>
    </row>
    <row r="515">
      <c r="E515" s="23"/>
      <c r="G515" s="23"/>
    </row>
    <row r="516">
      <c r="E516" s="23"/>
      <c r="G516" s="23"/>
    </row>
    <row r="517">
      <c r="E517" s="23"/>
      <c r="G517" s="23"/>
    </row>
    <row r="518">
      <c r="E518" s="23"/>
      <c r="G518" s="23"/>
    </row>
    <row r="519">
      <c r="E519" s="23"/>
      <c r="G519" s="23"/>
    </row>
    <row r="520">
      <c r="E520" s="23"/>
      <c r="G520" s="23"/>
    </row>
    <row r="521">
      <c r="E521" s="23"/>
      <c r="G521" s="23"/>
    </row>
    <row r="522">
      <c r="E522" s="23"/>
      <c r="G522" s="23"/>
    </row>
    <row r="523">
      <c r="E523" s="23"/>
      <c r="G523" s="23"/>
    </row>
    <row r="524">
      <c r="E524" s="23"/>
      <c r="G524" s="23"/>
    </row>
    <row r="525">
      <c r="E525" s="23"/>
      <c r="G525" s="23"/>
    </row>
    <row r="526">
      <c r="E526" s="23"/>
      <c r="G526" s="23"/>
    </row>
    <row r="527">
      <c r="E527" s="23"/>
      <c r="G527" s="23"/>
    </row>
    <row r="528">
      <c r="E528" s="23"/>
      <c r="G528" s="23"/>
    </row>
    <row r="529">
      <c r="E529" s="23"/>
      <c r="G529" s="23"/>
    </row>
    <row r="530">
      <c r="E530" s="23"/>
      <c r="G530" s="23"/>
    </row>
    <row r="531">
      <c r="E531" s="23"/>
      <c r="G531" s="23"/>
    </row>
    <row r="532">
      <c r="E532" s="23"/>
      <c r="G532" s="23"/>
    </row>
    <row r="533">
      <c r="E533" s="23"/>
      <c r="G533" s="23"/>
    </row>
    <row r="534">
      <c r="E534" s="23"/>
      <c r="G534" s="23"/>
    </row>
    <row r="535">
      <c r="E535" s="23"/>
      <c r="G535" s="23"/>
    </row>
    <row r="536">
      <c r="E536" s="23"/>
      <c r="G536" s="23"/>
    </row>
    <row r="537">
      <c r="E537" s="23"/>
      <c r="G537" s="23"/>
    </row>
    <row r="538">
      <c r="E538" s="23"/>
      <c r="G538" s="23"/>
    </row>
    <row r="539">
      <c r="E539" s="23"/>
      <c r="G539" s="23"/>
    </row>
    <row r="540">
      <c r="E540" s="23"/>
      <c r="G540" s="23"/>
    </row>
    <row r="541">
      <c r="E541" s="23"/>
      <c r="G541" s="23"/>
    </row>
    <row r="542">
      <c r="E542" s="23"/>
      <c r="G542" s="23"/>
    </row>
    <row r="543">
      <c r="E543" s="23"/>
      <c r="G543" s="23"/>
    </row>
    <row r="544">
      <c r="E544" s="23"/>
      <c r="G544" s="23"/>
    </row>
    <row r="545">
      <c r="E545" s="23"/>
      <c r="G545" s="23"/>
    </row>
    <row r="546">
      <c r="E546" s="23"/>
      <c r="G546" s="23"/>
    </row>
    <row r="547">
      <c r="E547" s="23"/>
      <c r="G547" s="23"/>
    </row>
    <row r="548">
      <c r="E548" s="23"/>
      <c r="G548" s="23"/>
    </row>
    <row r="549">
      <c r="E549" s="23"/>
      <c r="G549" s="23"/>
    </row>
    <row r="550">
      <c r="E550" s="23"/>
      <c r="G550" s="23"/>
    </row>
    <row r="551">
      <c r="E551" s="23"/>
      <c r="G551" s="23"/>
    </row>
    <row r="552">
      <c r="E552" s="23"/>
      <c r="G552" s="23"/>
    </row>
    <row r="553">
      <c r="E553" s="23"/>
      <c r="G553" s="23"/>
    </row>
    <row r="554">
      <c r="E554" s="23"/>
      <c r="G554" s="23"/>
    </row>
    <row r="555">
      <c r="E555" s="23"/>
      <c r="G555" s="23"/>
    </row>
    <row r="556">
      <c r="E556" s="23"/>
      <c r="G556" s="23"/>
    </row>
    <row r="557">
      <c r="E557" s="23"/>
      <c r="G557" s="23"/>
    </row>
    <row r="558">
      <c r="E558" s="23"/>
      <c r="G558" s="23"/>
    </row>
    <row r="559">
      <c r="E559" s="23"/>
      <c r="G559" s="23"/>
    </row>
    <row r="560">
      <c r="E560" s="23"/>
      <c r="G560" s="23"/>
    </row>
    <row r="561">
      <c r="E561" s="23"/>
      <c r="G561" s="23"/>
    </row>
    <row r="562">
      <c r="E562" s="23"/>
      <c r="G562" s="23"/>
    </row>
    <row r="563">
      <c r="E563" s="23"/>
      <c r="G563" s="23"/>
    </row>
    <row r="564">
      <c r="E564" s="23"/>
      <c r="G564" s="23"/>
    </row>
    <row r="565">
      <c r="E565" s="23"/>
      <c r="G565" s="23"/>
    </row>
    <row r="566">
      <c r="E566" s="23"/>
      <c r="G566" s="23"/>
    </row>
    <row r="567">
      <c r="E567" s="23"/>
      <c r="G567" s="23"/>
    </row>
    <row r="568">
      <c r="E568" s="23"/>
      <c r="G568" s="23"/>
    </row>
    <row r="569">
      <c r="E569" s="23"/>
      <c r="G569" s="23"/>
    </row>
    <row r="570">
      <c r="E570" s="23"/>
      <c r="G570" s="23"/>
    </row>
    <row r="571">
      <c r="E571" s="23"/>
      <c r="G571" s="23"/>
    </row>
    <row r="572">
      <c r="E572" s="23"/>
      <c r="G572" s="23"/>
    </row>
    <row r="573">
      <c r="E573" s="23"/>
      <c r="G573" s="23"/>
    </row>
    <row r="574">
      <c r="E574" s="23"/>
      <c r="G574" s="23"/>
    </row>
    <row r="575">
      <c r="E575" s="23"/>
      <c r="G575" s="23"/>
    </row>
    <row r="576">
      <c r="E576" s="23"/>
      <c r="G576" s="23"/>
    </row>
    <row r="577">
      <c r="E577" s="23"/>
      <c r="G577" s="23"/>
    </row>
    <row r="578">
      <c r="E578" s="23"/>
      <c r="G578" s="23"/>
    </row>
    <row r="579">
      <c r="E579" s="23"/>
      <c r="G579" s="23"/>
    </row>
    <row r="580">
      <c r="E580" s="23"/>
      <c r="G580" s="23"/>
    </row>
    <row r="581">
      <c r="E581" s="23"/>
      <c r="G581" s="23"/>
    </row>
    <row r="582">
      <c r="E582" s="23"/>
      <c r="G582" s="23"/>
    </row>
    <row r="583">
      <c r="E583" s="23"/>
      <c r="G583" s="23"/>
    </row>
    <row r="584">
      <c r="E584" s="23"/>
      <c r="G584" s="23"/>
    </row>
    <row r="585">
      <c r="E585" s="23"/>
      <c r="G585" s="23"/>
    </row>
    <row r="586">
      <c r="E586" s="23"/>
      <c r="G586" s="23"/>
    </row>
    <row r="587">
      <c r="E587" s="23"/>
      <c r="G587" s="23"/>
    </row>
    <row r="588">
      <c r="E588" s="23"/>
      <c r="G588" s="23"/>
    </row>
    <row r="589">
      <c r="E589" s="23"/>
      <c r="G589" s="23"/>
    </row>
    <row r="590">
      <c r="E590" s="23"/>
      <c r="G590" s="23"/>
    </row>
    <row r="591">
      <c r="E591" s="23"/>
      <c r="G591" s="23"/>
    </row>
    <row r="592">
      <c r="E592" s="23"/>
      <c r="G592" s="23"/>
    </row>
    <row r="593">
      <c r="E593" s="23"/>
      <c r="G593" s="23"/>
    </row>
    <row r="594">
      <c r="E594" s="23"/>
      <c r="G594" s="23"/>
    </row>
    <row r="595">
      <c r="E595" s="23"/>
      <c r="G595" s="23"/>
    </row>
    <row r="596">
      <c r="E596" s="23"/>
      <c r="G596" s="23"/>
    </row>
    <row r="597">
      <c r="E597" s="23"/>
      <c r="G597" s="23"/>
    </row>
    <row r="598">
      <c r="E598" s="23"/>
      <c r="G598" s="23"/>
    </row>
    <row r="599">
      <c r="E599" s="23"/>
      <c r="G599" s="23"/>
    </row>
    <row r="600">
      <c r="E600" s="23"/>
      <c r="G600" s="23"/>
    </row>
    <row r="601">
      <c r="E601" s="23"/>
      <c r="G601" s="23"/>
    </row>
    <row r="602">
      <c r="E602" s="23"/>
      <c r="G602" s="23"/>
    </row>
    <row r="603">
      <c r="E603" s="23"/>
      <c r="G603" s="23"/>
    </row>
    <row r="604">
      <c r="E604" s="23"/>
      <c r="G604" s="23"/>
    </row>
    <row r="605">
      <c r="E605" s="23"/>
      <c r="G605" s="23"/>
    </row>
    <row r="606">
      <c r="E606" s="23"/>
      <c r="G606" s="23"/>
    </row>
    <row r="607">
      <c r="E607" s="23"/>
      <c r="G607" s="23"/>
    </row>
    <row r="608">
      <c r="E608" s="23"/>
      <c r="G608" s="23"/>
    </row>
    <row r="609">
      <c r="E609" s="23"/>
      <c r="G609" s="23"/>
    </row>
    <row r="610">
      <c r="E610" s="23"/>
      <c r="G610" s="23"/>
    </row>
    <row r="611">
      <c r="E611" s="23"/>
      <c r="G611" s="23"/>
    </row>
    <row r="612">
      <c r="E612" s="23"/>
      <c r="G612" s="23"/>
    </row>
    <row r="613">
      <c r="E613" s="23"/>
      <c r="G613" s="23"/>
    </row>
    <row r="614">
      <c r="E614" s="23"/>
      <c r="G614" s="23"/>
    </row>
    <row r="615">
      <c r="E615" s="23"/>
      <c r="G615" s="23"/>
    </row>
    <row r="616">
      <c r="E616" s="23"/>
      <c r="G616" s="23"/>
    </row>
    <row r="617">
      <c r="E617" s="23"/>
      <c r="G617" s="23"/>
    </row>
    <row r="618">
      <c r="E618" s="23"/>
      <c r="G618" s="23"/>
    </row>
    <row r="619">
      <c r="E619" s="23"/>
      <c r="G619" s="23"/>
    </row>
    <row r="620">
      <c r="E620" s="23"/>
      <c r="G620" s="23"/>
    </row>
    <row r="621">
      <c r="E621" s="23"/>
      <c r="G621" s="23"/>
    </row>
    <row r="622">
      <c r="E622" s="23"/>
      <c r="G622" s="23"/>
    </row>
    <row r="623">
      <c r="E623" s="23"/>
      <c r="G623" s="23"/>
    </row>
    <row r="624">
      <c r="E624" s="23"/>
      <c r="G624" s="23"/>
    </row>
    <row r="625">
      <c r="E625" s="23"/>
      <c r="G625" s="23"/>
    </row>
    <row r="626">
      <c r="E626" s="23"/>
      <c r="G626" s="23"/>
    </row>
    <row r="627">
      <c r="E627" s="23"/>
      <c r="G627" s="23"/>
    </row>
    <row r="628">
      <c r="E628" s="23"/>
      <c r="G628" s="23"/>
    </row>
    <row r="629">
      <c r="E629" s="23"/>
      <c r="G629" s="23"/>
    </row>
    <row r="630">
      <c r="E630" s="23"/>
      <c r="G630" s="23"/>
    </row>
    <row r="631">
      <c r="E631" s="23"/>
      <c r="G631" s="23"/>
    </row>
    <row r="632">
      <c r="E632" s="23"/>
      <c r="G632" s="23"/>
    </row>
    <row r="633">
      <c r="E633" s="23"/>
      <c r="G633" s="23"/>
    </row>
    <row r="634">
      <c r="E634" s="23"/>
      <c r="G634" s="23"/>
    </row>
    <row r="635">
      <c r="E635" s="23"/>
      <c r="G635" s="23"/>
    </row>
    <row r="636">
      <c r="E636" s="23"/>
      <c r="G636" s="23"/>
    </row>
    <row r="637">
      <c r="E637" s="23"/>
      <c r="G637" s="23"/>
    </row>
    <row r="638">
      <c r="E638" s="23"/>
      <c r="G638" s="23"/>
    </row>
    <row r="639">
      <c r="E639" s="23"/>
      <c r="G639" s="23"/>
    </row>
    <row r="640">
      <c r="E640" s="23"/>
      <c r="G640" s="23"/>
    </row>
    <row r="641">
      <c r="E641" s="23"/>
      <c r="G641" s="23"/>
    </row>
    <row r="642">
      <c r="E642" s="23"/>
      <c r="G642" s="23"/>
    </row>
    <row r="643">
      <c r="E643" s="23"/>
      <c r="G643" s="23"/>
    </row>
    <row r="644">
      <c r="E644" s="23"/>
      <c r="G644" s="23"/>
    </row>
    <row r="645">
      <c r="E645" s="23"/>
      <c r="G645" s="23"/>
    </row>
    <row r="646">
      <c r="E646" s="23"/>
      <c r="G646" s="23"/>
    </row>
    <row r="647">
      <c r="E647" s="23"/>
      <c r="G647" s="23"/>
    </row>
    <row r="648">
      <c r="E648" s="23"/>
      <c r="G648" s="23"/>
    </row>
    <row r="649">
      <c r="E649" s="23"/>
      <c r="G649" s="23"/>
    </row>
    <row r="650">
      <c r="E650" s="23"/>
      <c r="G650" s="23"/>
    </row>
    <row r="651">
      <c r="E651" s="23"/>
      <c r="G651" s="23"/>
    </row>
    <row r="652">
      <c r="E652" s="23"/>
      <c r="G652" s="23"/>
    </row>
    <row r="653">
      <c r="E653" s="23"/>
      <c r="G653" s="23"/>
    </row>
    <row r="654">
      <c r="E654" s="23"/>
      <c r="G654" s="23"/>
    </row>
    <row r="655">
      <c r="E655" s="23"/>
      <c r="G655" s="23"/>
    </row>
    <row r="656">
      <c r="E656" s="23"/>
      <c r="G656" s="23"/>
    </row>
    <row r="657">
      <c r="E657" s="23"/>
      <c r="G657" s="23"/>
    </row>
    <row r="658">
      <c r="E658" s="23"/>
      <c r="G658" s="23"/>
    </row>
    <row r="659">
      <c r="E659" s="23"/>
      <c r="G659" s="23"/>
    </row>
    <row r="660">
      <c r="E660" s="23"/>
      <c r="G660" s="23"/>
    </row>
    <row r="661">
      <c r="E661" s="23"/>
      <c r="G661" s="23"/>
    </row>
    <row r="662">
      <c r="E662" s="23"/>
      <c r="G662" s="23"/>
    </row>
    <row r="663">
      <c r="E663" s="23"/>
      <c r="G663" s="23"/>
    </row>
    <row r="664">
      <c r="E664" s="23"/>
      <c r="G664" s="23"/>
    </row>
    <row r="665">
      <c r="E665" s="23"/>
      <c r="G665" s="23"/>
    </row>
    <row r="666">
      <c r="E666" s="23"/>
      <c r="G666" s="23"/>
    </row>
    <row r="667">
      <c r="E667" s="23"/>
      <c r="G667" s="23"/>
    </row>
    <row r="668">
      <c r="E668" s="23"/>
      <c r="G668" s="23"/>
    </row>
    <row r="669">
      <c r="E669" s="23"/>
      <c r="G669" s="23"/>
    </row>
    <row r="670">
      <c r="E670" s="23"/>
      <c r="G670" s="23"/>
    </row>
    <row r="671">
      <c r="E671" s="23"/>
      <c r="G671" s="23"/>
    </row>
    <row r="672">
      <c r="E672" s="23"/>
      <c r="G672" s="23"/>
    </row>
    <row r="673">
      <c r="E673" s="23"/>
      <c r="G673" s="23"/>
    </row>
    <row r="674">
      <c r="E674" s="23"/>
      <c r="G674" s="23"/>
    </row>
    <row r="675">
      <c r="E675" s="23"/>
      <c r="G675" s="23"/>
    </row>
    <row r="676">
      <c r="E676" s="23"/>
      <c r="G676" s="23"/>
    </row>
    <row r="677">
      <c r="E677" s="23"/>
      <c r="G677" s="23"/>
    </row>
    <row r="678">
      <c r="E678" s="23"/>
      <c r="G678" s="23"/>
    </row>
    <row r="679">
      <c r="E679" s="23"/>
      <c r="G679" s="23"/>
    </row>
    <row r="680">
      <c r="E680" s="23"/>
      <c r="G680" s="23"/>
    </row>
    <row r="681">
      <c r="E681" s="23"/>
      <c r="G681" s="23"/>
    </row>
    <row r="682">
      <c r="E682" s="23"/>
      <c r="G682" s="23"/>
    </row>
    <row r="683">
      <c r="E683" s="23"/>
      <c r="G683" s="23"/>
    </row>
    <row r="684">
      <c r="E684" s="23"/>
      <c r="G684" s="23"/>
    </row>
    <row r="685">
      <c r="E685" s="23"/>
      <c r="G685" s="23"/>
    </row>
    <row r="686">
      <c r="E686" s="23"/>
      <c r="G686" s="23"/>
    </row>
    <row r="687">
      <c r="E687" s="23"/>
      <c r="G687" s="23"/>
    </row>
    <row r="688">
      <c r="E688" s="23"/>
      <c r="G688" s="23"/>
    </row>
    <row r="689">
      <c r="E689" s="23"/>
      <c r="G689" s="23"/>
    </row>
    <row r="690">
      <c r="E690" s="23"/>
      <c r="G690" s="23"/>
    </row>
    <row r="691">
      <c r="E691" s="23"/>
      <c r="G691" s="23"/>
    </row>
    <row r="692">
      <c r="E692" s="23"/>
      <c r="G692" s="23"/>
    </row>
    <row r="693">
      <c r="E693" s="23"/>
      <c r="G693" s="23"/>
    </row>
    <row r="694">
      <c r="E694" s="23"/>
      <c r="G694" s="23"/>
    </row>
    <row r="695">
      <c r="E695" s="23"/>
      <c r="G695" s="23"/>
    </row>
    <row r="696">
      <c r="E696" s="23"/>
      <c r="G696" s="23"/>
    </row>
    <row r="697">
      <c r="E697" s="23"/>
      <c r="G697" s="23"/>
    </row>
    <row r="698">
      <c r="E698" s="23"/>
      <c r="G698" s="23"/>
    </row>
    <row r="699">
      <c r="E699" s="23"/>
      <c r="G699" s="23"/>
    </row>
    <row r="700">
      <c r="E700" s="23"/>
      <c r="G700" s="23"/>
    </row>
    <row r="701">
      <c r="E701" s="23"/>
      <c r="G701" s="23"/>
    </row>
    <row r="702">
      <c r="E702" s="23"/>
      <c r="G702" s="23"/>
    </row>
    <row r="703">
      <c r="E703" s="23"/>
      <c r="G703" s="23"/>
    </row>
    <row r="704">
      <c r="E704" s="23"/>
      <c r="G704" s="23"/>
    </row>
    <row r="705">
      <c r="E705" s="23"/>
      <c r="G705" s="23"/>
    </row>
    <row r="706">
      <c r="E706" s="23"/>
      <c r="G706" s="23"/>
    </row>
    <row r="707">
      <c r="E707" s="23"/>
      <c r="G707" s="23"/>
    </row>
    <row r="708">
      <c r="E708" s="23"/>
      <c r="G708" s="23"/>
    </row>
    <row r="709">
      <c r="E709" s="23"/>
      <c r="G709" s="23"/>
    </row>
    <row r="710">
      <c r="E710" s="23"/>
      <c r="G710" s="23"/>
    </row>
    <row r="711">
      <c r="E711" s="23"/>
      <c r="G711" s="23"/>
    </row>
    <row r="712">
      <c r="E712" s="23"/>
      <c r="G712" s="23"/>
    </row>
    <row r="713">
      <c r="E713" s="23"/>
      <c r="G713" s="23"/>
    </row>
    <row r="714">
      <c r="E714" s="23"/>
      <c r="G714" s="23"/>
    </row>
    <row r="715">
      <c r="E715" s="23"/>
      <c r="G715" s="23"/>
    </row>
    <row r="716">
      <c r="E716" s="23"/>
      <c r="G716" s="23"/>
    </row>
    <row r="717">
      <c r="E717" s="23"/>
      <c r="G717" s="23"/>
    </row>
    <row r="718">
      <c r="E718" s="23"/>
      <c r="G718" s="23"/>
    </row>
    <row r="719">
      <c r="E719" s="23"/>
      <c r="G719" s="23"/>
    </row>
    <row r="720">
      <c r="E720" s="23"/>
      <c r="G720" s="23"/>
    </row>
    <row r="721">
      <c r="E721" s="23"/>
      <c r="G721" s="23"/>
    </row>
    <row r="722">
      <c r="E722" s="23"/>
      <c r="G722" s="23"/>
    </row>
    <row r="723">
      <c r="E723" s="23"/>
      <c r="G723" s="23"/>
    </row>
    <row r="724">
      <c r="E724" s="23"/>
      <c r="G724" s="23"/>
    </row>
    <row r="725">
      <c r="E725" s="23"/>
      <c r="G725" s="23"/>
    </row>
    <row r="726">
      <c r="E726" s="23"/>
      <c r="G726" s="23"/>
    </row>
    <row r="727">
      <c r="E727" s="23"/>
      <c r="G727" s="23"/>
    </row>
    <row r="728">
      <c r="E728" s="23"/>
      <c r="G728" s="23"/>
    </row>
    <row r="729">
      <c r="E729" s="23"/>
      <c r="G729" s="23"/>
    </row>
    <row r="730">
      <c r="E730" s="23"/>
      <c r="G730" s="23"/>
    </row>
    <row r="731">
      <c r="E731" s="23"/>
      <c r="G731" s="23"/>
    </row>
    <row r="732">
      <c r="E732" s="23"/>
      <c r="G732" s="23"/>
    </row>
    <row r="733">
      <c r="E733" s="23"/>
      <c r="G733" s="23"/>
    </row>
    <row r="734">
      <c r="E734" s="23"/>
      <c r="G734" s="23"/>
    </row>
    <row r="735">
      <c r="E735" s="23"/>
      <c r="G735" s="23"/>
    </row>
    <row r="736">
      <c r="E736" s="23"/>
      <c r="G736" s="23"/>
    </row>
    <row r="737">
      <c r="E737" s="23"/>
      <c r="G737" s="23"/>
    </row>
    <row r="738">
      <c r="E738" s="23"/>
      <c r="G738" s="23"/>
    </row>
    <row r="739">
      <c r="E739" s="23"/>
      <c r="G739" s="23"/>
    </row>
    <row r="740">
      <c r="E740" s="23"/>
      <c r="G740" s="23"/>
    </row>
    <row r="741">
      <c r="E741" s="23"/>
      <c r="G741" s="23"/>
    </row>
    <row r="742">
      <c r="E742" s="23"/>
      <c r="G742" s="23"/>
    </row>
    <row r="743">
      <c r="E743" s="23"/>
      <c r="G743" s="23"/>
    </row>
    <row r="744">
      <c r="E744" s="23"/>
      <c r="G744" s="23"/>
    </row>
    <row r="745">
      <c r="E745" s="23"/>
      <c r="G745" s="23"/>
    </row>
    <row r="746">
      <c r="E746" s="23"/>
      <c r="G746" s="23"/>
    </row>
    <row r="747">
      <c r="E747" s="23"/>
      <c r="G747" s="23"/>
    </row>
    <row r="748">
      <c r="E748" s="23"/>
      <c r="G748" s="23"/>
    </row>
    <row r="749">
      <c r="E749" s="23"/>
      <c r="G749" s="23"/>
    </row>
    <row r="750">
      <c r="E750" s="23"/>
      <c r="G750" s="23"/>
    </row>
    <row r="751">
      <c r="E751" s="23"/>
      <c r="G751" s="23"/>
    </row>
    <row r="752">
      <c r="E752" s="23"/>
      <c r="G752" s="23"/>
    </row>
    <row r="753">
      <c r="E753" s="23"/>
      <c r="G753" s="23"/>
    </row>
    <row r="754">
      <c r="E754" s="23"/>
      <c r="G754" s="23"/>
    </row>
    <row r="755">
      <c r="E755" s="23"/>
      <c r="G755" s="23"/>
    </row>
    <row r="756">
      <c r="E756" s="23"/>
      <c r="G756" s="23"/>
    </row>
    <row r="757">
      <c r="E757" s="23"/>
      <c r="G757" s="23"/>
    </row>
    <row r="758">
      <c r="E758" s="23"/>
      <c r="G758" s="23"/>
    </row>
    <row r="759">
      <c r="E759" s="23"/>
      <c r="G759" s="23"/>
    </row>
    <row r="760">
      <c r="E760" s="23"/>
      <c r="G760" s="23"/>
    </row>
    <row r="761">
      <c r="E761" s="23"/>
      <c r="G761" s="23"/>
    </row>
    <row r="762">
      <c r="E762" s="23"/>
      <c r="G762" s="23"/>
    </row>
    <row r="763">
      <c r="E763" s="23"/>
      <c r="G763" s="23"/>
    </row>
    <row r="764">
      <c r="E764" s="23"/>
      <c r="G764" s="23"/>
    </row>
    <row r="765">
      <c r="E765" s="23"/>
      <c r="G765" s="23"/>
    </row>
    <row r="766">
      <c r="E766" s="23"/>
      <c r="G766" s="23"/>
    </row>
    <row r="767">
      <c r="E767" s="23"/>
      <c r="G767" s="23"/>
    </row>
    <row r="768">
      <c r="E768" s="23"/>
      <c r="G768" s="23"/>
    </row>
    <row r="769">
      <c r="E769" s="23"/>
      <c r="G769" s="23"/>
    </row>
    <row r="770">
      <c r="E770" s="23"/>
      <c r="G770" s="23"/>
    </row>
    <row r="771">
      <c r="E771" s="23"/>
      <c r="G771" s="23"/>
    </row>
    <row r="772">
      <c r="E772" s="23"/>
      <c r="G772" s="23"/>
    </row>
    <row r="773">
      <c r="E773" s="23"/>
      <c r="G773" s="23"/>
    </row>
    <row r="774">
      <c r="E774" s="23"/>
      <c r="G774" s="23"/>
    </row>
    <row r="775">
      <c r="E775" s="23"/>
      <c r="G775" s="23"/>
    </row>
    <row r="776">
      <c r="E776" s="23"/>
      <c r="G776" s="23"/>
    </row>
    <row r="777">
      <c r="E777" s="23"/>
      <c r="G777" s="23"/>
    </row>
    <row r="778">
      <c r="E778" s="23"/>
      <c r="G778" s="23"/>
    </row>
    <row r="779">
      <c r="E779" s="23"/>
      <c r="G779" s="23"/>
    </row>
    <row r="780">
      <c r="E780" s="23"/>
      <c r="G780" s="23"/>
    </row>
    <row r="781">
      <c r="E781" s="23"/>
      <c r="G781" s="23"/>
    </row>
    <row r="782">
      <c r="E782" s="23"/>
      <c r="G782" s="23"/>
    </row>
    <row r="783">
      <c r="E783" s="23"/>
      <c r="G783" s="23"/>
    </row>
    <row r="784">
      <c r="E784" s="23"/>
      <c r="G784" s="23"/>
    </row>
    <row r="785">
      <c r="E785" s="23"/>
      <c r="G785" s="23"/>
    </row>
    <row r="786">
      <c r="E786" s="23"/>
      <c r="G786" s="23"/>
    </row>
    <row r="787">
      <c r="E787" s="23"/>
      <c r="G787" s="23"/>
    </row>
    <row r="788">
      <c r="E788" s="23"/>
      <c r="G788" s="23"/>
    </row>
    <row r="789">
      <c r="E789" s="23"/>
      <c r="G789" s="23"/>
    </row>
    <row r="790">
      <c r="E790" s="23"/>
      <c r="G790" s="23"/>
    </row>
    <row r="791">
      <c r="E791" s="23"/>
      <c r="G791" s="23"/>
    </row>
    <row r="792">
      <c r="E792" s="23"/>
      <c r="G792" s="23"/>
    </row>
    <row r="793">
      <c r="E793" s="23"/>
      <c r="G793" s="23"/>
    </row>
    <row r="794">
      <c r="E794" s="23"/>
      <c r="G794" s="23"/>
    </row>
    <row r="795">
      <c r="E795" s="23"/>
      <c r="G795" s="23"/>
    </row>
    <row r="796">
      <c r="E796" s="23"/>
      <c r="G796" s="23"/>
    </row>
    <row r="797">
      <c r="E797" s="23"/>
      <c r="G797" s="23"/>
    </row>
    <row r="798">
      <c r="E798" s="23"/>
      <c r="G798" s="23"/>
    </row>
    <row r="799">
      <c r="E799" s="23"/>
      <c r="G799" s="23"/>
    </row>
    <row r="800">
      <c r="E800" s="23"/>
      <c r="G800" s="23"/>
    </row>
    <row r="801">
      <c r="E801" s="23"/>
      <c r="G801" s="23"/>
    </row>
    <row r="802">
      <c r="E802" s="23"/>
      <c r="G802" s="23"/>
    </row>
    <row r="803">
      <c r="E803" s="23"/>
      <c r="G803" s="23"/>
    </row>
    <row r="804">
      <c r="E804" s="23"/>
      <c r="G804" s="23"/>
    </row>
    <row r="805">
      <c r="E805" s="23"/>
      <c r="G805" s="23"/>
    </row>
    <row r="806">
      <c r="E806" s="23"/>
      <c r="G806" s="23"/>
    </row>
    <row r="807">
      <c r="E807" s="23"/>
      <c r="G807" s="23"/>
    </row>
    <row r="808">
      <c r="E808" s="23"/>
      <c r="G808" s="23"/>
    </row>
    <row r="809">
      <c r="E809" s="23"/>
      <c r="G809" s="23"/>
    </row>
    <row r="810">
      <c r="E810" s="23"/>
      <c r="G810" s="23"/>
    </row>
    <row r="811">
      <c r="E811" s="23"/>
      <c r="G811" s="23"/>
    </row>
    <row r="812">
      <c r="E812" s="23"/>
      <c r="G812" s="23"/>
    </row>
    <row r="813">
      <c r="E813" s="23"/>
      <c r="G813" s="23"/>
    </row>
    <row r="814">
      <c r="E814" s="23"/>
      <c r="G814" s="23"/>
    </row>
    <row r="815">
      <c r="E815" s="23"/>
      <c r="G815" s="23"/>
    </row>
    <row r="816">
      <c r="E816" s="23"/>
      <c r="G816" s="23"/>
    </row>
    <row r="817">
      <c r="E817" s="23"/>
      <c r="G817" s="23"/>
    </row>
    <row r="818">
      <c r="E818" s="23"/>
      <c r="G818" s="23"/>
    </row>
    <row r="819">
      <c r="E819" s="23"/>
      <c r="G819" s="23"/>
    </row>
    <row r="820">
      <c r="E820" s="23"/>
      <c r="G820" s="23"/>
    </row>
    <row r="821">
      <c r="E821" s="23"/>
      <c r="G821" s="23"/>
    </row>
    <row r="822">
      <c r="E822" s="23"/>
      <c r="G822" s="23"/>
    </row>
    <row r="823">
      <c r="E823" s="23"/>
      <c r="G823" s="23"/>
    </row>
    <row r="824">
      <c r="E824" s="23"/>
      <c r="G824" s="23"/>
    </row>
    <row r="825">
      <c r="E825" s="23"/>
      <c r="G825" s="23"/>
    </row>
    <row r="826">
      <c r="E826" s="23"/>
      <c r="G826" s="23"/>
    </row>
    <row r="827">
      <c r="E827" s="23"/>
      <c r="G827" s="23"/>
    </row>
    <row r="828">
      <c r="E828" s="23"/>
      <c r="G828" s="23"/>
    </row>
    <row r="829">
      <c r="E829" s="23"/>
      <c r="G829" s="23"/>
    </row>
    <row r="830">
      <c r="E830" s="23"/>
      <c r="G830" s="23"/>
    </row>
    <row r="831">
      <c r="E831" s="23"/>
      <c r="G831" s="23"/>
    </row>
    <row r="832">
      <c r="E832" s="23"/>
      <c r="G832" s="23"/>
    </row>
    <row r="833">
      <c r="E833" s="23"/>
      <c r="G833" s="23"/>
    </row>
    <row r="834">
      <c r="E834" s="23"/>
      <c r="G834" s="23"/>
    </row>
    <row r="835">
      <c r="E835" s="23"/>
      <c r="G835" s="23"/>
    </row>
    <row r="836">
      <c r="E836" s="23"/>
      <c r="G836" s="23"/>
    </row>
    <row r="837">
      <c r="E837" s="23"/>
      <c r="G837" s="23"/>
    </row>
    <row r="838">
      <c r="E838" s="23"/>
      <c r="G838" s="23"/>
    </row>
    <row r="839">
      <c r="E839" s="23"/>
      <c r="G839" s="23"/>
    </row>
    <row r="840">
      <c r="E840" s="23"/>
      <c r="G840" s="23"/>
    </row>
    <row r="841">
      <c r="E841" s="23"/>
      <c r="G841" s="23"/>
    </row>
    <row r="842">
      <c r="E842" s="23"/>
      <c r="G842" s="23"/>
    </row>
    <row r="843">
      <c r="E843" s="23"/>
      <c r="G843" s="23"/>
    </row>
    <row r="844">
      <c r="E844" s="23"/>
      <c r="G844" s="23"/>
    </row>
    <row r="845">
      <c r="E845" s="23"/>
      <c r="G845" s="23"/>
    </row>
    <row r="846">
      <c r="E846" s="23"/>
      <c r="G846" s="23"/>
    </row>
    <row r="847">
      <c r="E847" s="23"/>
      <c r="G847" s="23"/>
    </row>
    <row r="848">
      <c r="E848" s="23"/>
      <c r="G848" s="23"/>
    </row>
    <row r="849">
      <c r="E849" s="23"/>
      <c r="G849" s="23"/>
    </row>
    <row r="850">
      <c r="E850" s="23"/>
      <c r="G850" s="23"/>
    </row>
    <row r="851">
      <c r="E851" s="23"/>
      <c r="G851" s="23"/>
    </row>
    <row r="852">
      <c r="E852" s="23"/>
      <c r="G852" s="23"/>
    </row>
    <row r="853">
      <c r="E853" s="23"/>
      <c r="G853" s="23"/>
    </row>
    <row r="854">
      <c r="E854" s="23"/>
      <c r="G854" s="23"/>
    </row>
    <row r="855">
      <c r="E855" s="23"/>
      <c r="G855" s="23"/>
    </row>
    <row r="856">
      <c r="E856" s="23"/>
      <c r="G856" s="23"/>
    </row>
    <row r="857">
      <c r="E857" s="23"/>
      <c r="G857" s="23"/>
    </row>
    <row r="858">
      <c r="E858" s="23"/>
      <c r="G858" s="23"/>
    </row>
    <row r="859">
      <c r="E859" s="23"/>
      <c r="G859" s="23"/>
    </row>
    <row r="860">
      <c r="E860" s="23"/>
      <c r="G860" s="23"/>
    </row>
    <row r="861">
      <c r="E861" s="23"/>
      <c r="G861" s="23"/>
    </row>
    <row r="862">
      <c r="E862" s="23"/>
      <c r="G862" s="23"/>
    </row>
    <row r="863">
      <c r="E863" s="23"/>
      <c r="G863" s="23"/>
    </row>
    <row r="864">
      <c r="E864" s="23"/>
      <c r="G864" s="23"/>
    </row>
    <row r="865">
      <c r="E865" s="23"/>
      <c r="G865" s="23"/>
    </row>
    <row r="866">
      <c r="E866" s="23"/>
      <c r="G866" s="23"/>
    </row>
    <row r="867">
      <c r="E867" s="23"/>
      <c r="G867" s="23"/>
    </row>
    <row r="868">
      <c r="E868" s="23"/>
      <c r="G868" s="23"/>
    </row>
    <row r="869">
      <c r="E869" s="23"/>
      <c r="G869" s="23"/>
    </row>
    <row r="870">
      <c r="E870" s="23"/>
      <c r="G870" s="23"/>
    </row>
    <row r="871">
      <c r="E871" s="23"/>
      <c r="G871" s="23"/>
    </row>
    <row r="872">
      <c r="E872" s="23"/>
      <c r="G872" s="23"/>
    </row>
    <row r="873">
      <c r="E873" s="23"/>
      <c r="G873" s="23"/>
    </row>
    <row r="874">
      <c r="E874" s="23"/>
      <c r="G874" s="23"/>
    </row>
    <row r="875">
      <c r="E875" s="23"/>
      <c r="G875" s="23"/>
    </row>
    <row r="876">
      <c r="E876" s="23"/>
      <c r="G876" s="23"/>
    </row>
    <row r="877">
      <c r="E877" s="23"/>
      <c r="G877" s="23"/>
    </row>
    <row r="878">
      <c r="E878" s="23"/>
      <c r="G878" s="23"/>
    </row>
    <row r="879">
      <c r="E879" s="23"/>
      <c r="G879" s="23"/>
    </row>
    <row r="880">
      <c r="E880" s="23"/>
      <c r="G880" s="23"/>
    </row>
    <row r="881">
      <c r="E881" s="23"/>
      <c r="G881" s="23"/>
    </row>
    <row r="882">
      <c r="E882" s="23"/>
      <c r="G882" s="23"/>
    </row>
    <row r="883">
      <c r="E883" s="23"/>
      <c r="G883" s="23"/>
    </row>
    <row r="884">
      <c r="E884" s="23"/>
      <c r="G884" s="23"/>
    </row>
    <row r="885">
      <c r="E885" s="23"/>
      <c r="G885" s="23"/>
    </row>
    <row r="886">
      <c r="E886" s="23"/>
      <c r="G886" s="23"/>
    </row>
    <row r="887">
      <c r="E887" s="23"/>
      <c r="G887" s="23"/>
    </row>
    <row r="888">
      <c r="E888" s="23"/>
      <c r="G888" s="23"/>
    </row>
    <row r="889">
      <c r="E889" s="23"/>
      <c r="G889" s="23"/>
    </row>
    <row r="890">
      <c r="E890" s="23"/>
      <c r="G890" s="23"/>
    </row>
    <row r="891">
      <c r="E891" s="23"/>
      <c r="G891" s="23"/>
    </row>
    <row r="892">
      <c r="E892" s="23"/>
      <c r="G892" s="23"/>
    </row>
    <row r="893">
      <c r="E893" s="23"/>
      <c r="G893" s="23"/>
    </row>
    <row r="894">
      <c r="E894" s="23"/>
      <c r="G894" s="23"/>
    </row>
    <row r="895">
      <c r="E895" s="23"/>
      <c r="G895" s="23"/>
    </row>
    <row r="896">
      <c r="E896" s="23"/>
      <c r="G896" s="23"/>
    </row>
    <row r="897">
      <c r="E897" s="23"/>
      <c r="G897" s="23"/>
    </row>
    <row r="898">
      <c r="E898" s="23"/>
      <c r="G898" s="23"/>
    </row>
    <row r="899">
      <c r="E899" s="23"/>
      <c r="G899" s="23"/>
    </row>
    <row r="900">
      <c r="E900" s="23"/>
      <c r="G900" s="23"/>
    </row>
    <row r="901">
      <c r="E901" s="23"/>
      <c r="G901" s="23"/>
    </row>
    <row r="902">
      <c r="E902" s="23"/>
      <c r="G902" s="23"/>
    </row>
    <row r="903">
      <c r="E903" s="23"/>
      <c r="G903" s="23"/>
    </row>
    <row r="904">
      <c r="E904" s="23"/>
      <c r="G904" s="23"/>
    </row>
    <row r="905">
      <c r="E905" s="23"/>
      <c r="G905" s="23"/>
    </row>
    <row r="906">
      <c r="E906" s="23"/>
      <c r="G906" s="23"/>
    </row>
    <row r="907">
      <c r="E907" s="23"/>
      <c r="G907" s="23"/>
    </row>
    <row r="908">
      <c r="E908" s="23"/>
      <c r="G908" s="23"/>
    </row>
    <row r="909">
      <c r="E909" s="23"/>
      <c r="G909" s="23"/>
    </row>
    <row r="910">
      <c r="E910" s="23"/>
      <c r="G910" s="23"/>
    </row>
    <row r="911">
      <c r="E911" s="23"/>
      <c r="G911" s="23"/>
    </row>
    <row r="912">
      <c r="E912" s="23"/>
      <c r="G912" s="23"/>
    </row>
    <row r="913">
      <c r="E913" s="23"/>
      <c r="G913" s="23"/>
    </row>
    <row r="914">
      <c r="E914" s="23"/>
      <c r="G914" s="23"/>
    </row>
    <row r="915">
      <c r="E915" s="23"/>
      <c r="G915" s="23"/>
    </row>
    <row r="916">
      <c r="E916" s="23"/>
      <c r="G916" s="23"/>
    </row>
    <row r="917">
      <c r="E917" s="23"/>
      <c r="G917" s="23"/>
    </row>
    <row r="918">
      <c r="E918" s="23"/>
      <c r="G918" s="23"/>
    </row>
    <row r="919">
      <c r="E919" s="23"/>
      <c r="G919" s="23"/>
    </row>
    <row r="920">
      <c r="E920" s="23"/>
      <c r="G920" s="23"/>
    </row>
    <row r="921">
      <c r="E921" s="23"/>
      <c r="G921" s="23"/>
    </row>
    <row r="922">
      <c r="E922" s="23"/>
      <c r="G922" s="23"/>
    </row>
    <row r="923">
      <c r="E923" s="23"/>
      <c r="G923" s="23"/>
    </row>
    <row r="924">
      <c r="E924" s="23"/>
      <c r="G924" s="23"/>
    </row>
    <row r="925">
      <c r="E925" s="23"/>
      <c r="G925" s="23"/>
    </row>
    <row r="926">
      <c r="E926" s="23"/>
      <c r="G926" s="23"/>
    </row>
    <row r="927">
      <c r="E927" s="23"/>
      <c r="G927" s="23"/>
    </row>
    <row r="928">
      <c r="E928" s="23"/>
      <c r="G928" s="23"/>
    </row>
    <row r="929">
      <c r="E929" s="23"/>
      <c r="G929" s="23"/>
    </row>
    <row r="930">
      <c r="E930" s="23"/>
      <c r="G930" s="23"/>
    </row>
    <row r="931">
      <c r="E931" s="23"/>
      <c r="G931" s="23"/>
    </row>
    <row r="932">
      <c r="E932" s="23"/>
      <c r="G932" s="23"/>
    </row>
    <row r="933">
      <c r="E933" s="23"/>
      <c r="G933" s="23"/>
    </row>
    <row r="934">
      <c r="E934" s="23"/>
      <c r="G934" s="23"/>
    </row>
    <row r="935">
      <c r="E935" s="23"/>
      <c r="G935" s="23"/>
    </row>
    <row r="936">
      <c r="E936" s="23"/>
      <c r="G936" s="23"/>
    </row>
    <row r="937">
      <c r="E937" s="23"/>
      <c r="G937" s="23"/>
    </row>
    <row r="938">
      <c r="E938" s="23"/>
      <c r="G938" s="23"/>
    </row>
    <row r="939">
      <c r="E939" s="23"/>
      <c r="G939" s="23"/>
    </row>
    <row r="940">
      <c r="E940" s="23"/>
      <c r="G940" s="23"/>
    </row>
    <row r="941">
      <c r="E941" s="23"/>
      <c r="G941" s="23"/>
    </row>
    <row r="942">
      <c r="E942" s="23"/>
      <c r="G942" s="23"/>
    </row>
    <row r="943">
      <c r="E943" s="23"/>
      <c r="G943" s="23"/>
    </row>
    <row r="944">
      <c r="E944" s="23"/>
      <c r="G944" s="23"/>
    </row>
    <row r="945">
      <c r="E945" s="23"/>
      <c r="G945" s="23"/>
    </row>
    <row r="946">
      <c r="E946" s="23"/>
      <c r="G946" s="23"/>
    </row>
    <row r="947">
      <c r="E947" s="23"/>
      <c r="G947" s="23"/>
    </row>
    <row r="948">
      <c r="E948" s="23"/>
      <c r="G948" s="23"/>
    </row>
    <row r="949">
      <c r="E949" s="23"/>
      <c r="G949" s="23"/>
    </row>
    <row r="950">
      <c r="E950" s="23"/>
      <c r="G950" s="23"/>
    </row>
    <row r="951">
      <c r="E951" s="23"/>
      <c r="G951" s="23"/>
    </row>
    <row r="952">
      <c r="E952" s="23"/>
      <c r="G952" s="23"/>
    </row>
    <row r="953">
      <c r="E953" s="23"/>
      <c r="G953" s="23"/>
    </row>
    <row r="954">
      <c r="E954" s="23"/>
      <c r="G954" s="23"/>
    </row>
    <row r="955">
      <c r="E955" s="23"/>
      <c r="G955" s="23"/>
    </row>
    <row r="956">
      <c r="E956" s="23"/>
      <c r="G956" s="23"/>
    </row>
    <row r="957">
      <c r="E957" s="23"/>
      <c r="G957" s="23"/>
    </row>
    <row r="958">
      <c r="E958" s="23"/>
      <c r="G958" s="23"/>
    </row>
    <row r="959">
      <c r="E959" s="23"/>
      <c r="G959" s="23"/>
    </row>
    <row r="960">
      <c r="E960" s="23"/>
      <c r="G960" s="23"/>
    </row>
    <row r="961">
      <c r="E961" s="23"/>
      <c r="G961" s="23"/>
    </row>
    <row r="962">
      <c r="E962" s="23"/>
      <c r="G962" s="23"/>
    </row>
    <row r="963">
      <c r="E963" s="23"/>
      <c r="G963" s="23"/>
    </row>
    <row r="964">
      <c r="E964" s="23"/>
      <c r="G964" s="23"/>
    </row>
    <row r="965">
      <c r="E965" s="23"/>
      <c r="G965" s="23"/>
    </row>
    <row r="966">
      <c r="E966" s="23"/>
      <c r="G966" s="23"/>
    </row>
    <row r="967">
      <c r="E967" s="23"/>
      <c r="G967" s="23"/>
    </row>
    <row r="968">
      <c r="E968" s="23"/>
      <c r="G968" s="23"/>
    </row>
    <row r="969">
      <c r="E969" s="23"/>
      <c r="G969" s="23"/>
    </row>
    <row r="970">
      <c r="E970" s="23"/>
      <c r="G970" s="23"/>
    </row>
    <row r="971">
      <c r="E971" s="23"/>
      <c r="G971" s="23"/>
    </row>
    <row r="972">
      <c r="E972" s="23"/>
      <c r="G972" s="23"/>
    </row>
    <row r="973">
      <c r="E973" s="23"/>
      <c r="G973" s="23"/>
    </row>
    <row r="974">
      <c r="E974" s="23"/>
      <c r="G974" s="23"/>
    </row>
    <row r="975">
      <c r="E975" s="23"/>
      <c r="G975" s="23"/>
    </row>
    <row r="976">
      <c r="E976" s="23"/>
      <c r="G976" s="23"/>
    </row>
    <row r="977">
      <c r="E977" s="23"/>
      <c r="G977" s="23"/>
    </row>
    <row r="978">
      <c r="E978" s="23"/>
      <c r="G978" s="23"/>
    </row>
    <row r="979">
      <c r="E979" s="23"/>
      <c r="G979" s="23"/>
    </row>
    <row r="980">
      <c r="E980" s="23"/>
      <c r="G980" s="23"/>
    </row>
    <row r="981">
      <c r="E981" s="23"/>
      <c r="G981" s="23"/>
    </row>
    <row r="982">
      <c r="E982" s="23"/>
      <c r="G982" s="23"/>
    </row>
    <row r="983">
      <c r="E983" s="23"/>
      <c r="G983" s="23"/>
    </row>
    <row r="984">
      <c r="E984" s="23"/>
      <c r="G984" s="23"/>
    </row>
    <row r="985">
      <c r="E985" s="23"/>
      <c r="G985" s="23"/>
    </row>
    <row r="986">
      <c r="E986" s="23"/>
      <c r="G986" s="23"/>
    </row>
    <row r="987">
      <c r="E987" s="23"/>
      <c r="G987" s="23"/>
    </row>
    <row r="988">
      <c r="E988" s="23"/>
      <c r="G988" s="23"/>
    </row>
    <row r="989">
      <c r="E989" s="23"/>
      <c r="G989" s="23"/>
    </row>
    <row r="990">
      <c r="E990" s="23"/>
      <c r="G990" s="23"/>
    </row>
    <row r="991">
      <c r="E991" s="23"/>
      <c r="G991" s="23"/>
    </row>
    <row r="992">
      <c r="E992" s="23"/>
      <c r="G992" s="23"/>
    </row>
    <row r="993">
      <c r="E993" s="23"/>
      <c r="G993" s="23"/>
    </row>
    <row r="994">
      <c r="E994" s="23"/>
      <c r="G994" s="23"/>
    </row>
    <row r="995">
      <c r="E995" s="23"/>
      <c r="G995" s="23"/>
    </row>
    <row r="996">
      <c r="E996" s="23"/>
      <c r="G996" s="23"/>
    </row>
    <row r="997">
      <c r="E997" s="23"/>
      <c r="G997" s="23"/>
    </row>
    <row r="998">
      <c r="E998" s="23"/>
      <c r="G998" s="23"/>
    </row>
    <row r="999">
      <c r="E999" s="23"/>
      <c r="G999" s="23"/>
    </row>
    <row r="1000">
      <c r="E1000" s="23"/>
      <c r="G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5" width="20.13"/>
  </cols>
  <sheetData>
    <row r="1">
      <c r="A1" s="17" t="s">
        <v>64</v>
      </c>
    </row>
    <row r="2" ht="25.5" customHeight="1">
      <c r="A2" s="36" t="s">
        <v>65</v>
      </c>
    </row>
    <row r="4">
      <c r="A4" s="37" t="s">
        <v>66</v>
      </c>
    </row>
    <row r="5">
      <c r="A5" s="24" t="s">
        <v>50</v>
      </c>
      <c r="B5" s="24" t="s">
        <v>36</v>
      </c>
      <c r="C5" s="24" t="s">
        <v>52</v>
      </c>
      <c r="D5" s="24" t="s">
        <v>56</v>
      </c>
    </row>
    <row r="6">
      <c r="A6" s="38">
        <v>2024001.0</v>
      </c>
      <c r="B6" s="38" t="s">
        <v>41</v>
      </c>
      <c r="C6" s="39">
        <v>46113.0</v>
      </c>
      <c r="D6" s="38" t="s">
        <v>67</v>
      </c>
    </row>
    <row r="7">
      <c r="A7" s="40"/>
      <c r="B7" s="41"/>
      <c r="C7" s="29"/>
      <c r="D7" s="42"/>
    </row>
    <row r="8">
      <c r="A8" s="40"/>
      <c r="B8" s="41"/>
      <c r="C8" s="29"/>
      <c r="D8" s="42"/>
    </row>
    <row r="9">
      <c r="A9" s="43"/>
      <c r="B9" s="41"/>
      <c r="C9" s="29"/>
      <c r="D9" s="42"/>
    </row>
    <row r="10">
      <c r="A10" s="40"/>
      <c r="B10" s="41"/>
      <c r="C10" s="29"/>
      <c r="D10" s="42"/>
    </row>
    <row r="11">
      <c r="A11" s="40"/>
      <c r="B11" s="41"/>
      <c r="C11" s="29"/>
      <c r="D11" s="42"/>
    </row>
    <row r="12">
      <c r="A12" s="40"/>
      <c r="B12" s="41"/>
      <c r="C12" s="29"/>
      <c r="D12" s="42"/>
    </row>
    <row r="13">
      <c r="A13" s="40"/>
      <c r="B13" s="41"/>
      <c r="C13" s="29"/>
      <c r="D13" s="42"/>
    </row>
    <row r="14">
      <c r="A14" s="40"/>
      <c r="B14" s="41"/>
      <c r="C14" s="29"/>
      <c r="D14" s="42"/>
    </row>
    <row r="15">
      <c r="A15" s="40"/>
      <c r="B15" s="41"/>
      <c r="C15" s="29"/>
      <c r="D15" s="42"/>
    </row>
    <row r="16">
      <c r="A16" s="40"/>
      <c r="B16" s="41"/>
      <c r="C16" s="29"/>
      <c r="D16" s="42"/>
    </row>
    <row r="17">
      <c r="A17" s="40"/>
      <c r="B17" s="41"/>
      <c r="C17" s="29"/>
      <c r="D17" s="42"/>
    </row>
    <row r="18">
      <c r="A18" s="40"/>
      <c r="B18" s="41"/>
      <c r="C18" s="29"/>
      <c r="D18" s="42"/>
    </row>
    <row r="19">
      <c r="A19" s="40"/>
      <c r="B19" s="41"/>
      <c r="C19" s="29"/>
      <c r="D19" s="42"/>
    </row>
    <row r="20">
      <c r="A20" s="40"/>
      <c r="B20" s="41"/>
      <c r="C20" s="29"/>
      <c r="D20" s="42"/>
    </row>
    <row r="21">
      <c r="A21" s="40"/>
      <c r="B21" s="41"/>
      <c r="C21" s="29"/>
      <c r="D21" s="42"/>
    </row>
    <row r="22">
      <c r="A22" s="40"/>
      <c r="B22" s="41"/>
      <c r="C22" s="29"/>
      <c r="D22" s="42"/>
    </row>
    <row r="23">
      <c r="A23" s="40"/>
      <c r="B23" s="41"/>
      <c r="C23" s="29"/>
      <c r="D23" s="42"/>
    </row>
    <row r="24">
      <c r="A24" s="40"/>
      <c r="B24" s="41"/>
      <c r="C24" s="29"/>
      <c r="D24" s="42"/>
    </row>
    <row r="25">
      <c r="A25" s="40"/>
      <c r="B25" s="41"/>
      <c r="C25" s="29"/>
      <c r="D25" s="42"/>
    </row>
    <row r="26">
      <c r="A26" s="41"/>
      <c r="B26" s="41"/>
      <c r="C26" s="44"/>
      <c r="D26" s="41"/>
    </row>
    <row r="27">
      <c r="A27" s="41"/>
      <c r="B27" s="41"/>
      <c r="C27" s="44"/>
      <c r="D27" s="41"/>
    </row>
    <row r="28">
      <c r="A28" s="41"/>
      <c r="B28" s="41"/>
      <c r="C28" s="44"/>
      <c r="D28" s="41"/>
    </row>
    <row r="29">
      <c r="A29" s="41"/>
      <c r="B29" s="41"/>
      <c r="C29" s="44"/>
      <c r="D29" s="41"/>
    </row>
    <row r="30">
      <c r="A30" s="41"/>
      <c r="B30" s="41"/>
      <c r="C30" s="44"/>
      <c r="D30" s="41"/>
    </row>
    <row r="31">
      <c r="A31" s="41"/>
      <c r="B31" s="41"/>
      <c r="C31" s="44"/>
      <c r="D31" s="41"/>
    </row>
    <row r="32">
      <c r="A32" s="41"/>
      <c r="B32" s="41"/>
      <c r="C32" s="44"/>
      <c r="D32" s="41"/>
    </row>
    <row r="33">
      <c r="A33" s="41"/>
      <c r="B33" s="41"/>
      <c r="C33" s="44"/>
      <c r="D33" s="41"/>
      <c r="E33" s="37"/>
    </row>
    <row r="34">
      <c r="A34" s="41"/>
      <c r="B34" s="41"/>
      <c r="C34" s="44"/>
      <c r="D34" s="41"/>
    </row>
    <row r="35">
      <c r="A35" s="41"/>
      <c r="B35" s="41"/>
      <c r="C35" s="44"/>
      <c r="D35" s="41"/>
    </row>
    <row r="36">
      <c r="A36" s="41"/>
      <c r="B36" s="41"/>
      <c r="C36" s="44"/>
      <c r="D36" s="41"/>
    </row>
    <row r="37">
      <c r="A37" s="45"/>
    </row>
    <row r="38">
      <c r="A38" s="45"/>
    </row>
    <row r="39">
      <c r="A39" s="45"/>
    </row>
    <row r="40">
      <c r="A40" s="45"/>
    </row>
    <row r="41">
      <c r="A41" s="45"/>
    </row>
    <row r="42">
      <c r="A42" s="46"/>
    </row>
    <row r="43">
      <c r="A43" s="45"/>
      <c r="B43" s="18"/>
    </row>
    <row r="44">
      <c r="A44" s="45"/>
    </row>
    <row r="45">
      <c r="A45" s="45"/>
    </row>
    <row r="46">
      <c r="A46" s="45"/>
    </row>
    <row r="47">
      <c r="A47" s="45"/>
    </row>
    <row r="48">
      <c r="A48" s="45"/>
    </row>
    <row r="49">
      <c r="A49" s="45"/>
    </row>
    <row r="50">
      <c r="A50" s="45"/>
    </row>
    <row r="51">
      <c r="A51" s="45"/>
    </row>
    <row r="52">
      <c r="A52" s="45"/>
    </row>
    <row r="53">
      <c r="A53" s="45"/>
    </row>
    <row r="54">
      <c r="A54" s="45"/>
    </row>
    <row r="55">
      <c r="A55" s="45"/>
    </row>
    <row r="57">
      <c r="A57" s="37" t="s">
        <v>68</v>
      </c>
    </row>
    <row r="58">
      <c r="A58" s="24" t="s">
        <v>69</v>
      </c>
      <c r="B58" s="24" t="s">
        <v>70</v>
      </c>
      <c r="C58" s="24" t="s">
        <v>71</v>
      </c>
      <c r="D58" s="24" t="s">
        <v>72</v>
      </c>
      <c r="E58" s="24" t="s">
        <v>73</v>
      </c>
    </row>
    <row r="59">
      <c r="A59" s="38" t="s">
        <v>74</v>
      </c>
      <c r="B59" s="39">
        <v>46304.0</v>
      </c>
      <c r="C59" s="38" t="s">
        <v>75</v>
      </c>
      <c r="D59" s="38">
        <v>24.0</v>
      </c>
      <c r="E59" s="38">
        <v>24.0</v>
      </c>
    </row>
    <row r="60">
      <c r="A60" s="47"/>
      <c r="B60" s="48"/>
      <c r="C60" s="47"/>
      <c r="D60" s="47"/>
      <c r="E60" s="47"/>
    </row>
    <row r="62">
      <c r="A62" s="24" t="s">
        <v>76</v>
      </c>
      <c r="B62" s="24" t="s">
        <v>77</v>
      </c>
    </row>
    <row r="63">
      <c r="A63" s="49" t="s">
        <v>78</v>
      </c>
      <c r="B63" s="47" t="s">
        <v>43</v>
      </c>
    </row>
    <row r="64">
      <c r="A64" s="50" t="s">
        <v>79</v>
      </c>
      <c r="B64" s="47" t="s">
        <v>43</v>
      </c>
    </row>
    <row r="65">
      <c r="A65" s="49" t="s">
        <v>80</v>
      </c>
      <c r="B65" s="47" t="s">
        <v>43</v>
      </c>
    </row>
    <row r="66">
      <c r="A66" s="50" t="s">
        <v>81</v>
      </c>
      <c r="B66" s="47" t="s">
        <v>43</v>
      </c>
    </row>
    <row r="67">
      <c r="A67" s="49" t="s">
        <v>82</v>
      </c>
      <c r="B67" s="47" t="s">
        <v>43</v>
      </c>
    </row>
    <row r="68">
      <c r="A68" s="50" t="s">
        <v>83</v>
      </c>
      <c r="B68" s="47" t="s">
        <v>43</v>
      </c>
    </row>
    <row r="69">
      <c r="A69" s="49" t="s">
        <v>84</v>
      </c>
      <c r="B69" s="47" t="s">
        <v>43</v>
      </c>
    </row>
    <row r="70">
      <c r="A70" s="50" t="s">
        <v>85</v>
      </c>
      <c r="B70" s="47" t="s">
        <v>43</v>
      </c>
    </row>
    <row r="71">
      <c r="A71" s="49" t="s">
        <v>86</v>
      </c>
      <c r="B71" s="47" t="s">
        <v>43</v>
      </c>
    </row>
    <row r="72">
      <c r="A72" s="50" t="s">
        <v>87</v>
      </c>
      <c r="B72" s="47" t="s">
        <v>43</v>
      </c>
    </row>
    <row r="73">
      <c r="A73" s="49" t="s">
        <v>88</v>
      </c>
      <c r="B73" s="47" t="s">
        <v>43</v>
      </c>
    </row>
    <row r="74">
      <c r="A74" s="50" t="s">
        <v>89</v>
      </c>
      <c r="B74" s="47" t="s">
        <v>43</v>
      </c>
    </row>
    <row r="75">
      <c r="A75" s="49" t="s">
        <v>90</v>
      </c>
      <c r="B75" s="47" t="s">
        <v>43</v>
      </c>
    </row>
    <row r="76">
      <c r="A76" s="50" t="s">
        <v>91</v>
      </c>
      <c r="B76" s="47" t="s">
        <v>43</v>
      </c>
    </row>
    <row r="77">
      <c r="A77" s="49" t="s">
        <v>92</v>
      </c>
      <c r="B77" s="47" t="s">
        <v>43</v>
      </c>
    </row>
    <row r="78">
      <c r="A78" s="50" t="s">
        <v>93</v>
      </c>
      <c r="B78" s="47" t="s">
        <v>43</v>
      </c>
    </row>
    <row r="79">
      <c r="A79" s="49" t="s">
        <v>94</v>
      </c>
      <c r="B79" s="47" t="s">
        <v>43</v>
      </c>
    </row>
    <row r="80">
      <c r="A80" s="50" t="s">
        <v>95</v>
      </c>
      <c r="B80" s="47" t="s">
        <v>43</v>
      </c>
    </row>
    <row r="81">
      <c r="A81" s="49" t="s">
        <v>88</v>
      </c>
      <c r="B81" s="47" t="s">
        <v>43</v>
      </c>
    </row>
    <row r="82">
      <c r="A82" s="50" t="s">
        <v>96</v>
      </c>
      <c r="B82" s="47" t="s">
        <v>43</v>
      </c>
    </row>
    <row r="83">
      <c r="A83" s="49" t="s">
        <v>97</v>
      </c>
      <c r="B83" s="47" t="s">
        <v>43</v>
      </c>
    </row>
    <row r="84">
      <c r="A84" s="50" t="s">
        <v>98</v>
      </c>
      <c r="B84" s="47" t="s">
        <v>43</v>
      </c>
    </row>
    <row r="85">
      <c r="A85" s="49" t="s">
        <v>99</v>
      </c>
      <c r="B85" s="47" t="s">
        <v>43</v>
      </c>
    </row>
    <row r="86">
      <c r="A86" s="50" t="s">
        <v>89</v>
      </c>
      <c r="B86" s="47" t="s">
        <v>43</v>
      </c>
    </row>
    <row r="87">
      <c r="A87" s="48"/>
      <c r="B87" s="47"/>
    </row>
    <row r="88">
      <c r="A88" s="48"/>
      <c r="B88" s="47"/>
    </row>
    <row r="89">
      <c r="A89" s="48"/>
      <c r="B89" s="47"/>
    </row>
    <row r="90">
      <c r="A90" s="48"/>
      <c r="B90" s="47"/>
    </row>
    <row r="91">
      <c r="A91" s="48"/>
      <c r="B91" s="47"/>
    </row>
    <row r="92">
      <c r="A92" s="48"/>
      <c r="B92" s="47"/>
    </row>
    <row r="93">
      <c r="A93" s="48"/>
      <c r="B93" s="47"/>
    </row>
    <row r="94">
      <c r="A94" s="48"/>
      <c r="B94" s="47"/>
    </row>
    <row r="95">
      <c r="A95" s="48"/>
      <c r="B95" s="47"/>
    </row>
    <row r="96">
      <c r="A96" s="48"/>
      <c r="B96" s="47"/>
    </row>
    <row r="97">
      <c r="A97" s="48"/>
      <c r="B97" s="47"/>
    </row>
  </sheetData>
  <mergeCells count="4">
    <mergeCell ref="A1:E1"/>
    <mergeCell ref="A2:E2"/>
    <mergeCell ref="A4:E4"/>
    <mergeCell ref="A57:E57"/>
  </mergeCells>
  <dataValidations>
    <dataValidation type="list" allowBlank="1" sqref="B7:B36 B63:B97">
      <formula1>"Dorm A,Dorm B,Dorm D,Dorm E,Meikokan"</formula1>
    </dataValidation>
    <dataValidation type="custom" allowBlank="1" showDropDown="1" sqref="C26:C31 B60 A63:A97">
      <formula1>OR(NOT(ISERROR(DATEVALUE(A26))), AND(ISNUMBER(A26), LEFT(CELL("format", A26))="D"))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9.88"/>
    <col customWidth="1" min="3" max="3" width="7.75"/>
    <col customWidth="1" min="4" max="4" width="14.88"/>
  </cols>
  <sheetData>
    <row r="1">
      <c r="A1" s="24" t="s">
        <v>50</v>
      </c>
      <c r="B1" s="24" t="s">
        <v>100</v>
      </c>
      <c r="C1" s="24" t="s">
        <v>101</v>
      </c>
      <c r="D1" s="24" t="s">
        <v>102</v>
      </c>
    </row>
    <row r="2">
      <c r="A2" s="19" t="s">
        <v>59</v>
      </c>
      <c r="B2" s="19" t="s">
        <v>43</v>
      </c>
      <c r="C2" s="19" t="s">
        <v>42</v>
      </c>
      <c r="D2" s="51">
        <v>46243.52298775463</v>
      </c>
    </row>
    <row r="3">
      <c r="A3" s="19" t="s">
        <v>103</v>
      </c>
      <c r="B3" s="19" t="s">
        <v>45</v>
      </c>
      <c r="C3" s="19" t="s">
        <v>43</v>
      </c>
      <c r="D3" s="51">
        <v>46244.5158484375</v>
      </c>
    </row>
    <row r="4">
      <c r="D4" s="23"/>
    </row>
    <row r="5">
      <c r="D5" s="23"/>
    </row>
    <row r="6">
      <c r="D6" s="23"/>
    </row>
    <row r="7">
      <c r="D7" s="23"/>
    </row>
    <row r="8">
      <c r="D8" s="23"/>
    </row>
    <row r="9">
      <c r="D9" s="23"/>
    </row>
    <row r="10">
      <c r="D10" s="23"/>
    </row>
    <row r="11">
      <c r="D11" s="23"/>
    </row>
    <row r="12">
      <c r="D12" s="23"/>
    </row>
    <row r="13">
      <c r="D13" s="23"/>
    </row>
    <row r="14">
      <c r="D14" s="23"/>
    </row>
    <row r="15">
      <c r="D15" s="23"/>
    </row>
    <row r="16">
      <c r="D16" s="23"/>
    </row>
    <row r="17">
      <c r="D17" s="23"/>
    </row>
    <row r="18">
      <c r="D18" s="23"/>
    </row>
    <row r="19">
      <c r="D19" s="23"/>
    </row>
    <row r="20">
      <c r="D20" s="23"/>
    </row>
    <row r="21">
      <c r="D21" s="23"/>
    </row>
    <row r="22">
      <c r="D22" s="23"/>
    </row>
    <row r="23">
      <c r="D23" s="23"/>
    </row>
    <row r="24">
      <c r="D24" s="23"/>
    </row>
    <row r="25">
      <c r="D25" s="23"/>
    </row>
    <row r="26">
      <c r="D26" s="23"/>
    </row>
    <row r="27">
      <c r="D27" s="23"/>
    </row>
    <row r="28">
      <c r="D28" s="23"/>
    </row>
    <row r="29">
      <c r="D29" s="23"/>
    </row>
    <row r="30">
      <c r="D30" s="23"/>
    </row>
    <row r="31">
      <c r="D31" s="23"/>
    </row>
    <row r="32">
      <c r="D32" s="23"/>
    </row>
    <row r="33">
      <c r="D33" s="23"/>
    </row>
    <row r="34">
      <c r="D34" s="23"/>
    </row>
    <row r="35">
      <c r="D35" s="23"/>
    </row>
    <row r="36">
      <c r="D36" s="23"/>
    </row>
    <row r="37">
      <c r="D37" s="23"/>
    </row>
    <row r="38">
      <c r="D38" s="23"/>
    </row>
    <row r="39">
      <c r="D39" s="23"/>
    </row>
    <row r="40">
      <c r="D40" s="23"/>
    </row>
    <row r="41">
      <c r="D41" s="23"/>
    </row>
    <row r="42">
      <c r="D42" s="23"/>
    </row>
    <row r="43">
      <c r="D43" s="23"/>
    </row>
    <row r="44">
      <c r="D44" s="23"/>
    </row>
    <row r="45">
      <c r="D45" s="23"/>
    </row>
    <row r="46">
      <c r="D46" s="23"/>
    </row>
    <row r="47">
      <c r="D47" s="23"/>
    </row>
    <row r="48">
      <c r="D48" s="23"/>
    </row>
    <row r="49">
      <c r="D49" s="23"/>
    </row>
    <row r="50">
      <c r="D50" s="23"/>
    </row>
    <row r="51">
      <c r="D51" s="23"/>
    </row>
    <row r="52">
      <c r="D52" s="23"/>
    </row>
    <row r="53">
      <c r="D53" s="23"/>
    </row>
    <row r="54">
      <c r="D54" s="23"/>
    </row>
    <row r="55">
      <c r="D55" s="23"/>
    </row>
    <row r="56">
      <c r="D56" s="23"/>
    </row>
    <row r="57">
      <c r="D57" s="23"/>
    </row>
    <row r="58">
      <c r="D58" s="23"/>
    </row>
    <row r="59">
      <c r="D59" s="23"/>
    </row>
    <row r="60">
      <c r="D60" s="23"/>
    </row>
    <row r="61">
      <c r="D61" s="23"/>
    </row>
    <row r="62">
      <c r="D62" s="23"/>
    </row>
    <row r="63">
      <c r="D63" s="23"/>
    </row>
    <row r="64">
      <c r="D64" s="23"/>
    </row>
    <row r="65">
      <c r="D65" s="23"/>
    </row>
    <row r="66">
      <c r="D66" s="23"/>
    </row>
    <row r="67">
      <c r="D67" s="23"/>
    </row>
    <row r="68">
      <c r="D68" s="23"/>
    </row>
    <row r="69">
      <c r="D69" s="23"/>
    </row>
    <row r="70">
      <c r="D70" s="23"/>
    </row>
    <row r="71">
      <c r="D71" s="23"/>
    </row>
    <row r="72">
      <c r="D72" s="23"/>
    </row>
    <row r="73">
      <c r="D73" s="23"/>
    </row>
    <row r="74">
      <c r="D74" s="23"/>
    </row>
    <row r="75">
      <c r="D75" s="23"/>
    </row>
    <row r="76">
      <c r="D76" s="23"/>
    </row>
    <row r="77">
      <c r="D77" s="23"/>
    </row>
    <row r="78">
      <c r="D78" s="23"/>
    </row>
    <row r="79">
      <c r="D79" s="23"/>
    </row>
    <row r="80">
      <c r="D80" s="23"/>
    </row>
    <row r="81">
      <c r="D81" s="23"/>
    </row>
    <row r="82">
      <c r="D82" s="23"/>
    </row>
    <row r="83">
      <c r="D83" s="23"/>
    </row>
    <row r="84">
      <c r="D84" s="23"/>
    </row>
    <row r="85">
      <c r="D85" s="23"/>
    </row>
    <row r="86">
      <c r="D86" s="23"/>
    </row>
    <row r="87">
      <c r="D87" s="23"/>
    </row>
    <row r="88">
      <c r="D88" s="23"/>
    </row>
    <row r="89">
      <c r="D89" s="23"/>
    </row>
    <row r="90">
      <c r="D90" s="23"/>
    </row>
    <row r="91">
      <c r="D91" s="23"/>
    </row>
    <row r="92">
      <c r="D92" s="23"/>
    </row>
    <row r="93">
      <c r="D93" s="23"/>
    </row>
    <row r="94">
      <c r="D94" s="23"/>
    </row>
    <row r="95">
      <c r="D95" s="23"/>
    </row>
    <row r="96">
      <c r="D96" s="23"/>
    </row>
    <row r="97">
      <c r="D97" s="23"/>
    </row>
    <row r="98">
      <c r="D98" s="23"/>
    </row>
    <row r="99">
      <c r="D99" s="23"/>
    </row>
    <row r="100">
      <c r="D100" s="23"/>
    </row>
    <row r="101">
      <c r="D101" s="23"/>
    </row>
    <row r="102">
      <c r="D102" s="23"/>
    </row>
    <row r="103">
      <c r="D103" s="23"/>
    </row>
    <row r="104">
      <c r="D104" s="23"/>
    </row>
    <row r="105">
      <c r="D105" s="23"/>
    </row>
    <row r="106">
      <c r="D106" s="23"/>
    </row>
    <row r="107">
      <c r="D107" s="23"/>
    </row>
    <row r="108">
      <c r="D108" s="23"/>
    </row>
    <row r="109">
      <c r="D109" s="23"/>
    </row>
    <row r="110">
      <c r="D110" s="23"/>
    </row>
    <row r="111">
      <c r="D111" s="23"/>
    </row>
    <row r="112">
      <c r="D112" s="23"/>
    </row>
    <row r="113">
      <c r="D113" s="23"/>
    </row>
    <row r="114">
      <c r="D114" s="23"/>
    </row>
    <row r="115">
      <c r="D115" s="23"/>
    </row>
    <row r="116">
      <c r="D116" s="23"/>
    </row>
    <row r="117">
      <c r="D117" s="23"/>
    </row>
    <row r="118">
      <c r="D118" s="23"/>
    </row>
    <row r="119">
      <c r="D119" s="23"/>
    </row>
    <row r="120">
      <c r="D120" s="23"/>
    </row>
    <row r="121">
      <c r="D121" s="23"/>
    </row>
    <row r="122">
      <c r="D122" s="23"/>
    </row>
    <row r="123">
      <c r="D123" s="23"/>
    </row>
    <row r="124">
      <c r="D124" s="23"/>
    </row>
    <row r="125">
      <c r="D125" s="23"/>
    </row>
    <row r="126">
      <c r="D126" s="23"/>
    </row>
    <row r="127">
      <c r="D127" s="23"/>
    </row>
    <row r="128">
      <c r="D128" s="23"/>
    </row>
    <row r="129">
      <c r="D129" s="23"/>
    </row>
    <row r="130">
      <c r="D130" s="23"/>
    </row>
    <row r="131">
      <c r="D131" s="23"/>
    </row>
    <row r="132">
      <c r="D132" s="23"/>
    </row>
    <row r="133">
      <c r="D133" s="23"/>
    </row>
    <row r="134">
      <c r="D134" s="23"/>
    </row>
    <row r="135">
      <c r="D135" s="23"/>
    </row>
    <row r="136">
      <c r="D136" s="23"/>
    </row>
    <row r="137">
      <c r="D137" s="23"/>
    </row>
    <row r="138">
      <c r="D138" s="23"/>
    </row>
    <row r="139">
      <c r="D139" s="23"/>
    </row>
    <row r="140">
      <c r="D140" s="23"/>
    </row>
    <row r="141">
      <c r="D141" s="23"/>
    </row>
    <row r="142">
      <c r="D142" s="23"/>
    </row>
    <row r="143">
      <c r="D143" s="23"/>
    </row>
    <row r="144">
      <c r="D144" s="23"/>
    </row>
    <row r="145">
      <c r="D145" s="23"/>
    </row>
    <row r="146">
      <c r="D146" s="23"/>
    </row>
    <row r="147">
      <c r="D147" s="23"/>
    </row>
    <row r="148">
      <c r="D148" s="23"/>
    </row>
    <row r="149">
      <c r="D149" s="23"/>
    </row>
    <row r="150">
      <c r="D150" s="23"/>
    </row>
    <row r="151">
      <c r="D151" s="23"/>
    </row>
    <row r="152">
      <c r="D152" s="23"/>
    </row>
    <row r="153">
      <c r="D153" s="23"/>
    </row>
    <row r="154">
      <c r="D154" s="23"/>
    </row>
    <row r="155">
      <c r="D155" s="23"/>
    </row>
    <row r="156">
      <c r="D156" s="23"/>
    </row>
    <row r="157">
      <c r="D157" s="23"/>
    </row>
    <row r="158">
      <c r="D158" s="23"/>
    </row>
    <row r="159">
      <c r="D159" s="23"/>
    </row>
    <row r="160">
      <c r="D160" s="23"/>
    </row>
    <row r="161">
      <c r="D161" s="23"/>
    </row>
    <row r="162">
      <c r="D162" s="23"/>
    </row>
    <row r="163">
      <c r="D163" s="23"/>
    </row>
    <row r="164">
      <c r="D164" s="23"/>
    </row>
    <row r="165">
      <c r="D165" s="23"/>
    </row>
    <row r="166">
      <c r="D166" s="23"/>
    </row>
    <row r="167">
      <c r="D167" s="23"/>
    </row>
    <row r="168">
      <c r="D168" s="23"/>
    </row>
    <row r="169">
      <c r="D169" s="23"/>
    </row>
    <row r="170">
      <c r="D170" s="23"/>
    </row>
    <row r="171">
      <c r="D171" s="23"/>
    </row>
    <row r="172">
      <c r="D172" s="23"/>
    </row>
    <row r="173">
      <c r="D173" s="23"/>
    </row>
    <row r="174">
      <c r="D174" s="23"/>
    </row>
    <row r="175">
      <c r="D175" s="23"/>
    </row>
    <row r="176">
      <c r="D176" s="23"/>
    </row>
    <row r="177">
      <c r="D177" s="23"/>
    </row>
    <row r="178">
      <c r="D178" s="23"/>
    </row>
    <row r="179">
      <c r="D179" s="23"/>
    </row>
    <row r="180">
      <c r="D180" s="23"/>
    </row>
    <row r="181">
      <c r="D181" s="23"/>
    </row>
    <row r="182">
      <c r="D182" s="23"/>
    </row>
    <row r="183">
      <c r="D183" s="23"/>
    </row>
    <row r="184">
      <c r="D184" s="23"/>
    </row>
    <row r="185">
      <c r="D185" s="23"/>
    </row>
    <row r="186">
      <c r="D186" s="23"/>
    </row>
    <row r="187">
      <c r="D187" s="23"/>
    </row>
    <row r="188">
      <c r="D188" s="23"/>
    </row>
    <row r="189">
      <c r="D189" s="23"/>
    </row>
    <row r="190">
      <c r="D190" s="23"/>
    </row>
    <row r="191">
      <c r="D191" s="23"/>
    </row>
    <row r="192">
      <c r="D192" s="23"/>
    </row>
    <row r="193">
      <c r="D193" s="23"/>
    </row>
    <row r="194">
      <c r="D194" s="23"/>
    </row>
    <row r="195">
      <c r="D195" s="23"/>
    </row>
    <row r="196">
      <c r="D196" s="23"/>
    </row>
    <row r="197">
      <c r="D197" s="23"/>
    </row>
    <row r="198">
      <c r="D198" s="23"/>
    </row>
    <row r="199">
      <c r="D199" s="23"/>
    </row>
    <row r="200">
      <c r="D200" s="23"/>
    </row>
    <row r="201">
      <c r="D201" s="23"/>
    </row>
    <row r="202">
      <c r="D202" s="23"/>
    </row>
    <row r="203">
      <c r="D203" s="23"/>
    </row>
    <row r="204">
      <c r="D204" s="23"/>
    </row>
    <row r="205">
      <c r="D205" s="23"/>
    </row>
    <row r="206">
      <c r="D206" s="23"/>
    </row>
    <row r="207">
      <c r="D207" s="23"/>
    </row>
    <row r="208">
      <c r="D208" s="23"/>
    </row>
    <row r="209">
      <c r="D209" s="23"/>
    </row>
    <row r="210">
      <c r="D210" s="23"/>
    </row>
    <row r="211">
      <c r="D211" s="23"/>
    </row>
    <row r="212">
      <c r="D212" s="23"/>
    </row>
    <row r="213">
      <c r="D213" s="23"/>
    </row>
    <row r="214">
      <c r="D214" s="23"/>
    </row>
    <row r="215">
      <c r="D215" s="23"/>
    </row>
    <row r="216">
      <c r="D216" s="23"/>
    </row>
    <row r="217">
      <c r="D217" s="23"/>
    </row>
    <row r="218">
      <c r="D218" s="23"/>
    </row>
    <row r="219">
      <c r="D219" s="23"/>
    </row>
    <row r="220">
      <c r="D220" s="23"/>
    </row>
    <row r="221">
      <c r="D221" s="23"/>
    </row>
    <row r="222">
      <c r="D222" s="23"/>
    </row>
    <row r="223">
      <c r="D223" s="23"/>
    </row>
    <row r="224">
      <c r="D224" s="23"/>
    </row>
    <row r="225">
      <c r="D225" s="23"/>
    </row>
    <row r="226">
      <c r="D226" s="23"/>
    </row>
    <row r="227">
      <c r="D227" s="23"/>
    </row>
    <row r="228">
      <c r="D228" s="23"/>
    </row>
    <row r="229">
      <c r="D229" s="23"/>
    </row>
    <row r="230">
      <c r="D230" s="23"/>
    </row>
    <row r="231">
      <c r="D231" s="23"/>
    </row>
    <row r="232">
      <c r="D232" s="23"/>
    </row>
    <row r="233">
      <c r="D233" s="23"/>
    </row>
    <row r="234">
      <c r="D234" s="23"/>
    </row>
    <row r="235">
      <c r="D235" s="23"/>
    </row>
    <row r="236">
      <c r="D236" s="23"/>
    </row>
    <row r="237">
      <c r="D237" s="23"/>
    </row>
    <row r="238">
      <c r="D238" s="23"/>
    </row>
    <row r="239">
      <c r="D239" s="23"/>
    </row>
    <row r="240">
      <c r="D240" s="23"/>
    </row>
    <row r="241">
      <c r="D241" s="23"/>
    </row>
    <row r="242">
      <c r="D242" s="23"/>
    </row>
    <row r="243">
      <c r="D243" s="23"/>
    </row>
    <row r="244">
      <c r="D244" s="23"/>
    </row>
    <row r="245">
      <c r="D245" s="23"/>
    </row>
    <row r="246">
      <c r="D246" s="23"/>
    </row>
    <row r="247">
      <c r="D247" s="23"/>
    </row>
    <row r="248">
      <c r="D248" s="23"/>
    </row>
    <row r="249">
      <c r="D249" s="23"/>
    </row>
    <row r="250">
      <c r="D250" s="23"/>
    </row>
    <row r="251">
      <c r="D251" s="23"/>
    </row>
    <row r="252">
      <c r="D252" s="23"/>
    </row>
    <row r="253">
      <c r="D253" s="23"/>
    </row>
    <row r="254">
      <c r="D254" s="23"/>
    </row>
    <row r="255">
      <c r="D255" s="23"/>
    </row>
    <row r="256">
      <c r="D256" s="23"/>
    </row>
    <row r="257">
      <c r="D257" s="23"/>
    </row>
    <row r="258">
      <c r="D258" s="23"/>
    </row>
    <row r="259">
      <c r="D259" s="23"/>
    </row>
    <row r="260">
      <c r="D260" s="23"/>
    </row>
    <row r="261">
      <c r="D261" s="23"/>
    </row>
    <row r="262">
      <c r="D262" s="23"/>
    </row>
    <row r="263">
      <c r="D263" s="23"/>
    </row>
    <row r="264">
      <c r="D264" s="23"/>
    </row>
    <row r="265">
      <c r="D265" s="23"/>
    </row>
    <row r="266">
      <c r="D266" s="23"/>
    </row>
    <row r="267">
      <c r="D267" s="23"/>
    </row>
    <row r="268">
      <c r="D268" s="23"/>
    </row>
    <row r="269">
      <c r="D269" s="23"/>
    </row>
    <row r="270">
      <c r="D270" s="23"/>
    </row>
    <row r="271">
      <c r="D271" s="23"/>
    </row>
    <row r="272">
      <c r="D272" s="23"/>
    </row>
    <row r="273">
      <c r="D273" s="23"/>
    </row>
    <row r="274">
      <c r="D274" s="23"/>
    </row>
    <row r="275">
      <c r="D275" s="23"/>
    </row>
    <row r="276">
      <c r="D276" s="23"/>
    </row>
    <row r="277">
      <c r="D277" s="23"/>
    </row>
    <row r="278">
      <c r="D278" s="23"/>
    </row>
    <row r="279">
      <c r="D279" s="23"/>
    </row>
    <row r="280">
      <c r="D280" s="23"/>
    </row>
    <row r="281">
      <c r="D281" s="23"/>
    </row>
    <row r="282">
      <c r="D282" s="23"/>
    </row>
    <row r="283">
      <c r="D283" s="23"/>
    </row>
    <row r="284">
      <c r="D284" s="23"/>
    </row>
    <row r="285">
      <c r="D285" s="23"/>
    </row>
    <row r="286">
      <c r="D286" s="23"/>
    </row>
    <row r="287">
      <c r="D287" s="23"/>
    </row>
    <row r="288">
      <c r="D288" s="23"/>
    </row>
    <row r="289">
      <c r="D289" s="23"/>
    </row>
    <row r="290">
      <c r="D290" s="23"/>
    </row>
    <row r="291">
      <c r="D291" s="23"/>
    </row>
    <row r="292">
      <c r="D292" s="23"/>
    </row>
    <row r="293">
      <c r="D293" s="23"/>
    </row>
    <row r="294">
      <c r="D294" s="23"/>
    </row>
    <row r="295">
      <c r="D295" s="23"/>
    </row>
    <row r="296">
      <c r="D296" s="23"/>
    </row>
    <row r="297">
      <c r="D297" s="23"/>
    </row>
    <row r="298">
      <c r="D298" s="23"/>
    </row>
    <row r="299">
      <c r="D299" s="23"/>
    </row>
    <row r="300">
      <c r="D300" s="23"/>
    </row>
    <row r="301">
      <c r="D301" s="23"/>
    </row>
    <row r="302">
      <c r="D302" s="23"/>
    </row>
    <row r="303">
      <c r="D303" s="23"/>
    </row>
    <row r="304">
      <c r="D304" s="23"/>
    </row>
    <row r="305">
      <c r="D305" s="23"/>
    </row>
    <row r="306">
      <c r="D306" s="23"/>
    </row>
    <row r="307">
      <c r="D307" s="23"/>
    </row>
    <row r="308">
      <c r="D308" s="23"/>
    </row>
    <row r="309">
      <c r="D309" s="23"/>
    </row>
    <row r="310">
      <c r="D310" s="23"/>
    </row>
    <row r="311">
      <c r="D311" s="23"/>
    </row>
    <row r="312">
      <c r="D312" s="23"/>
    </row>
    <row r="313">
      <c r="D313" s="23"/>
    </row>
    <row r="314">
      <c r="D314" s="23"/>
    </row>
    <row r="315">
      <c r="D315" s="23"/>
    </row>
    <row r="316">
      <c r="D316" s="23"/>
    </row>
    <row r="317">
      <c r="D317" s="23"/>
    </row>
    <row r="318">
      <c r="D318" s="23"/>
    </row>
    <row r="319">
      <c r="D319" s="23"/>
    </row>
    <row r="320">
      <c r="D320" s="23"/>
    </row>
    <row r="321">
      <c r="D321" s="23"/>
    </row>
    <row r="322">
      <c r="D322" s="23"/>
    </row>
    <row r="323">
      <c r="D323" s="23"/>
    </row>
    <row r="324">
      <c r="D324" s="23"/>
    </row>
    <row r="325">
      <c r="D325" s="23"/>
    </row>
    <row r="326">
      <c r="D326" s="23"/>
    </row>
    <row r="327">
      <c r="D327" s="23"/>
    </row>
    <row r="328">
      <c r="D328" s="23"/>
    </row>
    <row r="329">
      <c r="D329" s="23"/>
    </row>
    <row r="330">
      <c r="D330" s="23"/>
    </row>
    <row r="331">
      <c r="D331" s="23"/>
    </row>
    <row r="332">
      <c r="D332" s="23"/>
    </row>
    <row r="333">
      <c r="D333" s="23"/>
    </row>
    <row r="334">
      <c r="D334" s="23"/>
    </row>
    <row r="335">
      <c r="D335" s="23"/>
    </row>
    <row r="336">
      <c r="D336" s="23"/>
    </row>
    <row r="337">
      <c r="D337" s="23"/>
    </row>
    <row r="338">
      <c r="D338" s="23"/>
    </row>
    <row r="339">
      <c r="D339" s="23"/>
    </row>
    <row r="340">
      <c r="D340" s="23"/>
    </row>
    <row r="341">
      <c r="D341" s="23"/>
    </row>
    <row r="342">
      <c r="D342" s="23"/>
    </row>
    <row r="343">
      <c r="D343" s="23"/>
    </row>
    <row r="344">
      <c r="D344" s="23"/>
    </row>
    <row r="345">
      <c r="D345" s="23"/>
    </row>
    <row r="346">
      <c r="D346" s="23"/>
    </row>
    <row r="347">
      <c r="D347" s="23"/>
    </row>
    <row r="348">
      <c r="D348" s="23"/>
    </row>
    <row r="349">
      <c r="D349" s="23"/>
    </row>
    <row r="350">
      <c r="D350" s="23"/>
    </row>
    <row r="351">
      <c r="D351" s="23"/>
    </row>
    <row r="352">
      <c r="D352" s="23"/>
    </row>
    <row r="353">
      <c r="D353" s="23"/>
    </row>
    <row r="354">
      <c r="D354" s="23"/>
    </row>
    <row r="355">
      <c r="D355" s="23"/>
    </row>
    <row r="356">
      <c r="D356" s="23"/>
    </row>
    <row r="357">
      <c r="D357" s="23"/>
    </row>
    <row r="358">
      <c r="D358" s="23"/>
    </row>
    <row r="359">
      <c r="D359" s="23"/>
    </row>
    <row r="360">
      <c r="D360" s="23"/>
    </row>
    <row r="361">
      <c r="D361" s="23"/>
    </row>
    <row r="362">
      <c r="D362" s="23"/>
    </row>
    <row r="363">
      <c r="D363" s="23"/>
    </row>
    <row r="364">
      <c r="D364" s="23"/>
    </row>
    <row r="365">
      <c r="D365" s="23"/>
    </row>
    <row r="366">
      <c r="D366" s="23"/>
    </row>
    <row r="367">
      <c r="D367" s="23"/>
    </row>
    <row r="368">
      <c r="D368" s="23"/>
    </row>
    <row r="369">
      <c r="D369" s="23"/>
    </row>
    <row r="370">
      <c r="D370" s="23"/>
    </row>
    <row r="371">
      <c r="D371" s="23"/>
    </row>
    <row r="372">
      <c r="D372" s="23"/>
    </row>
    <row r="373">
      <c r="D373" s="23"/>
    </row>
    <row r="374">
      <c r="D374" s="23"/>
    </row>
    <row r="375">
      <c r="D375" s="23"/>
    </row>
    <row r="376">
      <c r="D376" s="23"/>
    </row>
    <row r="377">
      <c r="D377" s="23"/>
    </row>
    <row r="378">
      <c r="D378" s="23"/>
    </row>
    <row r="379">
      <c r="D379" s="23"/>
    </row>
    <row r="380">
      <c r="D380" s="23"/>
    </row>
    <row r="381">
      <c r="D381" s="23"/>
    </row>
    <row r="382">
      <c r="D382" s="23"/>
    </row>
    <row r="383">
      <c r="D383" s="23"/>
    </row>
    <row r="384">
      <c r="D384" s="23"/>
    </row>
    <row r="385">
      <c r="D385" s="23"/>
    </row>
    <row r="386">
      <c r="D386" s="23"/>
    </row>
    <row r="387">
      <c r="D387" s="23"/>
    </row>
    <row r="388">
      <c r="D388" s="23"/>
    </row>
    <row r="389">
      <c r="D389" s="23"/>
    </row>
    <row r="390">
      <c r="D390" s="23"/>
    </row>
    <row r="391">
      <c r="D391" s="23"/>
    </row>
    <row r="392">
      <c r="D392" s="23"/>
    </row>
    <row r="393">
      <c r="D393" s="23"/>
    </row>
    <row r="394">
      <c r="D394" s="23"/>
    </row>
    <row r="395">
      <c r="D395" s="23"/>
    </row>
    <row r="396">
      <c r="D396" s="23"/>
    </row>
    <row r="397">
      <c r="D397" s="23"/>
    </row>
    <row r="398">
      <c r="D398" s="23"/>
    </row>
    <row r="399">
      <c r="D399" s="23"/>
    </row>
    <row r="400">
      <c r="D400" s="23"/>
    </row>
    <row r="401">
      <c r="D401" s="23"/>
    </row>
    <row r="402">
      <c r="D402" s="23"/>
    </row>
    <row r="403">
      <c r="D403" s="23"/>
    </row>
    <row r="404">
      <c r="D404" s="23"/>
    </row>
    <row r="405">
      <c r="D405" s="23"/>
    </row>
    <row r="406">
      <c r="D406" s="23"/>
    </row>
    <row r="407">
      <c r="D407" s="23"/>
    </row>
    <row r="408">
      <c r="D408" s="23"/>
    </row>
    <row r="409">
      <c r="D409" s="23"/>
    </row>
    <row r="410">
      <c r="D410" s="23"/>
    </row>
    <row r="411">
      <c r="D411" s="23"/>
    </row>
    <row r="412">
      <c r="D412" s="23"/>
    </row>
    <row r="413">
      <c r="D413" s="23"/>
    </row>
    <row r="414">
      <c r="D414" s="23"/>
    </row>
    <row r="415">
      <c r="D415" s="23"/>
    </row>
    <row r="416">
      <c r="D416" s="23"/>
    </row>
    <row r="417">
      <c r="D417" s="23"/>
    </row>
    <row r="418">
      <c r="D418" s="23"/>
    </row>
    <row r="419">
      <c r="D419" s="23"/>
    </row>
    <row r="420">
      <c r="D420" s="23"/>
    </row>
    <row r="421">
      <c r="D421" s="23"/>
    </row>
    <row r="422">
      <c r="D422" s="23"/>
    </row>
    <row r="423">
      <c r="D423" s="23"/>
    </row>
    <row r="424">
      <c r="D424" s="23"/>
    </row>
    <row r="425">
      <c r="D425" s="23"/>
    </row>
    <row r="426">
      <c r="D426" s="23"/>
    </row>
    <row r="427">
      <c r="D427" s="23"/>
    </row>
    <row r="428">
      <c r="D428" s="23"/>
    </row>
    <row r="429">
      <c r="D429" s="23"/>
    </row>
    <row r="430">
      <c r="D430" s="23"/>
    </row>
    <row r="431">
      <c r="D431" s="23"/>
    </row>
    <row r="432">
      <c r="D432" s="23"/>
    </row>
    <row r="433">
      <c r="D433" s="23"/>
    </row>
    <row r="434">
      <c r="D434" s="23"/>
    </row>
    <row r="435">
      <c r="D435" s="23"/>
    </row>
    <row r="436">
      <c r="D436" s="23"/>
    </row>
    <row r="437">
      <c r="D437" s="23"/>
    </row>
    <row r="438">
      <c r="D438" s="23"/>
    </row>
    <row r="439">
      <c r="D439" s="23"/>
    </row>
    <row r="440">
      <c r="D440" s="23"/>
    </row>
    <row r="441">
      <c r="D441" s="23"/>
    </row>
    <row r="442">
      <c r="D442" s="23"/>
    </row>
    <row r="443">
      <c r="D443" s="23"/>
    </row>
    <row r="444">
      <c r="D444" s="23"/>
    </row>
    <row r="445">
      <c r="D445" s="23"/>
    </row>
    <row r="446">
      <c r="D446" s="23"/>
    </row>
    <row r="447">
      <c r="D447" s="23"/>
    </row>
    <row r="448">
      <c r="D448" s="23"/>
    </row>
    <row r="449">
      <c r="D449" s="23"/>
    </row>
    <row r="450">
      <c r="D450" s="23"/>
    </row>
    <row r="451">
      <c r="D451" s="23"/>
    </row>
    <row r="452">
      <c r="D452" s="23"/>
    </row>
    <row r="453">
      <c r="D453" s="23"/>
    </row>
    <row r="454">
      <c r="D454" s="23"/>
    </row>
    <row r="455">
      <c r="D455" s="23"/>
    </row>
    <row r="456">
      <c r="D456" s="23"/>
    </row>
    <row r="457">
      <c r="D457" s="23"/>
    </row>
    <row r="458">
      <c r="D458" s="23"/>
    </row>
    <row r="459">
      <c r="D459" s="23"/>
    </row>
    <row r="460">
      <c r="D460" s="23"/>
    </row>
    <row r="461">
      <c r="D461" s="23"/>
    </row>
    <row r="462">
      <c r="D462" s="23"/>
    </row>
    <row r="463">
      <c r="D463" s="23"/>
    </row>
    <row r="464">
      <c r="D464" s="23"/>
    </row>
    <row r="465">
      <c r="D465" s="23"/>
    </row>
    <row r="466">
      <c r="D466" s="23"/>
    </row>
    <row r="467">
      <c r="D467" s="23"/>
    </row>
    <row r="468">
      <c r="D468" s="23"/>
    </row>
    <row r="469">
      <c r="D469" s="23"/>
    </row>
    <row r="470">
      <c r="D470" s="23"/>
    </row>
    <row r="471">
      <c r="D471" s="23"/>
    </row>
    <row r="472">
      <c r="D472" s="23"/>
    </row>
    <row r="473">
      <c r="D473" s="23"/>
    </row>
    <row r="474">
      <c r="D474" s="23"/>
    </row>
    <row r="475">
      <c r="D475" s="23"/>
    </row>
    <row r="476">
      <c r="D476" s="23"/>
    </row>
    <row r="477">
      <c r="D477" s="23"/>
    </row>
    <row r="478">
      <c r="D478" s="23"/>
    </row>
    <row r="479">
      <c r="D479" s="23"/>
    </row>
    <row r="480">
      <c r="D480" s="23"/>
    </row>
    <row r="481">
      <c r="D481" s="23"/>
    </row>
    <row r="482">
      <c r="D482" s="23"/>
    </row>
    <row r="483">
      <c r="D483" s="23"/>
    </row>
    <row r="484">
      <c r="D484" s="23"/>
    </row>
    <row r="485">
      <c r="D485" s="23"/>
    </row>
    <row r="486">
      <c r="D486" s="23"/>
    </row>
    <row r="487">
      <c r="D487" s="23"/>
    </row>
    <row r="488">
      <c r="D488" s="23"/>
    </row>
    <row r="489">
      <c r="D489" s="23"/>
    </row>
    <row r="490">
      <c r="D490" s="23"/>
    </row>
    <row r="491">
      <c r="D491" s="23"/>
    </row>
    <row r="492">
      <c r="D492" s="23"/>
    </row>
    <row r="493">
      <c r="D493" s="23"/>
    </row>
    <row r="494">
      <c r="D494" s="23"/>
    </row>
    <row r="495">
      <c r="D495" s="23"/>
    </row>
    <row r="496">
      <c r="D496" s="23"/>
    </row>
    <row r="497">
      <c r="D497" s="23"/>
    </row>
    <row r="498">
      <c r="D498" s="23"/>
    </row>
    <row r="499">
      <c r="D499" s="23"/>
    </row>
    <row r="500">
      <c r="D500" s="23"/>
    </row>
    <row r="501">
      <c r="D501" s="23"/>
    </row>
    <row r="502">
      <c r="D502" s="23"/>
    </row>
    <row r="503">
      <c r="D503" s="23"/>
    </row>
    <row r="504">
      <c r="D504" s="23"/>
    </row>
    <row r="505">
      <c r="D505" s="23"/>
    </row>
    <row r="506">
      <c r="D506" s="23"/>
    </row>
    <row r="507">
      <c r="D507" s="23"/>
    </row>
    <row r="508">
      <c r="D508" s="23"/>
    </row>
    <row r="509">
      <c r="D509" s="23"/>
    </row>
    <row r="510">
      <c r="D510" s="23"/>
    </row>
    <row r="511">
      <c r="D511" s="23"/>
    </row>
    <row r="512">
      <c r="D512" s="23"/>
    </row>
    <row r="513">
      <c r="D513" s="23"/>
    </row>
    <row r="514">
      <c r="D514" s="23"/>
    </row>
    <row r="515">
      <c r="D515" s="23"/>
    </row>
    <row r="516">
      <c r="D516" s="23"/>
    </row>
    <row r="517">
      <c r="D517" s="23"/>
    </row>
    <row r="518">
      <c r="D518" s="23"/>
    </row>
    <row r="519">
      <c r="D519" s="23"/>
    </row>
    <row r="520">
      <c r="D520" s="23"/>
    </row>
    <row r="521">
      <c r="D521" s="23"/>
    </row>
    <row r="522">
      <c r="D522" s="23"/>
    </row>
    <row r="523">
      <c r="D523" s="23"/>
    </row>
    <row r="524">
      <c r="D524" s="23"/>
    </row>
    <row r="525">
      <c r="D525" s="23"/>
    </row>
    <row r="526">
      <c r="D526" s="23"/>
    </row>
    <row r="527">
      <c r="D527" s="23"/>
    </row>
    <row r="528">
      <c r="D528" s="23"/>
    </row>
    <row r="529">
      <c r="D529" s="23"/>
    </row>
    <row r="530">
      <c r="D530" s="23"/>
    </row>
    <row r="531">
      <c r="D531" s="23"/>
    </row>
    <row r="532">
      <c r="D532" s="23"/>
    </row>
    <row r="533">
      <c r="D533" s="23"/>
    </row>
    <row r="534">
      <c r="D534" s="23"/>
    </row>
    <row r="535">
      <c r="D535" s="23"/>
    </row>
    <row r="536">
      <c r="D536" s="23"/>
    </row>
    <row r="537">
      <c r="D537" s="23"/>
    </row>
    <row r="538">
      <c r="D538" s="23"/>
    </row>
    <row r="539">
      <c r="D539" s="23"/>
    </row>
    <row r="540">
      <c r="D540" s="23"/>
    </row>
    <row r="541">
      <c r="D541" s="23"/>
    </row>
    <row r="542">
      <c r="D542" s="23"/>
    </row>
    <row r="543">
      <c r="D543" s="23"/>
    </row>
    <row r="544">
      <c r="D544" s="23"/>
    </row>
    <row r="545">
      <c r="D545" s="23"/>
    </row>
    <row r="546">
      <c r="D546" s="23"/>
    </row>
    <row r="547">
      <c r="D547" s="23"/>
    </row>
    <row r="548">
      <c r="D548" s="23"/>
    </row>
    <row r="549">
      <c r="D549" s="23"/>
    </row>
    <row r="550">
      <c r="D550" s="23"/>
    </row>
    <row r="551">
      <c r="D551" s="23"/>
    </row>
    <row r="552">
      <c r="D552" s="23"/>
    </row>
    <row r="553">
      <c r="D553" s="23"/>
    </row>
    <row r="554">
      <c r="D554" s="23"/>
    </row>
    <row r="555">
      <c r="D555" s="23"/>
    </row>
    <row r="556">
      <c r="D556" s="23"/>
    </row>
    <row r="557">
      <c r="D557" s="23"/>
    </row>
    <row r="558">
      <c r="D558" s="23"/>
    </row>
    <row r="559">
      <c r="D559" s="23"/>
    </row>
    <row r="560">
      <c r="D560" s="23"/>
    </row>
    <row r="561">
      <c r="D561" s="23"/>
    </row>
    <row r="562">
      <c r="D562" s="23"/>
    </row>
    <row r="563">
      <c r="D563" s="23"/>
    </row>
    <row r="564">
      <c r="D564" s="23"/>
    </row>
    <row r="565">
      <c r="D565" s="23"/>
    </row>
    <row r="566">
      <c r="D566" s="23"/>
    </row>
    <row r="567">
      <c r="D567" s="23"/>
    </row>
    <row r="568">
      <c r="D568" s="23"/>
    </row>
    <row r="569">
      <c r="D569" s="23"/>
    </row>
    <row r="570">
      <c r="D570" s="23"/>
    </row>
    <row r="571">
      <c r="D571" s="23"/>
    </row>
    <row r="572">
      <c r="D572" s="23"/>
    </row>
    <row r="573">
      <c r="D573" s="23"/>
    </row>
    <row r="574">
      <c r="D574" s="23"/>
    </row>
    <row r="575">
      <c r="D575" s="23"/>
    </row>
    <row r="576">
      <c r="D576" s="23"/>
    </row>
    <row r="577">
      <c r="D577" s="23"/>
    </row>
    <row r="578">
      <c r="D578" s="23"/>
    </row>
    <row r="579">
      <c r="D579" s="23"/>
    </row>
    <row r="580">
      <c r="D580" s="23"/>
    </row>
    <row r="581">
      <c r="D581" s="23"/>
    </row>
    <row r="582">
      <c r="D582" s="23"/>
    </row>
    <row r="583">
      <c r="D583" s="23"/>
    </row>
    <row r="584">
      <c r="D584" s="23"/>
    </row>
    <row r="585">
      <c r="D585" s="23"/>
    </row>
    <row r="586">
      <c r="D586" s="23"/>
    </row>
    <row r="587">
      <c r="D587" s="23"/>
    </row>
    <row r="588">
      <c r="D588" s="23"/>
    </row>
    <row r="589">
      <c r="D589" s="23"/>
    </row>
    <row r="590">
      <c r="D590" s="23"/>
    </row>
    <row r="591">
      <c r="D591" s="23"/>
    </row>
    <row r="592">
      <c r="D592" s="23"/>
    </row>
    <row r="593">
      <c r="D593" s="23"/>
    </row>
    <row r="594">
      <c r="D594" s="23"/>
    </row>
    <row r="595">
      <c r="D595" s="23"/>
    </row>
    <row r="596">
      <c r="D596" s="23"/>
    </row>
    <row r="597">
      <c r="D597" s="23"/>
    </row>
    <row r="598">
      <c r="D598" s="23"/>
    </row>
    <row r="599">
      <c r="D599" s="23"/>
    </row>
    <row r="600">
      <c r="D600" s="23"/>
    </row>
    <row r="601">
      <c r="D601" s="23"/>
    </row>
    <row r="602">
      <c r="D602" s="23"/>
    </row>
    <row r="603">
      <c r="D603" s="23"/>
    </row>
    <row r="604">
      <c r="D604" s="23"/>
    </row>
    <row r="605">
      <c r="D605" s="23"/>
    </row>
    <row r="606">
      <c r="D606" s="23"/>
    </row>
    <row r="607">
      <c r="D607" s="23"/>
    </row>
    <row r="608">
      <c r="D608" s="23"/>
    </row>
    <row r="609">
      <c r="D609" s="23"/>
    </row>
    <row r="610">
      <c r="D610" s="23"/>
    </row>
    <row r="611">
      <c r="D611" s="23"/>
    </row>
    <row r="612">
      <c r="D612" s="23"/>
    </row>
    <row r="613">
      <c r="D613" s="23"/>
    </row>
    <row r="614">
      <c r="D614" s="23"/>
    </row>
    <row r="615">
      <c r="D615" s="23"/>
    </row>
    <row r="616">
      <c r="D616" s="23"/>
    </row>
    <row r="617">
      <c r="D617" s="23"/>
    </row>
    <row r="618">
      <c r="D618" s="23"/>
    </row>
    <row r="619">
      <c r="D619" s="23"/>
    </row>
    <row r="620">
      <c r="D620" s="23"/>
    </row>
    <row r="621">
      <c r="D621" s="23"/>
    </row>
    <row r="622">
      <c r="D622" s="23"/>
    </row>
    <row r="623">
      <c r="D623" s="23"/>
    </row>
    <row r="624">
      <c r="D624" s="23"/>
    </row>
    <row r="625">
      <c r="D625" s="23"/>
    </row>
    <row r="626">
      <c r="D626" s="23"/>
    </row>
    <row r="627">
      <c r="D627" s="23"/>
    </row>
    <row r="628">
      <c r="D628" s="23"/>
    </row>
    <row r="629">
      <c r="D629" s="23"/>
    </row>
    <row r="630">
      <c r="D630" s="23"/>
    </row>
    <row r="631">
      <c r="D631" s="23"/>
    </row>
    <row r="632">
      <c r="D632" s="23"/>
    </row>
    <row r="633">
      <c r="D633" s="23"/>
    </row>
    <row r="634">
      <c r="D634" s="23"/>
    </row>
    <row r="635">
      <c r="D635" s="23"/>
    </row>
    <row r="636">
      <c r="D636" s="23"/>
    </row>
    <row r="637">
      <c r="D637" s="23"/>
    </row>
    <row r="638">
      <c r="D638" s="23"/>
    </row>
    <row r="639">
      <c r="D639" s="23"/>
    </row>
    <row r="640">
      <c r="D640" s="23"/>
    </row>
    <row r="641">
      <c r="D641" s="23"/>
    </row>
    <row r="642">
      <c r="D642" s="23"/>
    </row>
    <row r="643">
      <c r="D643" s="23"/>
    </row>
    <row r="644">
      <c r="D644" s="23"/>
    </row>
    <row r="645">
      <c r="D645" s="23"/>
    </row>
    <row r="646">
      <c r="D646" s="23"/>
    </row>
    <row r="647">
      <c r="D647" s="23"/>
    </row>
    <row r="648">
      <c r="D648" s="23"/>
    </row>
    <row r="649">
      <c r="D649" s="23"/>
    </row>
    <row r="650">
      <c r="D650" s="23"/>
    </row>
    <row r="651">
      <c r="D651" s="23"/>
    </row>
    <row r="652">
      <c r="D652" s="23"/>
    </row>
    <row r="653">
      <c r="D653" s="23"/>
    </row>
    <row r="654">
      <c r="D654" s="23"/>
    </row>
    <row r="655">
      <c r="D655" s="23"/>
    </row>
    <row r="656">
      <c r="D656" s="23"/>
    </row>
    <row r="657">
      <c r="D657" s="23"/>
    </row>
    <row r="658">
      <c r="D658" s="23"/>
    </row>
    <row r="659">
      <c r="D659" s="23"/>
    </row>
    <row r="660">
      <c r="D660" s="23"/>
    </row>
    <row r="661">
      <c r="D661" s="23"/>
    </row>
    <row r="662">
      <c r="D662" s="23"/>
    </row>
    <row r="663">
      <c r="D663" s="23"/>
    </row>
    <row r="664">
      <c r="D664" s="23"/>
    </row>
    <row r="665">
      <c r="D665" s="23"/>
    </row>
    <row r="666">
      <c r="D666" s="23"/>
    </row>
    <row r="667">
      <c r="D667" s="23"/>
    </row>
    <row r="668">
      <c r="D668" s="23"/>
    </row>
    <row r="669">
      <c r="D669" s="23"/>
    </row>
    <row r="670">
      <c r="D670" s="23"/>
    </row>
    <row r="671">
      <c r="D671" s="23"/>
    </row>
    <row r="672">
      <c r="D672" s="23"/>
    </row>
    <row r="673">
      <c r="D673" s="23"/>
    </row>
    <row r="674">
      <c r="D674" s="23"/>
    </row>
    <row r="675">
      <c r="D675" s="23"/>
    </row>
    <row r="676">
      <c r="D676" s="23"/>
    </row>
    <row r="677">
      <c r="D677" s="23"/>
    </row>
    <row r="678">
      <c r="D678" s="23"/>
    </row>
    <row r="679">
      <c r="D679" s="23"/>
    </row>
    <row r="680">
      <c r="D680" s="23"/>
    </row>
    <row r="681">
      <c r="D681" s="23"/>
    </row>
    <row r="682">
      <c r="D682" s="23"/>
    </row>
    <row r="683">
      <c r="D683" s="23"/>
    </row>
    <row r="684">
      <c r="D684" s="23"/>
    </row>
    <row r="685">
      <c r="D685" s="23"/>
    </row>
    <row r="686">
      <c r="D686" s="23"/>
    </row>
    <row r="687">
      <c r="D687" s="23"/>
    </row>
    <row r="688">
      <c r="D688" s="23"/>
    </row>
    <row r="689">
      <c r="D689" s="23"/>
    </row>
    <row r="690">
      <c r="D690" s="23"/>
    </row>
    <row r="691">
      <c r="D691" s="23"/>
    </row>
    <row r="692">
      <c r="D692" s="23"/>
    </row>
    <row r="693">
      <c r="D693" s="23"/>
    </row>
    <row r="694">
      <c r="D694" s="23"/>
    </row>
    <row r="695">
      <c r="D695" s="23"/>
    </row>
    <row r="696">
      <c r="D696" s="23"/>
    </row>
    <row r="697">
      <c r="D697" s="23"/>
    </row>
    <row r="698">
      <c r="D698" s="23"/>
    </row>
    <row r="699">
      <c r="D699" s="23"/>
    </row>
    <row r="700">
      <c r="D700" s="23"/>
    </row>
    <row r="701">
      <c r="D701" s="23"/>
    </row>
    <row r="702">
      <c r="D702" s="23"/>
    </row>
    <row r="703">
      <c r="D703" s="23"/>
    </row>
    <row r="704">
      <c r="D704" s="23"/>
    </row>
    <row r="705">
      <c r="D705" s="23"/>
    </row>
    <row r="706">
      <c r="D706" s="23"/>
    </row>
    <row r="707">
      <c r="D707" s="23"/>
    </row>
    <row r="708">
      <c r="D708" s="23"/>
    </row>
    <row r="709">
      <c r="D709" s="23"/>
    </row>
    <row r="710">
      <c r="D710" s="23"/>
    </row>
    <row r="711">
      <c r="D711" s="23"/>
    </row>
    <row r="712">
      <c r="D712" s="23"/>
    </row>
    <row r="713">
      <c r="D713" s="23"/>
    </row>
    <row r="714">
      <c r="D714" s="23"/>
    </row>
    <row r="715">
      <c r="D715" s="23"/>
    </row>
    <row r="716">
      <c r="D716" s="23"/>
    </row>
    <row r="717">
      <c r="D717" s="23"/>
    </row>
    <row r="718">
      <c r="D718" s="23"/>
    </row>
    <row r="719">
      <c r="D719" s="23"/>
    </row>
    <row r="720">
      <c r="D720" s="23"/>
    </row>
    <row r="721">
      <c r="D721" s="23"/>
    </row>
    <row r="722">
      <c r="D722" s="23"/>
    </row>
    <row r="723">
      <c r="D723" s="23"/>
    </row>
    <row r="724">
      <c r="D724" s="23"/>
    </row>
    <row r="725">
      <c r="D725" s="23"/>
    </row>
    <row r="726">
      <c r="D726" s="23"/>
    </row>
    <row r="727">
      <c r="D727" s="23"/>
    </row>
    <row r="728">
      <c r="D728" s="23"/>
    </row>
    <row r="729">
      <c r="D729" s="23"/>
    </row>
    <row r="730">
      <c r="D730" s="23"/>
    </row>
    <row r="731">
      <c r="D731" s="23"/>
    </row>
    <row r="732">
      <c r="D732" s="23"/>
    </row>
    <row r="733">
      <c r="D733" s="23"/>
    </row>
    <row r="734">
      <c r="D734" s="23"/>
    </row>
    <row r="735">
      <c r="D735" s="23"/>
    </row>
    <row r="736">
      <c r="D736" s="23"/>
    </row>
    <row r="737">
      <c r="D737" s="23"/>
    </row>
    <row r="738">
      <c r="D738" s="23"/>
    </row>
    <row r="739">
      <c r="D739" s="23"/>
    </row>
    <row r="740">
      <c r="D740" s="23"/>
    </row>
    <row r="741">
      <c r="D741" s="23"/>
    </row>
    <row r="742">
      <c r="D742" s="23"/>
    </row>
    <row r="743">
      <c r="D743" s="23"/>
    </row>
    <row r="744">
      <c r="D744" s="23"/>
    </row>
    <row r="745">
      <c r="D745" s="23"/>
    </row>
    <row r="746">
      <c r="D746" s="23"/>
    </row>
    <row r="747">
      <c r="D747" s="23"/>
    </row>
    <row r="748">
      <c r="D748" s="23"/>
    </row>
    <row r="749">
      <c r="D749" s="23"/>
    </row>
    <row r="750">
      <c r="D750" s="23"/>
    </row>
    <row r="751">
      <c r="D751" s="23"/>
    </row>
    <row r="752">
      <c r="D752" s="23"/>
    </row>
    <row r="753">
      <c r="D753" s="23"/>
    </row>
    <row r="754">
      <c r="D754" s="23"/>
    </row>
    <row r="755">
      <c r="D755" s="23"/>
    </row>
    <row r="756">
      <c r="D756" s="23"/>
    </row>
    <row r="757">
      <c r="D757" s="23"/>
    </row>
    <row r="758">
      <c r="D758" s="23"/>
    </row>
    <row r="759">
      <c r="D759" s="23"/>
    </row>
    <row r="760">
      <c r="D760" s="23"/>
    </row>
    <row r="761">
      <c r="D761" s="23"/>
    </row>
    <row r="762">
      <c r="D762" s="23"/>
    </row>
    <row r="763">
      <c r="D763" s="23"/>
    </row>
    <row r="764">
      <c r="D764" s="23"/>
    </row>
    <row r="765">
      <c r="D765" s="23"/>
    </row>
    <row r="766">
      <c r="D766" s="23"/>
    </row>
    <row r="767">
      <c r="D767" s="23"/>
    </row>
    <row r="768">
      <c r="D768" s="23"/>
    </row>
    <row r="769">
      <c r="D769" s="23"/>
    </row>
    <row r="770">
      <c r="D770" s="23"/>
    </row>
    <row r="771">
      <c r="D771" s="23"/>
    </row>
    <row r="772">
      <c r="D772" s="23"/>
    </row>
    <row r="773">
      <c r="D773" s="23"/>
    </row>
    <row r="774">
      <c r="D774" s="23"/>
    </row>
    <row r="775">
      <c r="D775" s="23"/>
    </row>
    <row r="776">
      <c r="D776" s="23"/>
    </row>
    <row r="777">
      <c r="D777" s="23"/>
    </row>
    <row r="778">
      <c r="D778" s="23"/>
    </row>
    <row r="779">
      <c r="D779" s="23"/>
    </row>
    <row r="780">
      <c r="D780" s="23"/>
    </row>
    <row r="781">
      <c r="D781" s="23"/>
    </row>
    <row r="782">
      <c r="D782" s="23"/>
    </row>
    <row r="783">
      <c r="D783" s="23"/>
    </row>
    <row r="784">
      <c r="D784" s="23"/>
    </row>
    <row r="785">
      <c r="D785" s="23"/>
    </row>
    <row r="786">
      <c r="D786" s="23"/>
    </row>
    <row r="787">
      <c r="D787" s="23"/>
    </row>
    <row r="788">
      <c r="D788" s="23"/>
    </row>
    <row r="789">
      <c r="D789" s="23"/>
    </row>
    <row r="790">
      <c r="D790" s="23"/>
    </row>
    <row r="791">
      <c r="D791" s="23"/>
    </row>
    <row r="792">
      <c r="D792" s="23"/>
    </row>
    <row r="793">
      <c r="D793" s="23"/>
    </row>
    <row r="794">
      <c r="D794" s="23"/>
    </row>
    <row r="795">
      <c r="D795" s="23"/>
    </row>
    <row r="796">
      <c r="D796" s="23"/>
    </row>
    <row r="797">
      <c r="D797" s="23"/>
    </row>
    <row r="798">
      <c r="D798" s="23"/>
    </row>
    <row r="799">
      <c r="D799" s="23"/>
    </row>
    <row r="800">
      <c r="D800" s="23"/>
    </row>
    <row r="801">
      <c r="D801" s="23"/>
    </row>
    <row r="802">
      <c r="D802" s="23"/>
    </row>
    <row r="803">
      <c r="D803" s="23"/>
    </row>
    <row r="804">
      <c r="D804" s="23"/>
    </row>
    <row r="805">
      <c r="D805" s="23"/>
    </row>
    <row r="806">
      <c r="D806" s="23"/>
    </row>
    <row r="807">
      <c r="D807" s="23"/>
    </row>
    <row r="808">
      <c r="D808" s="23"/>
    </row>
    <row r="809">
      <c r="D809" s="23"/>
    </row>
    <row r="810">
      <c r="D810" s="23"/>
    </row>
    <row r="811">
      <c r="D811" s="23"/>
    </row>
    <row r="812">
      <c r="D812" s="23"/>
    </row>
    <row r="813">
      <c r="D813" s="23"/>
    </row>
    <row r="814">
      <c r="D814" s="23"/>
    </row>
    <row r="815">
      <c r="D815" s="23"/>
    </row>
    <row r="816">
      <c r="D816" s="23"/>
    </row>
    <row r="817">
      <c r="D817" s="23"/>
    </row>
    <row r="818">
      <c r="D818" s="23"/>
    </row>
    <row r="819">
      <c r="D819" s="23"/>
    </row>
    <row r="820">
      <c r="D820" s="23"/>
    </row>
    <row r="821">
      <c r="D821" s="23"/>
    </row>
    <row r="822">
      <c r="D822" s="23"/>
    </row>
    <row r="823">
      <c r="D823" s="23"/>
    </row>
    <row r="824">
      <c r="D824" s="23"/>
    </row>
    <row r="825">
      <c r="D825" s="23"/>
    </row>
    <row r="826">
      <c r="D826" s="23"/>
    </row>
    <row r="827">
      <c r="D827" s="23"/>
    </row>
    <row r="828">
      <c r="D828" s="23"/>
    </row>
    <row r="829">
      <c r="D829" s="23"/>
    </row>
    <row r="830">
      <c r="D830" s="23"/>
    </row>
    <row r="831">
      <c r="D831" s="23"/>
    </row>
    <row r="832">
      <c r="D832" s="23"/>
    </row>
    <row r="833">
      <c r="D833" s="23"/>
    </row>
    <row r="834">
      <c r="D834" s="23"/>
    </row>
    <row r="835">
      <c r="D835" s="23"/>
    </row>
    <row r="836">
      <c r="D836" s="23"/>
    </row>
    <row r="837">
      <c r="D837" s="23"/>
    </row>
    <row r="838">
      <c r="D838" s="23"/>
    </row>
    <row r="839">
      <c r="D839" s="23"/>
    </row>
    <row r="840">
      <c r="D840" s="23"/>
    </row>
    <row r="841">
      <c r="D841" s="23"/>
    </row>
    <row r="842">
      <c r="D842" s="23"/>
    </row>
    <row r="843">
      <c r="D843" s="23"/>
    </row>
    <row r="844">
      <c r="D844" s="23"/>
    </row>
    <row r="845">
      <c r="D845" s="23"/>
    </row>
    <row r="846">
      <c r="D846" s="23"/>
    </row>
    <row r="847">
      <c r="D847" s="23"/>
    </row>
    <row r="848">
      <c r="D848" s="23"/>
    </row>
    <row r="849">
      <c r="D849" s="23"/>
    </row>
    <row r="850">
      <c r="D850" s="23"/>
    </row>
    <row r="851">
      <c r="D851" s="23"/>
    </row>
    <row r="852">
      <c r="D852" s="23"/>
    </row>
    <row r="853">
      <c r="D853" s="23"/>
    </row>
    <row r="854">
      <c r="D854" s="23"/>
    </row>
    <row r="855">
      <c r="D855" s="23"/>
    </row>
    <row r="856">
      <c r="D856" s="23"/>
    </row>
    <row r="857">
      <c r="D857" s="23"/>
    </row>
    <row r="858">
      <c r="D858" s="23"/>
    </row>
    <row r="859">
      <c r="D859" s="23"/>
    </row>
    <row r="860">
      <c r="D860" s="23"/>
    </row>
    <row r="861">
      <c r="D861" s="23"/>
    </row>
    <row r="862">
      <c r="D862" s="23"/>
    </row>
    <row r="863">
      <c r="D863" s="23"/>
    </row>
    <row r="864">
      <c r="D864" s="23"/>
    </row>
    <row r="865">
      <c r="D865" s="23"/>
    </row>
    <row r="866">
      <c r="D866" s="23"/>
    </row>
    <row r="867">
      <c r="D867" s="23"/>
    </row>
    <row r="868">
      <c r="D868" s="23"/>
    </row>
    <row r="869">
      <c r="D869" s="23"/>
    </row>
    <row r="870">
      <c r="D870" s="23"/>
    </row>
    <row r="871">
      <c r="D871" s="23"/>
    </row>
    <row r="872">
      <c r="D872" s="23"/>
    </row>
    <row r="873">
      <c r="D873" s="23"/>
    </row>
    <row r="874">
      <c r="D874" s="23"/>
    </row>
    <row r="875">
      <c r="D875" s="23"/>
    </row>
    <row r="876">
      <c r="D876" s="23"/>
    </row>
    <row r="877">
      <c r="D877" s="23"/>
    </row>
    <row r="878">
      <c r="D878" s="23"/>
    </row>
    <row r="879">
      <c r="D879" s="23"/>
    </row>
    <row r="880">
      <c r="D880" s="23"/>
    </row>
    <row r="881">
      <c r="D881" s="23"/>
    </row>
    <row r="882">
      <c r="D882" s="23"/>
    </row>
    <row r="883">
      <c r="D883" s="23"/>
    </row>
    <row r="884">
      <c r="D884" s="23"/>
    </row>
    <row r="885">
      <c r="D885" s="23"/>
    </row>
    <row r="886">
      <c r="D886" s="23"/>
    </row>
    <row r="887">
      <c r="D887" s="23"/>
    </row>
    <row r="888">
      <c r="D888" s="23"/>
    </row>
    <row r="889">
      <c r="D889" s="23"/>
    </row>
    <row r="890">
      <c r="D890" s="23"/>
    </row>
    <row r="891">
      <c r="D891" s="23"/>
    </row>
    <row r="892">
      <c r="D892" s="23"/>
    </row>
    <row r="893">
      <c r="D893" s="23"/>
    </row>
    <row r="894">
      <c r="D894" s="23"/>
    </row>
    <row r="895">
      <c r="D895" s="23"/>
    </row>
    <row r="896">
      <c r="D896" s="23"/>
    </row>
    <row r="897">
      <c r="D897" s="23"/>
    </row>
    <row r="898">
      <c r="D898" s="23"/>
    </row>
    <row r="899">
      <c r="D899" s="23"/>
    </row>
    <row r="900">
      <c r="D900" s="23"/>
    </row>
    <row r="901">
      <c r="D901" s="23"/>
    </row>
    <row r="902">
      <c r="D902" s="23"/>
    </row>
    <row r="903">
      <c r="D903" s="23"/>
    </row>
    <row r="904">
      <c r="D904" s="23"/>
    </row>
    <row r="905">
      <c r="D905" s="23"/>
    </row>
    <row r="906">
      <c r="D906" s="23"/>
    </row>
    <row r="907">
      <c r="D907" s="23"/>
    </row>
    <row r="908">
      <c r="D908" s="23"/>
    </row>
    <row r="909">
      <c r="D909" s="23"/>
    </row>
    <row r="910">
      <c r="D910" s="23"/>
    </row>
    <row r="911">
      <c r="D911" s="23"/>
    </row>
    <row r="912">
      <c r="D912" s="23"/>
    </row>
    <row r="913">
      <c r="D913" s="23"/>
    </row>
    <row r="914">
      <c r="D914" s="23"/>
    </row>
    <row r="915">
      <c r="D915" s="23"/>
    </row>
    <row r="916">
      <c r="D916" s="23"/>
    </row>
    <row r="917">
      <c r="D917" s="23"/>
    </row>
    <row r="918">
      <c r="D918" s="23"/>
    </row>
    <row r="919">
      <c r="D919" s="23"/>
    </row>
    <row r="920">
      <c r="D920" s="23"/>
    </row>
    <row r="921">
      <c r="D921" s="23"/>
    </row>
    <row r="922">
      <c r="D922" s="23"/>
    </row>
    <row r="923">
      <c r="D923" s="23"/>
    </row>
    <row r="924">
      <c r="D924" s="23"/>
    </row>
    <row r="925">
      <c r="D925" s="23"/>
    </row>
    <row r="926">
      <c r="D926" s="23"/>
    </row>
    <row r="927">
      <c r="D927" s="23"/>
    </row>
    <row r="928">
      <c r="D928" s="23"/>
    </row>
    <row r="929">
      <c r="D929" s="23"/>
    </row>
    <row r="930">
      <c r="D930" s="23"/>
    </row>
    <row r="931">
      <c r="D931" s="23"/>
    </row>
    <row r="932">
      <c r="D932" s="23"/>
    </row>
    <row r="933">
      <c r="D933" s="23"/>
    </row>
    <row r="934">
      <c r="D934" s="23"/>
    </row>
    <row r="935">
      <c r="D935" s="23"/>
    </row>
    <row r="936">
      <c r="D936" s="23"/>
    </row>
    <row r="937">
      <c r="D937" s="23"/>
    </row>
    <row r="938">
      <c r="D938" s="23"/>
    </row>
    <row r="939">
      <c r="D939" s="23"/>
    </row>
    <row r="940">
      <c r="D940" s="23"/>
    </row>
    <row r="941">
      <c r="D941" s="23"/>
    </row>
    <row r="942">
      <c r="D942" s="23"/>
    </row>
    <row r="943">
      <c r="D943" s="23"/>
    </row>
    <row r="944">
      <c r="D944" s="23"/>
    </row>
    <row r="945">
      <c r="D945" s="23"/>
    </row>
    <row r="946">
      <c r="D946" s="23"/>
    </row>
    <row r="947">
      <c r="D947" s="23"/>
    </row>
    <row r="948">
      <c r="D948" s="23"/>
    </row>
    <row r="949">
      <c r="D949" s="23"/>
    </row>
    <row r="950">
      <c r="D950" s="23"/>
    </row>
    <row r="951">
      <c r="D951" s="23"/>
    </row>
    <row r="952">
      <c r="D952" s="23"/>
    </row>
    <row r="953">
      <c r="D953" s="23"/>
    </row>
    <row r="954">
      <c r="D954" s="23"/>
    </row>
    <row r="955">
      <c r="D955" s="23"/>
    </row>
    <row r="956">
      <c r="D956" s="23"/>
    </row>
    <row r="957">
      <c r="D957" s="23"/>
    </row>
    <row r="958">
      <c r="D958" s="23"/>
    </row>
    <row r="959">
      <c r="D959" s="23"/>
    </row>
    <row r="960">
      <c r="D960" s="23"/>
    </row>
    <row r="961">
      <c r="D961" s="23"/>
    </row>
    <row r="962">
      <c r="D962" s="23"/>
    </row>
    <row r="963">
      <c r="D963" s="23"/>
    </row>
    <row r="964">
      <c r="D964" s="23"/>
    </row>
    <row r="965">
      <c r="D965" s="23"/>
    </row>
    <row r="966">
      <c r="D966" s="23"/>
    </row>
    <row r="967">
      <c r="D967" s="23"/>
    </row>
    <row r="968">
      <c r="D968" s="23"/>
    </row>
    <row r="969">
      <c r="D969" s="23"/>
    </row>
    <row r="970">
      <c r="D970" s="23"/>
    </row>
    <row r="971">
      <c r="D971" s="23"/>
    </row>
    <row r="972">
      <c r="D972" s="23"/>
    </row>
    <row r="973">
      <c r="D973" s="23"/>
    </row>
    <row r="974">
      <c r="D974" s="23"/>
    </row>
    <row r="975">
      <c r="D975" s="23"/>
    </row>
    <row r="976">
      <c r="D976" s="23"/>
    </row>
    <row r="977">
      <c r="D977" s="23"/>
    </row>
    <row r="978">
      <c r="D978" s="23"/>
    </row>
    <row r="979">
      <c r="D979" s="23"/>
    </row>
    <row r="980">
      <c r="D980" s="23"/>
    </row>
    <row r="981">
      <c r="D981" s="23"/>
    </row>
    <row r="982">
      <c r="D982" s="23"/>
    </row>
    <row r="983">
      <c r="D983" s="23"/>
    </row>
    <row r="984">
      <c r="D984" s="23"/>
    </row>
    <row r="985">
      <c r="D985" s="23"/>
    </row>
    <row r="986">
      <c r="D986" s="23"/>
    </row>
    <row r="987">
      <c r="D987" s="23"/>
    </row>
    <row r="988">
      <c r="D988" s="23"/>
    </row>
    <row r="989">
      <c r="D989" s="23"/>
    </row>
    <row r="990">
      <c r="D990" s="23"/>
    </row>
    <row r="991">
      <c r="D991" s="23"/>
    </row>
    <row r="992">
      <c r="D992" s="23"/>
    </row>
    <row r="993">
      <c r="D993" s="23"/>
    </row>
    <row r="994">
      <c r="D994" s="23"/>
    </row>
    <row r="995">
      <c r="D995" s="23"/>
    </row>
    <row r="996">
      <c r="D996" s="23"/>
    </row>
    <row r="997">
      <c r="D997" s="23"/>
    </row>
    <row r="998">
      <c r="D998" s="23"/>
    </row>
    <row r="999">
      <c r="D999" s="23"/>
    </row>
    <row r="1000">
      <c r="D1000" s="2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 customWidth="1" min="9" max="26" width="8.63"/>
  </cols>
  <sheetData>
    <row r="1" ht="27.75" customHeight="1">
      <c r="A1" s="52" t="s">
        <v>104</v>
      </c>
    </row>
    <row r="2">
      <c r="A2" s="53" t="s">
        <v>47</v>
      </c>
      <c r="B2" s="54">
        <f>IFERROR(SUM(E5:E1000)/SUM(F5:F1000),0)</f>
        <v>0.453125</v>
      </c>
      <c r="C2" s="16"/>
      <c r="D2" s="55" t="s">
        <v>48</v>
      </c>
      <c r="E2" s="56">
        <f>Settings!B3</f>
        <v>46266</v>
      </c>
      <c r="F2" s="16"/>
      <c r="G2" s="57"/>
      <c r="H2" s="56"/>
    </row>
    <row r="3">
      <c r="A3" s="16"/>
      <c r="B3" s="16"/>
      <c r="C3" s="16"/>
      <c r="D3" s="56"/>
      <c r="E3" s="16"/>
      <c r="F3" s="16"/>
      <c r="G3" s="57"/>
      <c r="H3" s="56"/>
    </row>
    <row r="4">
      <c r="A4" s="58" t="s">
        <v>50</v>
      </c>
      <c r="B4" s="58" t="s">
        <v>51</v>
      </c>
      <c r="C4" s="58" t="s">
        <v>36</v>
      </c>
      <c r="D4" s="59" t="s">
        <v>52</v>
      </c>
      <c r="E4" s="58" t="s">
        <v>39</v>
      </c>
      <c r="F4" s="58" t="s">
        <v>53</v>
      </c>
      <c r="G4" s="60" t="s">
        <v>54</v>
      </c>
      <c r="H4" s="59" t="s">
        <v>55</v>
      </c>
    </row>
    <row r="5">
      <c r="A5" s="53" t="s">
        <v>105</v>
      </c>
      <c r="B5" s="53" t="s">
        <v>61</v>
      </c>
      <c r="C5" s="53" t="s">
        <v>41</v>
      </c>
      <c r="D5" s="55">
        <v>46265.33333333333</v>
      </c>
      <c r="E5" s="16">
        <f>IF($A5="","",SUMPRODUCT((AttendanceLog!$E$2:$E$5000=$A5)*(AttendanceLog!$C$2:$C$5000&gt;=MAX($D5,Settings!$B$3))*((AttendanceLog!$I$2:$I$5000="")+(IFERROR(SEARCH(","&amp;$C5&amp;",",","&amp;AttendanceLog!$I$2:$I$5000&amp;","),0)&gt;0))))</f>
        <v>2</v>
      </c>
      <c r="F5" s="16">
        <f>IF($A5="","",SUMPRODUCT((EventLog!$C$2:$C$5000&gt;=MAX($D5,Settings!$B$3))*(EventLog!$C$2:$C$5000&lt;=TODAY())*((EventLog!$F$2:$F$5000="")+(IFERROR(SEARCH(","&amp;$C5&amp;",",","&amp;EventLog!$F$2:$F$5000&amp;","),0)&gt;0))))</f>
        <v>3</v>
      </c>
      <c r="G5" s="57">
        <f t="shared" ref="G5:G68" si="1">IFERROR(E5/F5,0)</f>
        <v>0.6666666667</v>
      </c>
      <c r="H5" s="56">
        <f>IFERROR(__xludf.DUMMYFUNCTION("IFERROR(MAX(FILTER(AttendanceLog!$C:$C,AttendanceLog!$E:$E=$A5,(AttendanceLog!$I:$I="""")+(IFERROR(SEARCH("",""&amp;$C5&amp;"","","",""&amp;AttendanceLog!$I:$I&amp;"",""),0)&gt;0))),"""")"),46289.33333333333)</f>
        <v>46289.33333</v>
      </c>
    </row>
    <row r="6">
      <c r="A6" s="53" t="s">
        <v>106</v>
      </c>
      <c r="B6" s="53" t="s">
        <v>61</v>
      </c>
      <c r="C6" s="53" t="s">
        <v>41</v>
      </c>
      <c r="D6" s="55">
        <v>46265.33333333333</v>
      </c>
      <c r="E6" s="16">
        <f>IF($A6="","",SUMPRODUCT((AttendanceLog!$E$2:$E$5000=$A6)*(AttendanceLog!$C$2:$C$5000&gt;=MAX($D6,Settings!$B$3))*((AttendanceLog!$I$2:$I$5000="")+(IFERROR(SEARCH(","&amp;$C6&amp;",",","&amp;AttendanceLog!$I$2:$I$5000&amp;","),0)&gt;0))))</f>
        <v>2</v>
      </c>
      <c r="F6" s="16">
        <f>IF($A6="","",SUMPRODUCT((EventLog!$C$2:$C$5000&gt;=MAX($D6,Settings!$B$3))*(EventLog!$C$2:$C$5000&lt;=TODAY())*((EventLog!$F$2:$F$5000="")+(IFERROR(SEARCH(","&amp;$C6&amp;",",","&amp;EventLog!$F$2:$F$5000&amp;","),0)&gt;0))))</f>
        <v>3</v>
      </c>
      <c r="G6" s="57">
        <f t="shared" si="1"/>
        <v>0.6666666667</v>
      </c>
      <c r="H6" s="56">
        <f>IFERROR(__xludf.DUMMYFUNCTION("IFERROR(MAX(FILTER(AttendanceLog!$C:$C,AttendanceLog!$E:$E=$A6,(AttendanceLog!$I:$I="""")+(IFERROR(SEARCH("",""&amp;$C6&amp;"","","",""&amp;AttendanceLog!$I:$I&amp;"",""),0)&gt;0))),"""")"),46289.33333333333)</f>
        <v>46289.33333</v>
      </c>
    </row>
    <row r="7">
      <c r="A7" s="53" t="s">
        <v>107</v>
      </c>
      <c r="B7" s="53" t="s">
        <v>61</v>
      </c>
      <c r="C7" s="53" t="s">
        <v>41</v>
      </c>
      <c r="D7" s="55">
        <v>46265.33333333333</v>
      </c>
      <c r="E7" s="16">
        <f>IF($A7="","",SUMPRODUCT((AttendanceLog!$E$2:$E$5000=$A7)*(AttendanceLog!$C$2:$C$5000&gt;=MAX($D7,Settings!$B$3))*((AttendanceLog!$I$2:$I$5000="")+(IFERROR(SEARCH(","&amp;$C7&amp;",",","&amp;AttendanceLog!$I$2:$I$5000&amp;","),0)&gt;0))))</f>
        <v>2</v>
      </c>
      <c r="F7" s="16">
        <f>IF($A7="","",SUMPRODUCT((EventLog!$C$2:$C$5000&gt;=MAX($D7,Settings!$B$3))*(EventLog!$C$2:$C$5000&lt;=TODAY())*((EventLog!$F$2:$F$5000="")+(IFERROR(SEARCH(","&amp;$C7&amp;",",","&amp;EventLog!$F$2:$F$5000&amp;","),0)&gt;0))))</f>
        <v>3</v>
      </c>
      <c r="G7" s="57">
        <f t="shared" si="1"/>
        <v>0.6666666667</v>
      </c>
      <c r="H7" s="56">
        <f>IFERROR(__xludf.DUMMYFUNCTION("IFERROR(MAX(FILTER(AttendanceLog!$C:$C,AttendanceLog!$E:$E=$A7,(AttendanceLog!$I:$I="""")+(IFERROR(SEARCH("",""&amp;$C7&amp;"","","",""&amp;AttendanceLog!$I:$I&amp;"",""),0)&gt;0))),"""")"),46289.33333333333)</f>
        <v>46289.33333</v>
      </c>
    </row>
    <row r="8">
      <c r="A8" s="53" t="s">
        <v>108</v>
      </c>
      <c r="B8" s="53" t="s">
        <v>61</v>
      </c>
      <c r="C8" s="53" t="s">
        <v>41</v>
      </c>
      <c r="D8" s="55">
        <v>46265.33333333333</v>
      </c>
      <c r="E8" s="16">
        <f>IF($A8="","",SUMPRODUCT((AttendanceLog!$E$2:$E$5000=$A8)*(AttendanceLog!$C$2:$C$5000&gt;=MAX($D8,Settings!$B$3))*((AttendanceLog!$I$2:$I$5000="")+(IFERROR(SEARCH(","&amp;$C8&amp;",",","&amp;AttendanceLog!$I$2:$I$5000&amp;","),0)&gt;0))))</f>
        <v>2</v>
      </c>
      <c r="F8" s="16">
        <f>IF($A8="","",SUMPRODUCT((EventLog!$C$2:$C$5000&gt;=MAX($D8,Settings!$B$3))*(EventLog!$C$2:$C$5000&lt;=TODAY())*((EventLog!$F$2:$F$5000="")+(IFERROR(SEARCH(","&amp;$C8&amp;",",","&amp;EventLog!$F$2:$F$5000&amp;","),0)&gt;0))))</f>
        <v>3</v>
      </c>
      <c r="G8" s="57">
        <f t="shared" si="1"/>
        <v>0.6666666667</v>
      </c>
      <c r="H8" s="56">
        <f>IFERROR(__xludf.DUMMYFUNCTION("IFERROR(MAX(FILTER(AttendanceLog!$C:$C,AttendanceLog!$E:$E=$A8,(AttendanceLog!$I:$I="""")+(IFERROR(SEARCH("",""&amp;$C8&amp;"","","",""&amp;AttendanceLog!$I:$I&amp;"",""),0)&gt;0))),"""")"),46289.33333333333)</f>
        <v>46289.33333</v>
      </c>
    </row>
    <row r="9">
      <c r="A9" s="53" t="s">
        <v>109</v>
      </c>
      <c r="B9" s="53" t="s">
        <v>61</v>
      </c>
      <c r="C9" s="53" t="s">
        <v>41</v>
      </c>
      <c r="D9" s="55">
        <v>46265.33333333333</v>
      </c>
      <c r="E9" s="16">
        <f>IF($A9="","",SUMPRODUCT((AttendanceLog!$E$2:$E$5000=$A9)*(AttendanceLog!$C$2:$C$5000&gt;=MAX($D9,Settings!$B$3))*((AttendanceLog!$I$2:$I$5000="")+(IFERROR(SEARCH(","&amp;$C9&amp;",",","&amp;AttendanceLog!$I$2:$I$5000&amp;","),0)&gt;0))))</f>
        <v>0</v>
      </c>
      <c r="F9" s="16">
        <f>IF($A9="","",SUMPRODUCT((EventLog!$C$2:$C$5000&gt;=MAX($D9,Settings!$B$3))*(EventLog!$C$2:$C$5000&lt;=TODAY())*((EventLog!$F$2:$F$5000="")+(IFERROR(SEARCH(","&amp;$C9&amp;",",","&amp;EventLog!$F$2:$F$5000&amp;","),0)&gt;0))))</f>
        <v>3</v>
      </c>
      <c r="G9" s="57">
        <f t="shared" si="1"/>
        <v>0</v>
      </c>
      <c r="H9" s="56" t="str">
        <f>IFERROR(__xludf.DUMMYFUNCTION("IFERROR(MAX(FILTER(AttendanceLog!$C:$C,AttendanceLog!$E:$E=$A9,(AttendanceLog!$I:$I="""")+(IFERROR(SEARCH("",""&amp;$C9&amp;"","","",""&amp;AttendanceLog!$I:$I&amp;"",""),0)&gt;0))),"""")"),"")</f>
        <v/>
      </c>
    </row>
    <row r="10">
      <c r="A10" s="53" t="s">
        <v>110</v>
      </c>
      <c r="B10" s="53" t="s">
        <v>61</v>
      </c>
      <c r="C10" s="53" t="s">
        <v>41</v>
      </c>
      <c r="D10" s="55">
        <v>46265.33333333333</v>
      </c>
      <c r="E10" s="16">
        <f>IF($A10="","",SUMPRODUCT((AttendanceLog!$E$2:$E$5000=$A10)*(AttendanceLog!$C$2:$C$5000&gt;=MAX($D10,Settings!$B$3))*((AttendanceLog!$I$2:$I$5000="")+(IFERROR(SEARCH(","&amp;$C10&amp;",",","&amp;AttendanceLog!$I$2:$I$5000&amp;","),0)&gt;0))))</f>
        <v>2</v>
      </c>
      <c r="F10" s="16">
        <f>IF($A10="","",SUMPRODUCT((EventLog!$C$2:$C$5000&gt;=MAX($D10,Settings!$B$3))*(EventLog!$C$2:$C$5000&lt;=TODAY())*((EventLog!$F$2:$F$5000="")+(IFERROR(SEARCH(","&amp;$C10&amp;",",","&amp;EventLog!$F$2:$F$5000&amp;","),0)&gt;0))))</f>
        <v>3</v>
      </c>
      <c r="G10" s="57">
        <f t="shared" si="1"/>
        <v>0.6666666667</v>
      </c>
      <c r="H10" s="56">
        <f>IFERROR(__xludf.DUMMYFUNCTION("IFERROR(MAX(FILTER(AttendanceLog!$C:$C,AttendanceLog!$E:$E=$A10,(AttendanceLog!$I:$I="""")+(IFERROR(SEARCH("",""&amp;$C10&amp;"","","",""&amp;AttendanceLog!$I:$I&amp;"",""),0)&gt;0))),"""")"),46289.33333333333)</f>
        <v>46289.33333</v>
      </c>
    </row>
    <row r="11">
      <c r="A11" s="53" t="s">
        <v>111</v>
      </c>
      <c r="B11" s="53" t="s">
        <v>61</v>
      </c>
      <c r="C11" s="53" t="s">
        <v>41</v>
      </c>
      <c r="D11" s="55">
        <v>46265.33333333333</v>
      </c>
      <c r="E11" s="16">
        <f>IF($A11="","",SUMPRODUCT((AttendanceLog!$E$2:$E$5000=$A11)*(AttendanceLog!$C$2:$C$5000&gt;=MAX($D11,Settings!$B$3))*((AttendanceLog!$I$2:$I$5000="")+(IFERROR(SEARCH(","&amp;$C11&amp;",",","&amp;AttendanceLog!$I$2:$I$5000&amp;","),0)&gt;0))))</f>
        <v>0</v>
      </c>
      <c r="F11" s="16">
        <f>IF($A11="","",SUMPRODUCT((EventLog!$C$2:$C$5000&gt;=MAX($D11,Settings!$B$3))*(EventLog!$C$2:$C$5000&lt;=TODAY())*((EventLog!$F$2:$F$5000="")+(IFERROR(SEARCH(","&amp;$C11&amp;",",","&amp;EventLog!$F$2:$F$5000&amp;","),0)&gt;0))))</f>
        <v>3</v>
      </c>
      <c r="G11" s="57">
        <f t="shared" si="1"/>
        <v>0</v>
      </c>
      <c r="H11" s="56" t="str">
        <f>IFERROR(__xludf.DUMMYFUNCTION("IFERROR(MAX(FILTER(AttendanceLog!$C:$C,AttendanceLog!$E:$E=$A11,(AttendanceLog!$I:$I="""")+(IFERROR(SEARCH("",""&amp;$C11&amp;"","","",""&amp;AttendanceLog!$I:$I&amp;"",""),0)&gt;0))),"""")"),"")</f>
        <v/>
      </c>
    </row>
    <row r="12">
      <c r="A12" s="53" t="s">
        <v>112</v>
      </c>
      <c r="B12" s="53" t="s">
        <v>61</v>
      </c>
      <c r="C12" s="53" t="s">
        <v>41</v>
      </c>
      <c r="D12" s="55">
        <v>46265.33333333333</v>
      </c>
      <c r="E12" s="16">
        <f>IF($A12="","",SUMPRODUCT((AttendanceLog!$E$2:$E$5000=$A12)*(AttendanceLog!$C$2:$C$5000&gt;=MAX($D12,Settings!$B$3))*((AttendanceLog!$I$2:$I$5000="")+(IFERROR(SEARCH(","&amp;$C12&amp;",",","&amp;AttendanceLog!$I$2:$I$5000&amp;","),0)&gt;0))))</f>
        <v>0</v>
      </c>
      <c r="F12" s="16">
        <f>IF($A12="","",SUMPRODUCT((EventLog!$C$2:$C$5000&gt;=MAX($D12,Settings!$B$3))*(EventLog!$C$2:$C$5000&lt;=TODAY())*((EventLog!$F$2:$F$5000="")+(IFERROR(SEARCH(","&amp;$C12&amp;",",","&amp;EventLog!$F$2:$F$5000&amp;","),0)&gt;0))))</f>
        <v>3</v>
      </c>
      <c r="G12" s="57">
        <f t="shared" si="1"/>
        <v>0</v>
      </c>
      <c r="H12" s="56" t="str">
        <f>IFERROR(__xludf.DUMMYFUNCTION("IFERROR(MAX(FILTER(AttendanceLog!$C:$C,AttendanceLog!$E:$E=$A12,(AttendanceLog!$I:$I="""")+(IFERROR(SEARCH("",""&amp;$C12&amp;"","","",""&amp;AttendanceLog!$I:$I&amp;"",""),0)&gt;0))),"""")"),"")</f>
        <v/>
      </c>
    </row>
    <row r="13">
      <c r="A13" s="53" t="s">
        <v>113</v>
      </c>
      <c r="B13" s="53" t="s">
        <v>61</v>
      </c>
      <c r="C13" s="53" t="s">
        <v>41</v>
      </c>
      <c r="D13" s="55">
        <v>46265.33333333333</v>
      </c>
      <c r="E13" s="16">
        <f>IF($A13="","",SUMPRODUCT((AttendanceLog!$E$2:$E$5000=$A13)*(AttendanceLog!$C$2:$C$5000&gt;=MAX($D13,Settings!$B$3))*((AttendanceLog!$I$2:$I$5000="")+(IFERROR(SEARCH(","&amp;$C13&amp;",",","&amp;AttendanceLog!$I$2:$I$5000&amp;","),0)&gt;0))))</f>
        <v>0</v>
      </c>
      <c r="F13" s="16">
        <f>IF($A13="","",SUMPRODUCT((EventLog!$C$2:$C$5000&gt;=MAX($D13,Settings!$B$3))*(EventLog!$C$2:$C$5000&lt;=TODAY())*((EventLog!$F$2:$F$5000="")+(IFERROR(SEARCH(","&amp;$C13&amp;",",","&amp;EventLog!$F$2:$F$5000&amp;","),0)&gt;0))))</f>
        <v>3</v>
      </c>
      <c r="G13" s="57">
        <f t="shared" si="1"/>
        <v>0</v>
      </c>
      <c r="H13" s="56" t="str">
        <f>IFERROR(__xludf.DUMMYFUNCTION("IFERROR(MAX(FILTER(AttendanceLog!$C:$C,AttendanceLog!$E:$E=$A13,(AttendanceLog!$I:$I="""")+(IFERROR(SEARCH("",""&amp;$C13&amp;"","","",""&amp;AttendanceLog!$I:$I&amp;"",""),0)&gt;0))),"""")"),"")</f>
        <v/>
      </c>
    </row>
    <row r="14">
      <c r="A14" s="53" t="s">
        <v>114</v>
      </c>
      <c r="B14" s="53" t="s">
        <v>61</v>
      </c>
      <c r="C14" s="53" t="s">
        <v>41</v>
      </c>
      <c r="D14" s="55">
        <v>46265.33333333333</v>
      </c>
      <c r="E14" s="16">
        <f>IF($A14="","",SUMPRODUCT((AttendanceLog!$E$2:$E$5000=$A14)*(AttendanceLog!$C$2:$C$5000&gt;=MAX($D14,Settings!$B$3))*((AttendanceLog!$I$2:$I$5000="")+(IFERROR(SEARCH(","&amp;$C14&amp;",",","&amp;AttendanceLog!$I$2:$I$5000&amp;","),0)&gt;0))))</f>
        <v>0</v>
      </c>
      <c r="F14" s="16">
        <f>IF($A14="","",SUMPRODUCT((EventLog!$C$2:$C$5000&gt;=MAX($D14,Settings!$B$3))*(EventLog!$C$2:$C$5000&lt;=TODAY())*((EventLog!$F$2:$F$5000="")+(IFERROR(SEARCH(","&amp;$C14&amp;",",","&amp;EventLog!$F$2:$F$5000&amp;","),0)&gt;0))))</f>
        <v>3</v>
      </c>
      <c r="G14" s="57">
        <f t="shared" si="1"/>
        <v>0</v>
      </c>
      <c r="H14" s="56" t="str">
        <f>IFERROR(__xludf.DUMMYFUNCTION("IFERROR(MAX(FILTER(AttendanceLog!$C:$C,AttendanceLog!$E:$E=$A14,(AttendanceLog!$I:$I="""")+(IFERROR(SEARCH("",""&amp;$C14&amp;"","","",""&amp;AttendanceLog!$I:$I&amp;"",""),0)&gt;0))),"""")"),"")</f>
        <v/>
      </c>
    </row>
    <row r="15">
      <c r="A15" s="53" t="s">
        <v>115</v>
      </c>
      <c r="B15" s="53" t="s">
        <v>61</v>
      </c>
      <c r="C15" s="53" t="s">
        <v>41</v>
      </c>
      <c r="D15" s="55">
        <v>46265.33333333333</v>
      </c>
      <c r="E15" s="16">
        <f>IF($A15="","",SUMPRODUCT((AttendanceLog!$E$2:$E$5000=$A15)*(AttendanceLog!$C$2:$C$5000&gt;=MAX($D15,Settings!$B$3))*((AttendanceLog!$I$2:$I$5000="")+(IFERROR(SEARCH(","&amp;$C15&amp;",",","&amp;AttendanceLog!$I$2:$I$5000&amp;","),0)&gt;0))))</f>
        <v>0</v>
      </c>
      <c r="F15" s="16">
        <f>IF($A15="","",SUMPRODUCT((EventLog!$C$2:$C$5000&gt;=MAX($D15,Settings!$B$3))*(EventLog!$C$2:$C$5000&lt;=TODAY())*((EventLog!$F$2:$F$5000="")+(IFERROR(SEARCH(","&amp;$C15&amp;",",","&amp;EventLog!$F$2:$F$5000&amp;","),0)&gt;0))))</f>
        <v>3</v>
      </c>
      <c r="G15" s="57">
        <f t="shared" si="1"/>
        <v>0</v>
      </c>
      <c r="H15" s="56" t="str">
        <f>IFERROR(__xludf.DUMMYFUNCTION("IFERROR(MAX(FILTER(AttendanceLog!$C:$C,AttendanceLog!$E:$E=$A15,(AttendanceLog!$I:$I="""")+(IFERROR(SEARCH("",""&amp;$C15&amp;"","","",""&amp;AttendanceLog!$I:$I&amp;"",""),0)&gt;0))),"""")"),"")</f>
        <v/>
      </c>
    </row>
    <row r="16">
      <c r="A16" s="53" t="s">
        <v>116</v>
      </c>
      <c r="B16" s="53" t="s">
        <v>61</v>
      </c>
      <c r="C16" s="53" t="s">
        <v>41</v>
      </c>
      <c r="D16" s="55">
        <v>46265.33333333333</v>
      </c>
      <c r="E16" s="16">
        <f>IF($A16="","",SUMPRODUCT((AttendanceLog!$E$2:$E$5000=$A16)*(AttendanceLog!$C$2:$C$5000&gt;=MAX($D16,Settings!$B$3))*((AttendanceLog!$I$2:$I$5000="")+(IFERROR(SEARCH(","&amp;$C16&amp;",",","&amp;AttendanceLog!$I$2:$I$5000&amp;","),0)&gt;0))))</f>
        <v>0</v>
      </c>
      <c r="F16" s="16">
        <f>IF($A16="","",SUMPRODUCT((EventLog!$C$2:$C$5000&gt;=MAX($D16,Settings!$B$3))*(EventLog!$C$2:$C$5000&lt;=TODAY())*((EventLog!$F$2:$F$5000="")+(IFERROR(SEARCH(","&amp;$C16&amp;",",","&amp;EventLog!$F$2:$F$5000&amp;","),0)&gt;0))))</f>
        <v>3</v>
      </c>
      <c r="G16" s="57">
        <f t="shared" si="1"/>
        <v>0</v>
      </c>
      <c r="H16" s="56" t="str">
        <f>IFERROR(__xludf.DUMMYFUNCTION("IFERROR(MAX(FILTER(AttendanceLog!$C:$C,AttendanceLog!$E:$E=$A16,(AttendanceLog!$I:$I="""")+(IFERROR(SEARCH("",""&amp;$C16&amp;"","","",""&amp;AttendanceLog!$I:$I&amp;"",""),0)&gt;0))),"""")"),"")</f>
        <v/>
      </c>
    </row>
    <row r="17">
      <c r="A17" s="53" t="s">
        <v>117</v>
      </c>
      <c r="B17" s="53" t="s">
        <v>61</v>
      </c>
      <c r="C17" s="53" t="s">
        <v>41</v>
      </c>
      <c r="D17" s="55">
        <v>46265.33333333333</v>
      </c>
      <c r="E17" s="16">
        <f>IF($A17="","",SUMPRODUCT((AttendanceLog!$E$2:$E$5000=$A17)*(AttendanceLog!$C$2:$C$5000&gt;=MAX($D17,Settings!$B$3))*((AttendanceLog!$I$2:$I$5000="")+(IFERROR(SEARCH(","&amp;$C17&amp;",",","&amp;AttendanceLog!$I$2:$I$5000&amp;","),0)&gt;0))))</f>
        <v>0</v>
      </c>
      <c r="F17" s="16">
        <f>IF($A17="","",SUMPRODUCT((EventLog!$C$2:$C$5000&gt;=MAX($D17,Settings!$B$3))*(EventLog!$C$2:$C$5000&lt;=TODAY())*((EventLog!$F$2:$F$5000="")+(IFERROR(SEARCH(","&amp;$C17&amp;",",","&amp;EventLog!$F$2:$F$5000&amp;","),0)&gt;0))))</f>
        <v>3</v>
      </c>
      <c r="G17" s="57">
        <f t="shared" si="1"/>
        <v>0</v>
      </c>
      <c r="H17" s="56" t="str">
        <f>IFERROR(__xludf.DUMMYFUNCTION("IFERROR(MAX(FILTER(AttendanceLog!$C:$C,AttendanceLog!$E:$E=$A17,(AttendanceLog!$I:$I="""")+(IFERROR(SEARCH("",""&amp;$C17&amp;"","","",""&amp;AttendanceLog!$I:$I&amp;"",""),0)&gt;0))),"""")"),"")</f>
        <v/>
      </c>
    </row>
    <row r="18">
      <c r="A18" s="53" t="s">
        <v>118</v>
      </c>
      <c r="B18" s="53" t="s">
        <v>61</v>
      </c>
      <c r="C18" s="53" t="s">
        <v>41</v>
      </c>
      <c r="D18" s="55">
        <v>46265.33333333333</v>
      </c>
      <c r="E18" s="16">
        <f>IF($A18="","",SUMPRODUCT((AttendanceLog!$E$2:$E$5000=$A18)*(AttendanceLog!$C$2:$C$5000&gt;=MAX($D18,Settings!$B$3))*((AttendanceLog!$I$2:$I$5000="")+(IFERROR(SEARCH(","&amp;$C18&amp;",",","&amp;AttendanceLog!$I$2:$I$5000&amp;","),0)&gt;0))))</f>
        <v>0</v>
      </c>
      <c r="F18" s="16">
        <f>IF($A18="","",SUMPRODUCT((EventLog!$C$2:$C$5000&gt;=MAX($D18,Settings!$B$3))*(EventLog!$C$2:$C$5000&lt;=TODAY())*((EventLog!$F$2:$F$5000="")+(IFERROR(SEARCH(","&amp;$C18&amp;",",","&amp;EventLog!$F$2:$F$5000&amp;","),0)&gt;0))))</f>
        <v>3</v>
      </c>
      <c r="G18" s="57">
        <f t="shared" si="1"/>
        <v>0</v>
      </c>
      <c r="H18" s="56" t="str">
        <f>IFERROR(__xludf.DUMMYFUNCTION("IFERROR(MAX(FILTER(AttendanceLog!$C:$C,AttendanceLog!$E:$E=$A18,(AttendanceLog!$I:$I="""")+(IFERROR(SEARCH("",""&amp;$C18&amp;"","","",""&amp;AttendanceLog!$I:$I&amp;"",""),0)&gt;0))),"""")"),"")</f>
        <v/>
      </c>
    </row>
    <row r="19">
      <c r="A19" s="53" t="s">
        <v>119</v>
      </c>
      <c r="B19" s="53" t="s">
        <v>61</v>
      </c>
      <c r="C19" s="53" t="s">
        <v>41</v>
      </c>
      <c r="D19" s="55">
        <v>46265.33333333333</v>
      </c>
      <c r="E19" s="16">
        <f>IF($A19="","",SUMPRODUCT((AttendanceLog!$E$2:$E$5000=$A19)*(AttendanceLog!$C$2:$C$5000&gt;=MAX($D19,Settings!$B$3))*((AttendanceLog!$I$2:$I$5000="")+(IFERROR(SEARCH(","&amp;$C19&amp;",",","&amp;AttendanceLog!$I$2:$I$5000&amp;","),0)&gt;0))))</f>
        <v>0</v>
      </c>
      <c r="F19" s="16">
        <f>IF($A19="","",SUMPRODUCT((EventLog!$C$2:$C$5000&gt;=MAX($D19,Settings!$B$3))*(EventLog!$C$2:$C$5000&lt;=TODAY())*((EventLog!$F$2:$F$5000="")+(IFERROR(SEARCH(","&amp;$C19&amp;",",","&amp;EventLog!$F$2:$F$5000&amp;","),0)&gt;0))))</f>
        <v>3</v>
      </c>
      <c r="G19" s="57">
        <f t="shared" si="1"/>
        <v>0</v>
      </c>
      <c r="H19" s="56" t="str">
        <f>IFERROR(__xludf.DUMMYFUNCTION("IFERROR(MAX(FILTER(AttendanceLog!$C:$C,AttendanceLog!$E:$E=$A19,(AttendanceLog!$I:$I="""")+(IFERROR(SEARCH("",""&amp;$C19&amp;"","","",""&amp;AttendanceLog!$I:$I&amp;"",""),0)&gt;0))),"""")"),"")</f>
        <v/>
      </c>
    </row>
    <row r="20">
      <c r="A20" s="53" t="s">
        <v>120</v>
      </c>
      <c r="B20" s="53" t="s">
        <v>61</v>
      </c>
      <c r="C20" s="53" t="s">
        <v>41</v>
      </c>
      <c r="D20" s="55">
        <v>46265.33333333333</v>
      </c>
      <c r="E20" s="16">
        <f>IF($A20="","",SUMPRODUCT((AttendanceLog!$E$2:$E$5000=$A20)*(AttendanceLog!$C$2:$C$5000&gt;=MAX($D20,Settings!$B$3))*((AttendanceLog!$I$2:$I$5000="")+(IFERROR(SEARCH(","&amp;$C20&amp;",",","&amp;AttendanceLog!$I$2:$I$5000&amp;","),0)&gt;0))))</f>
        <v>2</v>
      </c>
      <c r="F20" s="16">
        <f>IF($A20="","",SUMPRODUCT((EventLog!$C$2:$C$5000&gt;=MAX($D20,Settings!$B$3))*(EventLog!$C$2:$C$5000&lt;=TODAY())*((EventLog!$F$2:$F$5000="")+(IFERROR(SEARCH(","&amp;$C20&amp;",",","&amp;EventLog!$F$2:$F$5000&amp;","),0)&gt;0))))</f>
        <v>3</v>
      </c>
      <c r="G20" s="57">
        <f t="shared" si="1"/>
        <v>0.6666666667</v>
      </c>
      <c r="H20" s="56">
        <f>IFERROR(__xludf.DUMMYFUNCTION("IFERROR(MAX(FILTER(AttendanceLog!$C:$C,AttendanceLog!$E:$E=$A20,(AttendanceLog!$I:$I="""")+(IFERROR(SEARCH("",""&amp;$C20&amp;"","","",""&amp;AttendanceLog!$I:$I&amp;"",""),0)&gt;0))),"""")"),46289.33333333333)</f>
        <v>46289.33333</v>
      </c>
    </row>
    <row r="21" ht="15.75" customHeight="1">
      <c r="A21" s="53" t="s">
        <v>121</v>
      </c>
      <c r="B21" s="53" t="s">
        <v>61</v>
      </c>
      <c r="C21" s="53" t="s">
        <v>41</v>
      </c>
      <c r="D21" s="55">
        <v>46265.33333333333</v>
      </c>
      <c r="E21" s="16">
        <f>IF($A21="","",SUMPRODUCT((AttendanceLog!$E$2:$E$5000=$A21)*(AttendanceLog!$C$2:$C$5000&gt;=MAX($D21,Settings!$B$3))*((AttendanceLog!$I$2:$I$5000="")+(IFERROR(SEARCH(","&amp;$C21&amp;",",","&amp;AttendanceLog!$I$2:$I$5000&amp;","),0)&gt;0))))</f>
        <v>0</v>
      </c>
      <c r="F21" s="16">
        <f>IF($A21="","",SUMPRODUCT((EventLog!$C$2:$C$5000&gt;=MAX($D21,Settings!$B$3))*(EventLog!$C$2:$C$5000&lt;=TODAY())*((EventLog!$F$2:$F$5000="")+(IFERROR(SEARCH(","&amp;$C21&amp;",",","&amp;EventLog!$F$2:$F$5000&amp;","),0)&gt;0))))</f>
        <v>3</v>
      </c>
      <c r="G21" s="57">
        <f t="shared" si="1"/>
        <v>0</v>
      </c>
      <c r="H21" s="56" t="str">
        <f>IFERROR(__xludf.DUMMYFUNCTION("IFERROR(MAX(FILTER(AttendanceLog!$C:$C,AttendanceLog!$E:$E=$A21,(AttendanceLog!$I:$I="""")+(IFERROR(SEARCH("",""&amp;$C21&amp;"","","",""&amp;AttendanceLog!$I:$I&amp;"",""),0)&gt;0))),"""")"),"")</f>
        <v/>
      </c>
    </row>
    <row r="22" ht="15.75" customHeight="1">
      <c r="A22" s="53" t="s">
        <v>122</v>
      </c>
      <c r="B22" s="53" t="s">
        <v>61</v>
      </c>
      <c r="C22" s="53" t="s">
        <v>41</v>
      </c>
      <c r="D22" s="55">
        <v>46265.33333333333</v>
      </c>
      <c r="E22" s="16">
        <f>IF($A22="","",SUMPRODUCT((AttendanceLog!$E$2:$E$5000=$A22)*(AttendanceLog!$C$2:$C$5000&gt;=MAX($D22,Settings!$B$3))*((AttendanceLog!$I$2:$I$5000="")+(IFERROR(SEARCH(","&amp;$C22&amp;",",","&amp;AttendanceLog!$I$2:$I$5000&amp;","),0)&gt;0))))</f>
        <v>0</v>
      </c>
      <c r="F22" s="16">
        <f>IF($A22="","",SUMPRODUCT((EventLog!$C$2:$C$5000&gt;=MAX($D22,Settings!$B$3))*(EventLog!$C$2:$C$5000&lt;=TODAY())*((EventLog!$F$2:$F$5000="")+(IFERROR(SEARCH(","&amp;$C22&amp;",",","&amp;EventLog!$F$2:$F$5000&amp;","),0)&gt;0))))</f>
        <v>3</v>
      </c>
      <c r="G22" s="57">
        <f t="shared" si="1"/>
        <v>0</v>
      </c>
      <c r="H22" s="56" t="str">
        <f>IFERROR(__xludf.DUMMYFUNCTION("IFERROR(MAX(FILTER(AttendanceLog!$C:$C,AttendanceLog!$E:$E=$A22,(AttendanceLog!$I:$I="""")+(IFERROR(SEARCH("",""&amp;$C22&amp;"","","",""&amp;AttendanceLog!$I:$I&amp;"",""),0)&gt;0))),"""")"),"")</f>
        <v/>
      </c>
    </row>
    <row r="23" ht="15.75" customHeight="1">
      <c r="A23" s="53" t="s">
        <v>123</v>
      </c>
      <c r="B23" s="53" t="s">
        <v>61</v>
      </c>
      <c r="C23" s="53" t="s">
        <v>41</v>
      </c>
      <c r="D23" s="55">
        <v>46265.33333333333</v>
      </c>
      <c r="E23" s="16">
        <f>IF($A23="","",SUMPRODUCT((AttendanceLog!$E$2:$E$5000=$A23)*(AttendanceLog!$C$2:$C$5000&gt;=MAX($D23,Settings!$B$3))*((AttendanceLog!$I$2:$I$5000="")+(IFERROR(SEARCH(","&amp;$C23&amp;",",","&amp;AttendanceLog!$I$2:$I$5000&amp;","),0)&gt;0))))</f>
        <v>2</v>
      </c>
      <c r="F23" s="16">
        <f>IF($A23="","",SUMPRODUCT((EventLog!$C$2:$C$5000&gt;=MAX($D23,Settings!$B$3))*(EventLog!$C$2:$C$5000&lt;=TODAY())*((EventLog!$F$2:$F$5000="")+(IFERROR(SEARCH(","&amp;$C23&amp;",",","&amp;EventLog!$F$2:$F$5000&amp;","),0)&gt;0))))</f>
        <v>3</v>
      </c>
      <c r="G23" s="57">
        <f t="shared" si="1"/>
        <v>0.6666666667</v>
      </c>
      <c r="H23" s="56">
        <f>IFERROR(__xludf.DUMMYFUNCTION("IFERROR(MAX(FILTER(AttendanceLog!$C:$C,AttendanceLog!$E:$E=$A23,(AttendanceLog!$I:$I="""")+(IFERROR(SEARCH("",""&amp;$C23&amp;"","","",""&amp;AttendanceLog!$I:$I&amp;"",""),0)&gt;0))),"""")"),46305.33333333333)</f>
        <v>46305.33333</v>
      </c>
    </row>
    <row r="24" ht="15.75" customHeight="1">
      <c r="A24" s="53" t="s">
        <v>124</v>
      </c>
      <c r="B24" s="53" t="s">
        <v>61</v>
      </c>
      <c r="C24" s="53" t="s">
        <v>41</v>
      </c>
      <c r="D24" s="55">
        <v>46265.33333333333</v>
      </c>
      <c r="E24" s="16">
        <f>IF($A24="","",SUMPRODUCT((AttendanceLog!$E$2:$E$5000=$A24)*(AttendanceLog!$C$2:$C$5000&gt;=MAX($D24,Settings!$B$3))*((AttendanceLog!$I$2:$I$5000="")+(IFERROR(SEARCH(","&amp;$C24&amp;",",","&amp;AttendanceLog!$I$2:$I$5000&amp;","),0)&gt;0))))</f>
        <v>1</v>
      </c>
      <c r="F24" s="16">
        <f>IF($A24="","",SUMPRODUCT((EventLog!$C$2:$C$5000&gt;=MAX($D24,Settings!$B$3))*(EventLog!$C$2:$C$5000&lt;=TODAY())*((EventLog!$F$2:$F$5000="")+(IFERROR(SEARCH(","&amp;$C24&amp;",",","&amp;EventLog!$F$2:$F$5000&amp;","),0)&gt;0))))</f>
        <v>3</v>
      </c>
      <c r="G24" s="57">
        <f t="shared" si="1"/>
        <v>0.3333333333</v>
      </c>
      <c r="H24" s="56">
        <f>IFERROR(__xludf.DUMMYFUNCTION("IFERROR(MAX(FILTER(AttendanceLog!$C:$C,AttendanceLog!$E:$E=$A24,(AttendanceLog!$I:$I="""")+(IFERROR(SEARCH("",""&amp;$C24&amp;"","","",""&amp;AttendanceLog!$I:$I&amp;"",""),0)&gt;0))),"""")"),46275.0)</f>
        <v>46275</v>
      </c>
    </row>
    <row r="25" ht="15.75" customHeight="1">
      <c r="A25" s="53" t="s">
        <v>125</v>
      </c>
      <c r="B25" s="53" t="s">
        <v>61</v>
      </c>
      <c r="C25" s="53" t="s">
        <v>41</v>
      </c>
      <c r="D25" s="55">
        <v>46265.33333333333</v>
      </c>
      <c r="E25" s="16">
        <f>IF($A25="","",SUMPRODUCT((AttendanceLog!$E$2:$E$5000=$A25)*(AttendanceLog!$C$2:$C$5000&gt;=MAX($D25,Settings!$B$3))*((AttendanceLog!$I$2:$I$5000="")+(IFERROR(SEARCH(","&amp;$C25&amp;",",","&amp;AttendanceLog!$I$2:$I$5000&amp;","),0)&gt;0))))</f>
        <v>0</v>
      </c>
      <c r="F25" s="16">
        <f>IF($A25="","",SUMPRODUCT((EventLog!$C$2:$C$5000&gt;=MAX($D25,Settings!$B$3))*(EventLog!$C$2:$C$5000&lt;=TODAY())*((EventLog!$F$2:$F$5000="")+(IFERROR(SEARCH(","&amp;$C25&amp;",",","&amp;EventLog!$F$2:$F$5000&amp;","),0)&gt;0))))</f>
        <v>3</v>
      </c>
      <c r="G25" s="57">
        <f t="shared" si="1"/>
        <v>0</v>
      </c>
      <c r="H25" s="56" t="str">
        <f>IFERROR(__xludf.DUMMYFUNCTION("IFERROR(MAX(FILTER(AttendanceLog!$C:$C,AttendanceLog!$E:$E=$A25,(AttendanceLog!$I:$I="""")+(IFERROR(SEARCH("",""&amp;$C25&amp;"","","",""&amp;AttendanceLog!$I:$I&amp;"",""),0)&gt;0))),"""")"),"")</f>
        <v/>
      </c>
    </row>
    <row r="26" ht="15.75" customHeight="1">
      <c r="A26" s="53" t="s">
        <v>126</v>
      </c>
      <c r="B26" s="53" t="s">
        <v>61</v>
      </c>
      <c r="C26" s="53" t="s">
        <v>41</v>
      </c>
      <c r="D26" s="55">
        <v>46265.33333333333</v>
      </c>
      <c r="E26" s="16">
        <f>IF($A26="","",SUMPRODUCT((AttendanceLog!$E$2:$E$5000=$A26)*(AttendanceLog!$C$2:$C$5000&gt;=MAX($D26,Settings!$B$3))*((AttendanceLog!$I$2:$I$5000="")+(IFERROR(SEARCH(","&amp;$C26&amp;",",","&amp;AttendanceLog!$I$2:$I$5000&amp;","),0)&gt;0))))</f>
        <v>2</v>
      </c>
      <c r="F26" s="16">
        <f>IF($A26="","",SUMPRODUCT((EventLog!$C$2:$C$5000&gt;=MAX($D26,Settings!$B$3))*(EventLog!$C$2:$C$5000&lt;=TODAY())*((EventLog!$F$2:$F$5000="")+(IFERROR(SEARCH(","&amp;$C26&amp;",",","&amp;EventLog!$F$2:$F$5000&amp;","),0)&gt;0))))</f>
        <v>3</v>
      </c>
      <c r="G26" s="57">
        <f t="shared" si="1"/>
        <v>0.6666666667</v>
      </c>
      <c r="H26" s="56">
        <f>IFERROR(__xludf.DUMMYFUNCTION("IFERROR(MAX(FILTER(AttendanceLog!$C:$C,AttendanceLog!$E:$E=$A26,(AttendanceLog!$I:$I="""")+(IFERROR(SEARCH("",""&amp;$C26&amp;"","","",""&amp;AttendanceLog!$I:$I&amp;"",""),0)&gt;0))),"""")"),46305.33333333333)</f>
        <v>46305.33333</v>
      </c>
    </row>
    <row r="27" ht="15.75" customHeight="1">
      <c r="A27" s="53" t="s">
        <v>127</v>
      </c>
      <c r="B27" s="53" t="s">
        <v>61</v>
      </c>
      <c r="C27" s="53" t="s">
        <v>41</v>
      </c>
      <c r="D27" s="55">
        <v>46265.33333333333</v>
      </c>
      <c r="E27" s="16">
        <f>IF($A27="","",SUMPRODUCT((AttendanceLog!$E$2:$E$5000=$A27)*(AttendanceLog!$C$2:$C$5000&gt;=MAX($D27,Settings!$B$3))*((AttendanceLog!$I$2:$I$5000="")+(IFERROR(SEARCH(","&amp;$C27&amp;",",","&amp;AttendanceLog!$I$2:$I$5000&amp;","),0)&gt;0))))</f>
        <v>2</v>
      </c>
      <c r="F27" s="16">
        <f>IF($A27="","",SUMPRODUCT((EventLog!$C$2:$C$5000&gt;=MAX($D27,Settings!$B$3))*(EventLog!$C$2:$C$5000&lt;=TODAY())*((EventLog!$F$2:$F$5000="")+(IFERROR(SEARCH(","&amp;$C27&amp;",",","&amp;EventLog!$F$2:$F$5000&amp;","),0)&gt;0))))</f>
        <v>3</v>
      </c>
      <c r="G27" s="57">
        <f t="shared" si="1"/>
        <v>0.6666666667</v>
      </c>
      <c r="H27" s="56">
        <f>IFERROR(__xludf.DUMMYFUNCTION("IFERROR(MAX(FILTER(AttendanceLog!$C:$C,AttendanceLog!$E:$E=$A27,(AttendanceLog!$I:$I="""")+(IFERROR(SEARCH("",""&amp;$C27&amp;"","","",""&amp;AttendanceLog!$I:$I&amp;"",""),0)&gt;0))),"""")"),46305.33333333333)</f>
        <v>46305.33333</v>
      </c>
    </row>
    <row r="28" ht="15.75" customHeight="1">
      <c r="A28" s="53" t="s">
        <v>128</v>
      </c>
      <c r="B28" s="53" t="s">
        <v>61</v>
      </c>
      <c r="C28" s="53" t="s">
        <v>41</v>
      </c>
      <c r="D28" s="55">
        <v>46265.33333333333</v>
      </c>
      <c r="E28" s="16">
        <f>IF($A28="","",SUMPRODUCT((AttendanceLog!$E$2:$E$5000=$A28)*(AttendanceLog!$C$2:$C$5000&gt;=MAX($D28,Settings!$B$3))*((AttendanceLog!$I$2:$I$5000="")+(IFERROR(SEARCH(","&amp;$C28&amp;",",","&amp;AttendanceLog!$I$2:$I$5000&amp;","),0)&gt;0))))</f>
        <v>0</v>
      </c>
      <c r="F28" s="16">
        <f>IF($A28="","",SUMPRODUCT((EventLog!$C$2:$C$5000&gt;=MAX($D28,Settings!$B$3))*(EventLog!$C$2:$C$5000&lt;=TODAY())*((EventLog!$F$2:$F$5000="")+(IFERROR(SEARCH(","&amp;$C28&amp;",",","&amp;EventLog!$F$2:$F$5000&amp;","),0)&gt;0))))</f>
        <v>3</v>
      </c>
      <c r="G28" s="57">
        <f t="shared" si="1"/>
        <v>0</v>
      </c>
      <c r="H28" s="56" t="str">
        <f>IFERROR(__xludf.DUMMYFUNCTION("IFERROR(MAX(FILTER(AttendanceLog!$C:$C,AttendanceLog!$E:$E=$A28,(AttendanceLog!$I:$I="""")+(IFERROR(SEARCH("",""&amp;$C28&amp;"","","",""&amp;AttendanceLog!$I:$I&amp;"",""),0)&gt;0))),"""")"),"")</f>
        <v/>
      </c>
    </row>
    <row r="29" ht="15.75" customHeight="1">
      <c r="A29" s="53" t="s">
        <v>129</v>
      </c>
      <c r="B29" s="53" t="s">
        <v>61</v>
      </c>
      <c r="C29" s="53" t="s">
        <v>41</v>
      </c>
      <c r="D29" s="55">
        <v>46265.33333333333</v>
      </c>
      <c r="E29" s="16">
        <f>IF($A29="","",SUMPRODUCT((AttendanceLog!$E$2:$E$5000=$A29)*(AttendanceLog!$C$2:$C$5000&gt;=MAX($D29,Settings!$B$3))*((AttendanceLog!$I$2:$I$5000="")+(IFERROR(SEARCH(","&amp;$C29&amp;",",","&amp;AttendanceLog!$I$2:$I$5000&amp;","),0)&gt;0))))</f>
        <v>0</v>
      </c>
      <c r="F29" s="16">
        <f>IF($A29="","",SUMPRODUCT((EventLog!$C$2:$C$5000&gt;=MAX($D29,Settings!$B$3))*(EventLog!$C$2:$C$5000&lt;=TODAY())*((EventLog!$F$2:$F$5000="")+(IFERROR(SEARCH(","&amp;$C29&amp;",",","&amp;EventLog!$F$2:$F$5000&amp;","),0)&gt;0))))</f>
        <v>3</v>
      </c>
      <c r="G29" s="57">
        <f t="shared" si="1"/>
        <v>0</v>
      </c>
      <c r="H29" s="56" t="str">
        <f>IFERROR(__xludf.DUMMYFUNCTION("IFERROR(MAX(FILTER(AttendanceLog!$C:$C,AttendanceLog!$E:$E=$A29,(AttendanceLog!$I:$I="""")+(IFERROR(SEARCH("",""&amp;$C29&amp;"","","",""&amp;AttendanceLog!$I:$I&amp;"",""),0)&gt;0))),"""")"),"")</f>
        <v/>
      </c>
    </row>
    <row r="30" ht="15.75" customHeight="1">
      <c r="A30" s="53" t="s">
        <v>130</v>
      </c>
      <c r="B30" s="53" t="s">
        <v>61</v>
      </c>
      <c r="C30" s="53" t="s">
        <v>41</v>
      </c>
      <c r="D30" s="55">
        <v>46265.33333333333</v>
      </c>
      <c r="E30" s="16">
        <f>IF($A30="","",SUMPRODUCT((AttendanceLog!$E$2:$E$5000=$A30)*(AttendanceLog!$C$2:$C$5000&gt;=MAX($D30,Settings!$B$3))*((AttendanceLog!$I$2:$I$5000="")+(IFERROR(SEARCH(","&amp;$C30&amp;",",","&amp;AttendanceLog!$I$2:$I$5000&amp;","),0)&gt;0))))</f>
        <v>1</v>
      </c>
      <c r="F30" s="16">
        <f>IF($A30="","",SUMPRODUCT((EventLog!$C$2:$C$5000&gt;=MAX($D30,Settings!$B$3))*(EventLog!$C$2:$C$5000&lt;=TODAY())*((EventLog!$F$2:$F$5000="")+(IFERROR(SEARCH(","&amp;$C30&amp;",",","&amp;EventLog!$F$2:$F$5000&amp;","),0)&gt;0))))</f>
        <v>3</v>
      </c>
      <c r="G30" s="57">
        <f t="shared" si="1"/>
        <v>0.3333333333</v>
      </c>
      <c r="H30" s="56">
        <f>IFERROR(__xludf.DUMMYFUNCTION("IFERROR(MAX(FILTER(AttendanceLog!$C:$C,AttendanceLog!$E:$E=$A30,(AttendanceLog!$I:$I="""")+(IFERROR(SEARCH("",""&amp;$C30&amp;"","","",""&amp;AttendanceLog!$I:$I&amp;"",""),0)&gt;0))),"""")"),46305.33333333333)</f>
        <v>46305.33333</v>
      </c>
    </row>
    <row r="31" ht="15.75" customHeight="1">
      <c r="A31" s="53" t="s">
        <v>131</v>
      </c>
      <c r="B31" s="53" t="s">
        <v>61</v>
      </c>
      <c r="C31" s="53" t="s">
        <v>41</v>
      </c>
      <c r="D31" s="55">
        <v>46265.33333333333</v>
      </c>
      <c r="E31" s="16">
        <f>IF($A31="","",SUMPRODUCT((AttendanceLog!$E$2:$E$5000=$A31)*(AttendanceLog!$C$2:$C$5000&gt;=MAX($D31,Settings!$B$3))*((AttendanceLog!$I$2:$I$5000="")+(IFERROR(SEARCH(","&amp;$C31&amp;",",","&amp;AttendanceLog!$I$2:$I$5000&amp;","),0)&gt;0))))</f>
        <v>0</v>
      </c>
      <c r="F31" s="16">
        <f>IF($A31="","",SUMPRODUCT((EventLog!$C$2:$C$5000&gt;=MAX($D31,Settings!$B$3))*(EventLog!$C$2:$C$5000&lt;=TODAY())*((EventLog!$F$2:$F$5000="")+(IFERROR(SEARCH(","&amp;$C31&amp;",",","&amp;EventLog!$F$2:$F$5000&amp;","),0)&gt;0))))</f>
        <v>3</v>
      </c>
      <c r="G31" s="57">
        <f t="shared" si="1"/>
        <v>0</v>
      </c>
      <c r="H31" s="56" t="str">
        <f>IFERROR(__xludf.DUMMYFUNCTION("IFERROR(MAX(FILTER(AttendanceLog!$C:$C,AttendanceLog!$E:$E=$A31,(AttendanceLog!$I:$I="""")+(IFERROR(SEARCH("",""&amp;$C31&amp;"","","",""&amp;AttendanceLog!$I:$I&amp;"",""),0)&gt;0))),"""")"),"")</f>
        <v/>
      </c>
    </row>
    <row r="32" ht="15.75" customHeight="1">
      <c r="A32" s="53" t="s">
        <v>132</v>
      </c>
      <c r="B32" s="53" t="s">
        <v>61</v>
      </c>
      <c r="C32" s="53" t="s">
        <v>41</v>
      </c>
      <c r="D32" s="55">
        <v>46265.33333333333</v>
      </c>
      <c r="E32" s="16">
        <f>IF($A32="","",SUMPRODUCT((AttendanceLog!$E$2:$E$5000=$A32)*(AttendanceLog!$C$2:$C$5000&gt;=MAX($D32,Settings!$B$3))*((AttendanceLog!$I$2:$I$5000="")+(IFERROR(SEARCH(","&amp;$C32&amp;",",","&amp;AttendanceLog!$I$2:$I$5000&amp;","),0)&gt;0))))</f>
        <v>1</v>
      </c>
      <c r="F32" s="16">
        <f>IF($A32="","",SUMPRODUCT((EventLog!$C$2:$C$5000&gt;=MAX($D32,Settings!$B$3))*(EventLog!$C$2:$C$5000&lt;=TODAY())*((EventLog!$F$2:$F$5000="")+(IFERROR(SEARCH(","&amp;$C32&amp;",",","&amp;EventLog!$F$2:$F$5000&amp;","),0)&gt;0))))</f>
        <v>3</v>
      </c>
      <c r="G32" s="57">
        <f t="shared" si="1"/>
        <v>0.3333333333</v>
      </c>
      <c r="H32" s="56">
        <f>IFERROR(__xludf.DUMMYFUNCTION("IFERROR(MAX(FILTER(AttendanceLog!$C:$C,AttendanceLog!$E:$E=$A32,(AttendanceLog!$I:$I="""")+(IFERROR(SEARCH("",""&amp;$C32&amp;"","","",""&amp;AttendanceLog!$I:$I&amp;"",""),0)&gt;0))),"""")"),46305.33333333333)</f>
        <v>46305.33333</v>
      </c>
    </row>
    <row r="33" ht="15.75" customHeight="1">
      <c r="A33" s="53" t="s">
        <v>133</v>
      </c>
      <c r="B33" s="53" t="s">
        <v>61</v>
      </c>
      <c r="C33" s="53" t="s">
        <v>41</v>
      </c>
      <c r="D33" s="55">
        <v>46265.33333333333</v>
      </c>
      <c r="E33" s="16">
        <f>IF($A33="","",SUMPRODUCT((AttendanceLog!$E$2:$E$5000=$A33)*(AttendanceLog!$C$2:$C$5000&gt;=MAX($D33,Settings!$B$3))*((AttendanceLog!$I$2:$I$5000="")+(IFERROR(SEARCH(","&amp;$C33&amp;",",","&amp;AttendanceLog!$I$2:$I$5000&amp;","),0)&gt;0))))</f>
        <v>3</v>
      </c>
      <c r="F33" s="16">
        <f>IF($A33="","",SUMPRODUCT((EventLog!$C$2:$C$5000&gt;=MAX($D33,Settings!$B$3))*(EventLog!$C$2:$C$5000&lt;=TODAY())*((EventLog!$F$2:$F$5000="")+(IFERROR(SEARCH(","&amp;$C33&amp;",",","&amp;EventLog!$F$2:$F$5000&amp;","),0)&gt;0))))</f>
        <v>3</v>
      </c>
      <c r="G33" s="57">
        <f t="shared" si="1"/>
        <v>1</v>
      </c>
      <c r="H33" s="56">
        <f>IFERROR(__xludf.DUMMYFUNCTION("IFERROR(MAX(FILTER(AttendanceLog!$C:$C,AttendanceLog!$E:$E=$A33,(AttendanceLog!$I:$I="""")+(IFERROR(SEARCH("",""&amp;$C33&amp;"","","",""&amp;AttendanceLog!$I:$I&amp;"",""),0)&gt;0))),"""")"),46305.33333333333)</f>
        <v>46305.33333</v>
      </c>
    </row>
    <row r="34" ht="15.75" customHeight="1">
      <c r="A34" s="53" t="s">
        <v>134</v>
      </c>
      <c r="B34" s="53" t="s">
        <v>61</v>
      </c>
      <c r="C34" s="53" t="s">
        <v>41</v>
      </c>
      <c r="D34" s="55">
        <v>46265.33333333333</v>
      </c>
      <c r="E34" s="16">
        <f>IF($A34="","",SUMPRODUCT((AttendanceLog!$E$2:$E$5000=$A34)*(AttendanceLog!$C$2:$C$5000&gt;=MAX($D34,Settings!$B$3))*((AttendanceLog!$I$2:$I$5000="")+(IFERROR(SEARCH(","&amp;$C34&amp;",",","&amp;AttendanceLog!$I$2:$I$5000&amp;","),0)&gt;0))))</f>
        <v>1</v>
      </c>
      <c r="F34" s="16">
        <f>IF($A34="","",SUMPRODUCT((EventLog!$C$2:$C$5000&gt;=MAX($D34,Settings!$B$3))*(EventLog!$C$2:$C$5000&lt;=TODAY())*((EventLog!$F$2:$F$5000="")+(IFERROR(SEARCH(","&amp;$C34&amp;",",","&amp;EventLog!$F$2:$F$5000&amp;","),0)&gt;0))))</f>
        <v>3</v>
      </c>
      <c r="G34" s="57">
        <f t="shared" si="1"/>
        <v>0.3333333333</v>
      </c>
      <c r="H34" s="56">
        <f>IFERROR(__xludf.DUMMYFUNCTION("IFERROR(MAX(FILTER(AttendanceLog!$C:$C,AttendanceLog!$E:$E=$A34,(AttendanceLog!$I:$I="""")+(IFERROR(SEARCH("",""&amp;$C34&amp;"","","",""&amp;AttendanceLog!$I:$I&amp;"",""),0)&gt;0))),"""")"),46305.33333333333)</f>
        <v>46305.33333</v>
      </c>
    </row>
    <row r="35" ht="15.75" customHeight="1">
      <c r="A35" s="53" t="s">
        <v>135</v>
      </c>
      <c r="B35" s="53" t="s">
        <v>61</v>
      </c>
      <c r="C35" s="53" t="s">
        <v>41</v>
      </c>
      <c r="D35" s="55">
        <v>46265.33333333333</v>
      </c>
      <c r="E35" s="16">
        <f>IF($A35="","",SUMPRODUCT((AttendanceLog!$E$2:$E$5000=$A35)*(AttendanceLog!$C$2:$C$5000&gt;=MAX($D35,Settings!$B$3))*((AttendanceLog!$I$2:$I$5000="")+(IFERROR(SEARCH(","&amp;$C35&amp;",",","&amp;AttendanceLog!$I$2:$I$5000&amp;","),0)&gt;0))))</f>
        <v>3</v>
      </c>
      <c r="F35" s="16">
        <f>IF($A35="","",SUMPRODUCT((EventLog!$C$2:$C$5000&gt;=MAX($D35,Settings!$B$3))*(EventLog!$C$2:$C$5000&lt;=TODAY())*((EventLog!$F$2:$F$5000="")+(IFERROR(SEARCH(","&amp;$C35&amp;",",","&amp;EventLog!$F$2:$F$5000&amp;","),0)&gt;0))))</f>
        <v>3</v>
      </c>
      <c r="G35" s="57">
        <f t="shared" si="1"/>
        <v>1</v>
      </c>
      <c r="H35" s="56">
        <f>IFERROR(__xludf.DUMMYFUNCTION("IFERROR(MAX(FILTER(AttendanceLog!$C:$C,AttendanceLog!$E:$E=$A35,(AttendanceLog!$I:$I="""")+(IFERROR(SEARCH("",""&amp;$C35&amp;"","","",""&amp;AttendanceLog!$I:$I&amp;"",""),0)&gt;0))),"""")"),46305.33333333333)</f>
        <v>46305.33333</v>
      </c>
    </row>
    <row r="36" ht="15.75" customHeight="1">
      <c r="A36" s="53" t="s">
        <v>136</v>
      </c>
      <c r="B36" s="53" t="s">
        <v>61</v>
      </c>
      <c r="C36" s="53" t="s">
        <v>41</v>
      </c>
      <c r="D36" s="55">
        <v>46265.33333333333</v>
      </c>
      <c r="E36" s="16">
        <f>IF($A36="","",SUMPRODUCT((AttendanceLog!$E$2:$E$5000=$A36)*(AttendanceLog!$C$2:$C$5000&gt;=MAX($D36,Settings!$B$3))*((AttendanceLog!$I$2:$I$5000="")+(IFERROR(SEARCH(","&amp;$C36&amp;",",","&amp;AttendanceLog!$I$2:$I$5000&amp;","),0)&gt;0))))</f>
        <v>0</v>
      </c>
      <c r="F36" s="16">
        <f>IF($A36="","",SUMPRODUCT((EventLog!$C$2:$C$5000&gt;=MAX($D36,Settings!$B$3))*(EventLog!$C$2:$C$5000&lt;=TODAY())*((EventLog!$F$2:$F$5000="")+(IFERROR(SEARCH(","&amp;$C36&amp;",",","&amp;EventLog!$F$2:$F$5000&amp;","),0)&gt;0))))</f>
        <v>3</v>
      </c>
      <c r="G36" s="57">
        <f t="shared" si="1"/>
        <v>0</v>
      </c>
      <c r="H36" s="56" t="str">
        <f>IFERROR(__xludf.DUMMYFUNCTION("IFERROR(MAX(FILTER(AttendanceLog!$C:$C,AttendanceLog!$E:$E=$A36,(AttendanceLog!$I:$I="""")+(IFERROR(SEARCH("",""&amp;$C36&amp;"","","",""&amp;AttendanceLog!$I:$I&amp;"",""),0)&gt;0))),"""")"),"")</f>
        <v/>
      </c>
    </row>
    <row r="37" ht="15.75" customHeight="1">
      <c r="A37" s="53" t="s">
        <v>137</v>
      </c>
      <c r="B37" s="53" t="s">
        <v>61</v>
      </c>
      <c r="C37" s="53" t="s">
        <v>41</v>
      </c>
      <c r="D37" s="55">
        <v>46265.33333333333</v>
      </c>
      <c r="E37" s="16">
        <f>IF($A37="","",SUMPRODUCT((AttendanceLog!$E$2:$E$5000=$A37)*(AttendanceLog!$C$2:$C$5000&gt;=MAX($D37,Settings!$B$3))*((AttendanceLog!$I$2:$I$5000="")+(IFERROR(SEARCH(","&amp;$C37&amp;",",","&amp;AttendanceLog!$I$2:$I$5000&amp;","),0)&gt;0))))</f>
        <v>2</v>
      </c>
      <c r="F37" s="16">
        <f>IF($A37="","",SUMPRODUCT((EventLog!$C$2:$C$5000&gt;=MAX($D37,Settings!$B$3))*(EventLog!$C$2:$C$5000&lt;=TODAY())*((EventLog!$F$2:$F$5000="")+(IFERROR(SEARCH(","&amp;$C37&amp;",",","&amp;EventLog!$F$2:$F$5000&amp;","),0)&gt;0))))</f>
        <v>3</v>
      </c>
      <c r="G37" s="57">
        <f t="shared" si="1"/>
        <v>0.6666666667</v>
      </c>
      <c r="H37" s="56">
        <f>IFERROR(__xludf.DUMMYFUNCTION("IFERROR(MAX(FILTER(AttendanceLog!$C:$C,AttendanceLog!$E:$E=$A37,(AttendanceLog!$I:$I="""")+(IFERROR(SEARCH("",""&amp;$C37&amp;"","","",""&amp;AttendanceLog!$I:$I&amp;"",""),0)&gt;0))),"""")"),46305.33333333333)</f>
        <v>46305.33333</v>
      </c>
    </row>
    <row r="38" ht="15.75" customHeight="1">
      <c r="A38" s="53" t="s">
        <v>138</v>
      </c>
      <c r="B38" s="53" t="s">
        <v>61</v>
      </c>
      <c r="C38" s="53" t="s">
        <v>41</v>
      </c>
      <c r="D38" s="55">
        <v>46265.33333333333</v>
      </c>
      <c r="E38" s="16">
        <f>IF($A38="","",SUMPRODUCT((AttendanceLog!$E$2:$E$5000=$A38)*(AttendanceLog!$C$2:$C$5000&gt;=MAX($D38,Settings!$B$3))*((AttendanceLog!$I$2:$I$5000="")+(IFERROR(SEARCH(","&amp;$C38&amp;",",","&amp;AttendanceLog!$I$2:$I$5000&amp;","),0)&gt;0))))</f>
        <v>2</v>
      </c>
      <c r="F38" s="16">
        <f>IF($A38="","",SUMPRODUCT((EventLog!$C$2:$C$5000&gt;=MAX($D38,Settings!$B$3))*(EventLog!$C$2:$C$5000&lt;=TODAY())*((EventLog!$F$2:$F$5000="")+(IFERROR(SEARCH(","&amp;$C38&amp;",",","&amp;EventLog!$F$2:$F$5000&amp;","),0)&gt;0))))</f>
        <v>3</v>
      </c>
      <c r="G38" s="57">
        <f t="shared" si="1"/>
        <v>0.6666666667</v>
      </c>
      <c r="H38" s="56">
        <f>IFERROR(__xludf.DUMMYFUNCTION("IFERROR(MAX(FILTER(AttendanceLog!$C:$C,AttendanceLog!$E:$E=$A38,(AttendanceLog!$I:$I="""")+(IFERROR(SEARCH("",""&amp;$C38&amp;"","","",""&amp;AttendanceLog!$I:$I&amp;"",""),0)&gt;0))),"""")"),46305.33333333333)</f>
        <v>46305.33333</v>
      </c>
    </row>
    <row r="39" ht="15.75" customHeight="1">
      <c r="A39" s="53" t="s">
        <v>139</v>
      </c>
      <c r="B39" s="53" t="s">
        <v>61</v>
      </c>
      <c r="C39" s="53" t="s">
        <v>41</v>
      </c>
      <c r="D39" s="55">
        <v>46265.33333333333</v>
      </c>
      <c r="E39" s="16">
        <f>IF($A39="","",SUMPRODUCT((AttendanceLog!$E$2:$E$5000=$A39)*(AttendanceLog!$C$2:$C$5000&gt;=MAX($D39,Settings!$B$3))*((AttendanceLog!$I$2:$I$5000="")+(IFERROR(SEARCH(","&amp;$C39&amp;",",","&amp;AttendanceLog!$I$2:$I$5000&amp;","),0)&gt;0))))</f>
        <v>3</v>
      </c>
      <c r="F39" s="16">
        <f>IF($A39="","",SUMPRODUCT((EventLog!$C$2:$C$5000&gt;=MAX($D39,Settings!$B$3))*(EventLog!$C$2:$C$5000&lt;=TODAY())*((EventLog!$F$2:$F$5000="")+(IFERROR(SEARCH(","&amp;$C39&amp;",",","&amp;EventLog!$F$2:$F$5000&amp;","),0)&gt;0))))</f>
        <v>3</v>
      </c>
      <c r="G39" s="57">
        <f t="shared" si="1"/>
        <v>1</v>
      </c>
      <c r="H39" s="56">
        <f>IFERROR(__xludf.DUMMYFUNCTION("IFERROR(MAX(FILTER(AttendanceLog!$C:$C,AttendanceLog!$E:$E=$A39,(AttendanceLog!$I:$I="""")+(IFERROR(SEARCH("",""&amp;$C39&amp;"","","",""&amp;AttendanceLog!$I:$I&amp;"",""),0)&gt;0))),"""")"),46305.33333333333)</f>
        <v>46305.33333</v>
      </c>
    </row>
    <row r="40" ht="15.75" customHeight="1">
      <c r="A40" s="53" t="s">
        <v>140</v>
      </c>
      <c r="B40" s="53" t="s">
        <v>61</v>
      </c>
      <c r="C40" s="53" t="s">
        <v>41</v>
      </c>
      <c r="D40" s="55">
        <v>46265.33333333333</v>
      </c>
      <c r="E40" s="16">
        <f>IF($A40="","",SUMPRODUCT((AttendanceLog!$E$2:$E$5000=$A40)*(AttendanceLog!$C$2:$C$5000&gt;=MAX($D40,Settings!$B$3))*((AttendanceLog!$I$2:$I$5000="")+(IFERROR(SEARCH(","&amp;$C40&amp;",",","&amp;AttendanceLog!$I$2:$I$5000&amp;","),0)&gt;0))))</f>
        <v>1</v>
      </c>
      <c r="F40" s="16">
        <f>IF($A40="","",SUMPRODUCT((EventLog!$C$2:$C$5000&gt;=MAX($D40,Settings!$B$3))*(EventLog!$C$2:$C$5000&lt;=TODAY())*((EventLog!$F$2:$F$5000="")+(IFERROR(SEARCH(","&amp;$C40&amp;",",","&amp;EventLog!$F$2:$F$5000&amp;","),0)&gt;0))))</f>
        <v>3</v>
      </c>
      <c r="G40" s="57">
        <f t="shared" si="1"/>
        <v>0.3333333333</v>
      </c>
      <c r="H40" s="56">
        <f>IFERROR(__xludf.DUMMYFUNCTION("IFERROR(MAX(FILTER(AttendanceLog!$C:$C,AttendanceLog!$E:$E=$A40,(AttendanceLog!$I:$I="""")+(IFERROR(SEARCH("",""&amp;$C40&amp;"","","",""&amp;AttendanceLog!$I:$I&amp;"",""),0)&gt;0))),"""")"),46305.33333333333)</f>
        <v>46305.33333</v>
      </c>
    </row>
    <row r="41" ht="15.75" customHeight="1">
      <c r="A41" s="53" t="s">
        <v>141</v>
      </c>
      <c r="B41" s="53" t="s">
        <v>61</v>
      </c>
      <c r="C41" s="53" t="s">
        <v>41</v>
      </c>
      <c r="D41" s="55">
        <v>46265.33333333333</v>
      </c>
      <c r="E41" s="16">
        <f>IF($A41="","",SUMPRODUCT((AttendanceLog!$E$2:$E$5000=$A41)*(AttendanceLog!$C$2:$C$5000&gt;=MAX($D41,Settings!$B$3))*((AttendanceLog!$I$2:$I$5000="")+(IFERROR(SEARCH(","&amp;$C41&amp;",",","&amp;AttendanceLog!$I$2:$I$5000&amp;","),0)&gt;0))))</f>
        <v>1</v>
      </c>
      <c r="F41" s="16">
        <f>IF($A41="","",SUMPRODUCT((EventLog!$C$2:$C$5000&gt;=MAX($D41,Settings!$B$3))*(EventLog!$C$2:$C$5000&lt;=TODAY())*((EventLog!$F$2:$F$5000="")+(IFERROR(SEARCH(","&amp;$C41&amp;",",","&amp;EventLog!$F$2:$F$5000&amp;","),0)&gt;0))))</f>
        <v>3</v>
      </c>
      <c r="G41" s="57">
        <f t="shared" si="1"/>
        <v>0.3333333333</v>
      </c>
      <c r="H41" s="56">
        <f>IFERROR(__xludf.DUMMYFUNCTION("IFERROR(MAX(FILTER(AttendanceLog!$C:$C,AttendanceLog!$E:$E=$A41,(AttendanceLog!$I:$I="""")+(IFERROR(SEARCH("",""&amp;$C41&amp;"","","",""&amp;AttendanceLog!$I:$I&amp;"",""),0)&gt;0))),"""")"),46275.0)</f>
        <v>46275</v>
      </c>
    </row>
    <row r="42" ht="15.75" customHeight="1">
      <c r="A42" s="53" t="s">
        <v>142</v>
      </c>
      <c r="B42" s="53" t="s">
        <v>61</v>
      </c>
      <c r="C42" s="53" t="s">
        <v>41</v>
      </c>
      <c r="D42" s="55">
        <v>46265.33333333333</v>
      </c>
      <c r="E42" s="16">
        <f>IF($A42="","",SUMPRODUCT((AttendanceLog!$E$2:$E$5000=$A42)*(AttendanceLog!$C$2:$C$5000&gt;=MAX($D42,Settings!$B$3))*((AttendanceLog!$I$2:$I$5000="")+(IFERROR(SEARCH(","&amp;$C42&amp;",",","&amp;AttendanceLog!$I$2:$I$5000&amp;","),0)&gt;0))))</f>
        <v>2</v>
      </c>
      <c r="F42" s="16">
        <f>IF($A42="","",SUMPRODUCT((EventLog!$C$2:$C$5000&gt;=MAX($D42,Settings!$B$3))*(EventLog!$C$2:$C$5000&lt;=TODAY())*((EventLog!$F$2:$F$5000="")+(IFERROR(SEARCH(","&amp;$C42&amp;",",","&amp;EventLog!$F$2:$F$5000&amp;","),0)&gt;0))))</f>
        <v>3</v>
      </c>
      <c r="G42" s="57">
        <f t="shared" si="1"/>
        <v>0.6666666667</v>
      </c>
      <c r="H42" s="56">
        <f>IFERROR(__xludf.DUMMYFUNCTION("IFERROR(MAX(FILTER(AttendanceLog!$C:$C,AttendanceLog!$E:$E=$A42,(AttendanceLog!$I:$I="""")+(IFERROR(SEARCH("",""&amp;$C42&amp;"","","",""&amp;AttendanceLog!$I:$I&amp;"",""),0)&gt;0))),"""")"),46305.33333333333)</f>
        <v>46305.33333</v>
      </c>
    </row>
    <row r="43" ht="15.75" customHeight="1">
      <c r="A43" s="53" t="s">
        <v>143</v>
      </c>
      <c r="B43" s="53" t="s">
        <v>61</v>
      </c>
      <c r="C43" s="53" t="s">
        <v>41</v>
      </c>
      <c r="D43" s="55">
        <v>46265.33333333333</v>
      </c>
      <c r="E43" s="16">
        <f>IF($A43="","",SUMPRODUCT((AttendanceLog!$E$2:$E$5000=$A43)*(AttendanceLog!$C$2:$C$5000&gt;=MAX($D43,Settings!$B$3))*((AttendanceLog!$I$2:$I$5000="")+(IFERROR(SEARCH(","&amp;$C43&amp;",",","&amp;AttendanceLog!$I$2:$I$5000&amp;","),0)&gt;0))))</f>
        <v>2</v>
      </c>
      <c r="F43" s="16">
        <f>IF($A43="","",SUMPRODUCT((EventLog!$C$2:$C$5000&gt;=MAX($D43,Settings!$B$3))*(EventLog!$C$2:$C$5000&lt;=TODAY())*((EventLog!$F$2:$F$5000="")+(IFERROR(SEARCH(","&amp;$C43&amp;",",","&amp;EventLog!$F$2:$F$5000&amp;","),0)&gt;0))))</f>
        <v>3</v>
      </c>
      <c r="G43" s="57">
        <f t="shared" si="1"/>
        <v>0.6666666667</v>
      </c>
      <c r="H43" s="56">
        <f>IFERROR(__xludf.DUMMYFUNCTION("IFERROR(MAX(FILTER(AttendanceLog!$C:$C,AttendanceLog!$E:$E=$A43,(AttendanceLog!$I:$I="""")+(IFERROR(SEARCH("",""&amp;$C43&amp;"","","",""&amp;AttendanceLog!$I:$I&amp;"",""),0)&gt;0))),"""")"),46289.33333333333)</f>
        <v>46289.33333</v>
      </c>
    </row>
    <row r="44" ht="15.75" customHeight="1">
      <c r="A44" s="53" t="s">
        <v>144</v>
      </c>
      <c r="B44" s="53" t="s">
        <v>61</v>
      </c>
      <c r="C44" s="53" t="s">
        <v>41</v>
      </c>
      <c r="D44" s="55">
        <v>46265.33333333333</v>
      </c>
      <c r="E44" s="16">
        <f>IF($A44="","",SUMPRODUCT((AttendanceLog!$E$2:$E$5000=$A44)*(AttendanceLog!$C$2:$C$5000&gt;=MAX($D44,Settings!$B$3))*((AttendanceLog!$I$2:$I$5000="")+(IFERROR(SEARCH(","&amp;$C44&amp;",",","&amp;AttendanceLog!$I$2:$I$5000&amp;","),0)&gt;0))))</f>
        <v>3</v>
      </c>
      <c r="F44" s="16">
        <f>IF($A44="","",SUMPRODUCT((EventLog!$C$2:$C$5000&gt;=MAX($D44,Settings!$B$3))*(EventLog!$C$2:$C$5000&lt;=TODAY())*((EventLog!$F$2:$F$5000="")+(IFERROR(SEARCH(","&amp;$C44&amp;",",","&amp;EventLog!$F$2:$F$5000&amp;","),0)&gt;0))))</f>
        <v>3</v>
      </c>
      <c r="G44" s="57">
        <f t="shared" si="1"/>
        <v>1</v>
      </c>
      <c r="H44" s="56">
        <f>IFERROR(__xludf.DUMMYFUNCTION("IFERROR(MAX(FILTER(AttendanceLog!$C:$C,AttendanceLog!$E:$E=$A44,(AttendanceLog!$I:$I="""")+(IFERROR(SEARCH("",""&amp;$C44&amp;"","","",""&amp;AttendanceLog!$I:$I&amp;"",""),0)&gt;0))),"""")"),46305.33333333333)</f>
        <v>46305.33333</v>
      </c>
    </row>
    <row r="45" ht="15.75" customHeight="1">
      <c r="A45" s="53" t="s">
        <v>145</v>
      </c>
      <c r="B45" s="53" t="s">
        <v>61</v>
      </c>
      <c r="C45" s="53" t="s">
        <v>41</v>
      </c>
      <c r="D45" s="55">
        <v>46265.33333333333</v>
      </c>
      <c r="E45" s="16">
        <f>IF($A45="","",SUMPRODUCT((AttendanceLog!$E$2:$E$5000=$A45)*(AttendanceLog!$C$2:$C$5000&gt;=MAX($D45,Settings!$B$3))*((AttendanceLog!$I$2:$I$5000="")+(IFERROR(SEARCH(","&amp;$C45&amp;",",","&amp;AttendanceLog!$I$2:$I$5000&amp;","),0)&gt;0))))</f>
        <v>2</v>
      </c>
      <c r="F45" s="16">
        <f>IF($A45="","",SUMPRODUCT((EventLog!$C$2:$C$5000&gt;=MAX($D45,Settings!$B$3))*(EventLog!$C$2:$C$5000&lt;=TODAY())*((EventLog!$F$2:$F$5000="")+(IFERROR(SEARCH(","&amp;$C45&amp;",",","&amp;EventLog!$F$2:$F$5000&amp;","),0)&gt;0))))</f>
        <v>3</v>
      </c>
      <c r="G45" s="57">
        <f t="shared" si="1"/>
        <v>0.6666666667</v>
      </c>
      <c r="H45" s="56">
        <f>IFERROR(__xludf.DUMMYFUNCTION("IFERROR(MAX(FILTER(AttendanceLog!$C:$C,AttendanceLog!$E:$E=$A45,(AttendanceLog!$I:$I="""")+(IFERROR(SEARCH("",""&amp;$C45&amp;"","","",""&amp;AttendanceLog!$I:$I&amp;"",""),0)&gt;0))),"""")"),46305.33333333333)</f>
        <v>46305.33333</v>
      </c>
    </row>
    <row r="46" ht="15.75" customHeight="1">
      <c r="A46" s="53" t="s">
        <v>146</v>
      </c>
      <c r="B46" s="53" t="s">
        <v>61</v>
      </c>
      <c r="C46" s="53" t="s">
        <v>41</v>
      </c>
      <c r="D46" s="55">
        <v>46265.33333333333</v>
      </c>
      <c r="E46" s="16">
        <f>IF($A46="","",SUMPRODUCT((AttendanceLog!$E$2:$E$5000=$A46)*(AttendanceLog!$C$2:$C$5000&gt;=MAX($D46,Settings!$B$3))*((AttendanceLog!$I$2:$I$5000="")+(IFERROR(SEARCH(","&amp;$C46&amp;",",","&amp;AttendanceLog!$I$2:$I$5000&amp;","),0)&gt;0))))</f>
        <v>2</v>
      </c>
      <c r="F46" s="16">
        <f>IF($A46="","",SUMPRODUCT((EventLog!$C$2:$C$5000&gt;=MAX($D46,Settings!$B$3))*(EventLog!$C$2:$C$5000&lt;=TODAY())*((EventLog!$F$2:$F$5000="")+(IFERROR(SEARCH(","&amp;$C46&amp;",",","&amp;EventLog!$F$2:$F$5000&amp;","),0)&gt;0))))</f>
        <v>3</v>
      </c>
      <c r="G46" s="57">
        <f t="shared" si="1"/>
        <v>0.6666666667</v>
      </c>
      <c r="H46" s="56">
        <f>IFERROR(__xludf.DUMMYFUNCTION("IFERROR(MAX(FILTER(AttendanceLog!$C:$C,AttendanceLog!$E:$E=$A46,(AttendanceLog!$I:$I="""")+(IFERROR(SEARCH("",""&amp;$C46&amp;"","","",""&amp;AttendanceLog!$I:$I&amp;"",""),0)&gt;0))),"""")"),46305.33333333333)</f>
        <v>46305.33333</v>
      </c>
    </row>
    <row r="47" ht="15.75" customHeight="1">
      <c r="A47" s="53" t="s">
        <v>147</v>
      </c>
      <c r="B47" s="53" t="s">
        <v>61</v>
      </c>
      <c r="C47" s="53" t="s">
        <v>41</v>
      </c>
      <c r="D47" s="55">
        <v>46265.33333333333</v>
      </c>
      <c r="E47" s="16">
        <f>IF($A47="","",SUMPRODUCT((AttendanceLog!$E$2:$E$5000=$A47)*(AttendanceLog!$C$2:$C$5000&gt;=MAX($D47,Settings!$B$3))*((AttendanceLog!$I$2:$I$5000="")+(IFERROR(SEARCH(","&amp;$C47&amp;",",","&amp;AttendanceLog!$I$2:$I$5000&amp;","),0)&gt;0))))</f>
        <v>1</v>
      </c>
      <c r="F47" s="16">
        <f>IF($A47="","",SUMPRODUCT((EventLog!$C$2:$C$5000&gt;=MAX($D47,Settings!$B$3))*(EventLog!$C$2:$C$5000&lt;=TODAY())*((EventLog!$F$2:$F$5000="")+(IFERROR(SEARCH(","&amp;$C47&amp;",",","&amp;EventLog!$F$2:$F$5000&amp;","),0)&gt;0))))</f>
        <v>3</v>
      </c>
      <c r="G47" s="57">
        <f t="shared" si="1"/>
        <v>0.3333333333</v>
      </c>
      <c r="H47" s="56">
        <f>IFERROR(__xludf.DUMMYFUNCTION("IFERROR(MAX(FILTER(AttendanceLog!$C:$C,AttendanceLog!$E:$E=$A47,(AttendanceLog!$I:$I="""")+(IFERROR(SEARCH("",""&amp;$C47&amp;"","","",""&amp;AttendanceLog!$I:$I&amp;"",""),0)&gt;0))),"""")"),46275.0)</f>
        <v>46275</v>
      </c>
    </row>
    <row r="48" ht="15.75" customHeight="1">
      <c r="A48" s="53" t="s">
        <v>148</v>
      </c>
      <c r="B48" s="53" t="s">
        <v>61</v>
      </c>
      <c r="C48" s="53" t="s">
        <v>41</v>
      </c>
      <c r="D48" s="55">
        <v>46265.33333333333</v>
      </c>
      <c r="E48" s="16">
        <f>IF($A48="","",SUMPRODUCT((AttendanceLog!$E$2:$E$5000=$A48)*(AttendanceLog!$C$2:$C$5000&gt;=MAX($D48,Settings!$B$3))*((AttendanceLog!$I$2:$I$5000="")+(IFERROR(SEARCH(","&amp;$C48&amp;",",","&amp;AttendanceLog!$I$2:$I$5000&amp;","),0)&gt;0))))</f>
        <v>2</v>
      </c>
      <c r="F48" s="16">
        <f>IF($A48="","",SUMPRODUCT((EventLog!$C$2:$C$5000&gt;=MAX($D48,Settings!$B$3))*(EventLog!$C$2:$C$5000&lt;=TODAY())*((EventLog!$F$2:$F$5000="")+(IFERROR(SEARCH(","&amp;$C48&amp;",",","&amp;EventLog!$F$2:$F$5000&amp;","),0)&gt;0))))</f>
        <v>3</v>
      </c>
      <c r="G48" s="57">
        <f t="shared" si="1"/>
        <v>0.6666666667</v>
      </c>
      <c r="H48" s="56">
        <f>IFERROR(__xludf.DUMMYFUNCTION("IFERROR(MAX(FILTER(AttendanceLog!$C:$C,AttendanceLog!$E:$E=$A48,(AttendanceLog!$I:$I="""")+(IFERROR(SEARCH("",""&amp;$C48&amp;"","","",""&amp;AttendanceLog!$I:$I&amp;"",""),0)&gt;0))),"""")"),46289.33333333333)</f>
        <v>46289.33333</v>
      </c>
    </row>
    <row r="49" ht="15.75" customHeight="1">
      <c r="A49" s="53" t="s">
        <v>149</v>
      </c>
      <c r="B49" s="53" t="s">
        <v>61</v>
      </c>
      <c r="C49" s="53" t="s">
        <v>41</v>
      </c>
      <c r="D49" s="55">
        <v>46265.33333333333</v>
      </c>
      <c r="E49" s="16">
        <f>IF($A49="","",SUMPRODUCT((AttendanceLog!$E$2:$E$5000=$A49)*(AttendanceLog!$C$2:$C$5000&gt;=MAX($D49,Settings!$B$3))*((AttendanceLog!$I$2:$I$5000="")+(IFERROR(SEARCH(","&amp;$C49&amp;",",","&amp;AttendanceLog!$I$2:$I$5000&amp;","),0)&gt;0))))</f>
        <v>2</v>
      </c>
      <c r="F49" s="16">
        <f>IF($A49="","",SUMPRODUCT((EventLog!$C$2:$C$5000&gt;=MAX($D49,Settings!$B$3))*(EventLog!$C$2:$C$5000&lt;=TODAY())*((EventLog!$F$2:$F$5000="")+(IFERROR(SEARCH(","&amp;$C49&amp;",",","&amp;EventLog!$F$2:$F$5000&amp;","),0)&gt;0))))</f>
        <v>3</v>
      </c>
      <c r="G49" s="57">
        <f t="shared" si="1"/>
        <v>0.6666666667</v>
      </c>
      <c r="H49" s="56">
        <f>IFERROR(__xludf.DUMMYFUNCTION("IFERROR(MAX(FILTER(AttendanceLog!$C:$C,AttendanceLog!$E:$E=$A49,(AttendanceLog!$I:$I="""")+(IFERROR(SEARCH("",""&amp;$C49&amp;"","","",""&amp;AttendanceLog!$I:$I&amp;"",""),0)&gt;0))),"""")"),46305.33333333333)</f>
        <v>46305.33333</v>
      </c>
    </row>
    <row r="50" ht="15.75" customHeight="1">
      <c r="A50" s="53" t="s">
        <v>150</v>
      </c>
      <c r="B50" s="53" t="s">
        <v>61</v>
      </c>
      <c r="C50" s="53" t="s">
        <v>41</v>
      </c>
      <c r="D50" s="55">
        <v>46265.33333333333</v>
      </c>
      <c r="E50" s="16">
        <f>IF($A50="","",SUMPRODUCT((AttendanceLog!$E$2:$E$5000=$A50)*(AttendanceLog!$C$2:$C$5000&gt;=MAX($D50,Settings!$B$3))*((AttendanceLog!$I$2:$I$5000="")+(IFERROR(SEARCH(","&amp;$C50&amp;",",","&amp;AttendanceLog!$I$2:$I$5000&amp;","),0)&gt;0))))</f>
        <v>0</v>
      </c>
      <c r="F50" s="16">
        <f>IF($A50="","",SUMPRODUCT((EventLog!$C$2:$C$5000&gt;=MAX($D50,Settings!$B$3))*(EventLog!$C$2:$C$5000&lt;=TODAY())*((EventLog!$F$2:$F$5000="")+(IFERROR(SEARCH(","&amp;$C50&amp;",",","&amp;EventLog!$F$2:$F$5000&amp;","),0)&gt;0))))</f>
        <v>3</v>
      </c>
      <c r="G50" s="57">
        <f t="shared" si="1"/>
        <v>0</v>
      </c>
      <c r="H50" s="56" t="str">
        <f>IFERROR(__xludf.DUMMYFUNCTION("IFERROR(MAX(FILTER(AttendanceLog!$C:$C,AttendanceLog!$E:$E=$A50,(AttendanceLog!$I:$I="""")+(IFERROR(SEARCH("",""&amp;$C50&amp;"","","",""&amp;AttendanceLog!$I:$I&amp;"",""),0)&gt;0))),"""")"),"")</f>
        <v/>
      </c>
    </row>
    <row r="51" ht="15.75" customHeight="1">
      <c r="A51" s="53" t="s">
        <v>151</v>
      </c>
      <c r="B51" s="53" t="s">
        <v>61</v>
      </c>
      <c r="C51" s="53" t="s">
        <v>41</v>
      </c>
      <c r="D51" s="55">
        <v>46265.33333333333</v>
      </c>
      <c r="E51" s="16">
        <f>IF($A51="","",SUMPRODUCT((AttendanceLog!$E$2:$E$5000=$A51)*(AttendanceLog!$C$2:$C$5000&gt;=MAX($D51,Settings!$B$3))*((AttendanceLog!$I$2:$I$5000="")+(IFERROR(SEARCH(","&amp;$C51&amp;",",","&amp;AttendanceLog!$I$2:$I$5000&amp;","),0)&gt;0))))</f>
        <v>2</v>
      </c>
      <c r="F51" s="16">
        <f>IF($A51="","",SUMPRODUCT((EventLog!$C$2:$C$5000&gt;=MAX($D51,Settings!$B$3))*(EventLog!$C$2:$C$5000&lt;=TODAY())*((EventLog!$F$2:$F$5000="")+(IFERROR(SEARCH(","&amp;$C51&amp;",",","&amp;EventLog!$F$2:$F$5000&amp;","),0)&gt;0))))</f>
        <v>3</v>
      </c>
      <c r="G51" s="57">
        <f t="shared" si="1"/>
        <v>0.6666666667</v>
      </c>
      <c r="H51" s="56">
        <f>IFERROR(__xludf.DUMMYFUNCTION("IFERROR(MAX(FILTER(AttendanceLog!$C:$C,AttendanceLog!$E:$E=$A51,(AttendanceLog!$I:$I="""")+(IFERROR(SEARCH("",""&amp;$C51&amp;"","","",""&amp;AttendanceLog!$I:$I&amp;"",""),0)&gt;0))),"""")"),46305.33333333333)</f>
        <v>46305.33333</v>
      </c>
    </row>
    <row r="52" ht="15.75" customHeight="1">
      <c r="A52" s="53" t="s">
        <v>152</v>
      </c>
      <c r="B52" s="53" t="s">
        <v>61</v>
      </c>
      <c r="C52" s="53" t="s">
        <v>41</v>
      </c>
      <c r="D52" s="55">
        <v>46265.33333333333</v>
      </c>
      <c r="E52" s="16">
        <f>IF($A52="","",SUMPRODUCT((AttendanceLog!$E$2:$E$5000=$A52)*(AttendanceLog!$C$2:$C$5000&gt;=MAX($D52,Settings!$B$3))*((AttendanceLog!$I$2:$I$5000="")+(IFERROR(SEARCH(","&amp;$C52&amp;",",","&amp;AttendanceLog!$I$2:$I$5000&amp;","),0)&gt;0))))</f>
        <v>2</v>
      </c>
      <c r="F52" s="16">
        <f>IF($A52="","",SUMPRODUCT((EventLog!$C$2:$C$5000&gt;=MAX($D52,Settings!$B$3))*(EventLog!$C$2:$C$5000&lt;=TODAY())*((EventLog!$F$2:$F$5000="")+(IFERROR(SEARCH(","&amp;$C52&amp;",",","&amp;EventLog!$F$2:$F$5000&amp;","),0)&gt;0))))</f>
        <v>3</v>
      </c>
      <c r="G52" s="57">
        <f t="shared" si="1"/>
        <v>0.6666666667</v>
      </c>
      <c r="H52" s="56">
        <f>IFERROR(__xludf.DUMMYFUNCTION("IFERROR(MAX(FILTER(AttendanceLog!$C:$C,AttendanceLog!$E:$E=$A52,(AttendanceLog!$I:$I="""")+(IFERROR(SEARCH("",""&amp;$C52&amp;"","","",""&amp;AttendanceLog!$I:$I&amp;"",""),0)&gt;0))),"""")"),46305.33333333333)</f>
        <v>46305.33333</v>
      </c>
    </row>
    <row r="53" ht="15.75" customHeight="1">
      <c r="A53" s="53" t="s">
        <v>153</v>
      </c>
      <c r="B53" s="53" t="s">
        <v>61</v>
      </c>
      <c r="C53" s="53" t="s">
        <v>41</v>
      </c>
      <c r="D53" s="55">
        <v>46265.33333333333</v>
      </c>
      <c r="E53" s="16">
        <f>IF($A53="","",SUMPRODUCT((AttendanceLog!$E$2:$E$5000=$A53)*(AttendanceLog!$C$2:$C$5000&gt;=MAX($D53,Settings!$B$3))*((AttendanceLog!$I$2:$I$5000="")+(IFERROR(SEARCH(","&amp;$C53&amp;",",","&amp;AttendanceLog!$I$2:$I$5000&amp;","),0)&gt;0))))</f>
        <v>3</v>
      </c>
      <c r="F53" s="16">
        <f>IF($A53="","",SUMPRODUCT((EventLog!$C$2:$C$5000&gt;=MAX($D53,Settings!$B$3))*(EventLog!$C$2:$C$5000&lt;=TODAY())*((EventLog!$F$2:$F$5000="")+(IFERROR(SEARCH(","&amp;$C53&amp;",",","&amp;EventLog!$F$2:$F$5000&amp;","),0)&gt;0))))</f>
        <v>3</v>
      </c>
      <c r="G53" s="57">
        <f t="shared" si="1"/>
        <v>1</v>
      </c>
      <c r="H53" s="56">
        <f>IFERROR(__xludf.DUMMYFUNCTION("IFERROR(MAX(FILTER(AttendanceLog!$C:$C,AttendanceLog!$E:$E=$A53,(AttendanceLog!$I:$I="""")+(IFERROR(SEARCH("",""&amp;$C53&amp;"","","",""&amp;AttendanceLog!$I:$I&amp;"",""),0)&gt;0))),"""")"),46305.33333333333)</f>
        <v>46305.33333</v>
      </c>
    </row>
    <row r="54" ht="15.75" customHeight="1">
      <c r="A54" s="53" t="s">
        <v>154</v>
      </c>
      <c r="B54" s="53" t="s">
        <v>61</v>
      </c>
      <c r="C54" s="53" t="s">
        <v>41</v>
      </c>
      <c r="D54" s="55">
        <v>46265.33333333333</v>
      </c>
      <c r="E54" s="16">
        <f>IF($A54="","",SUMPRODUCT((AttendanceLog!$E$2:$E$5000=$A54)*(AttendanceLog!$C$2:$C$5000&gt;=MAX($D54,Settings!$B$3))*((AttendanceLog!$I$2:$I$5000="")+(IFERROR(SEARCH(","&amp;$C54&amp;",",","&amp;AttendanceLog!$I$2:$I$5000&amp;","),0)&gt;0))))</f>
        <v>1</v>
      </c>
      <c r="F54" s="16">
        <f>IF($A54="","",SUMPRODUCT((EventLog!$C$2:$C$5000&gt;=MAX($D54,Settings!$B$3))*(EventLog!$C$2:$C$5000&lt;=TODAY())*((EventLog!$F$2:$F$5000="")+(IFERROR(SEARCH(","&amp;$C54&amp;",",","&amp;EventLog!$F$2:$F$5000&amp;","),0)&gt;0))))</f>
        <v>3</v>
      </c>
      <c r="G54" s="57">
        <f t="shared" si="1"/>
        <v>0.3333333333</v>
      </c>
      <c r="H54" s="56">
        <f>IFERROR(__xludf.DUMMYFUNCTION("IFERROR(MAX(FILTER(AttendanceLog!$C:$C,AttendanceLog!$E:$E=$A54,(AttendanceLog!$I:$I="""")+(IFERROR(SEARCH("",""&amp;$C54&amp;"","","",""&amp;AttendanceLog!$I:$I&amp;"",""),0)&gt;0))),"""")"),46305.33333333333)</f>
        <v>46305.33333</v>
      </c>
    </row>
    <row r="55" ht="15.75" customHeight="1">
      <c r="A55" s="53" t="s">
        <v>155</v>
      </c>
      <c r="B55" s="53" t="s">
        <v>61</v>
      </c>
      <c r="C55" s="53" t="s">
        <v>41</v>
      </c>
      <c r="D55" s="55">
        <v>46265.33333333333</v>
      </c>
      <c r="E55" s="16">
        <f>IF($A55="","",SUMPRODUCT((AttendanceLog!$E$2:$E$5000=$A55)*(AttendanceLog!$C$2:$C$5000&gt;=MAX($D55,Settings!$B$3))*((AttendanceLog!$I$2:$I$5000="")+(IFERROR(SEARCH(","&amp;$C55&amp;",",","&amp;AttendanceLog!$I$2:$I$5000&amp;","),0)&gt;0))))</f>
        <v>2</v>
      </c>
      <c r="F55" s="16">
        <f>IF($A55="","",SUMPRODUCT((EventLog!$C$2:$C$5000&gt;=MAX($D55,Settings!$B$3))*(EventLog!$C$2:$C$5000&lt;=TODAY())*((EventLog!$F$2:$F$5000="")+(IFERROR(SEARCH(","&amp;$C55&amp;",",","&amp;EventLog!$F$2:$F$5000&amp;","),0)&gt;0))))</f>
        <v>3</v>
      </c>
      <c r="G55" s="57">
        <f t="shared" si="1"/>
        <v>0.6666666667</v>
      </c>
      <c r="H55" s="56">
        <f>IFERROR(__xludf.DUMMYFUNCTION("IFERROR(MAX(FILTER(AttendanceLog!$C:$C,AttendanceLog!$E:$E=$A55,(AttendanceLog!$I:$I="""")+(IFERROR(SEARCH("",""&amp;$C55&amp;"","","",""&amp;AttendanceLog!$I:$I&amp;"",""),0)&gt;0))),"""")"),46305.33333333333)</f>
        <v>46305.33333</v>
      </c>
    </row>
    <row r="56" ht="15.75" customHeight="1">
      <c r="A56" s="53" t="s">
        <v>156</v>
      </c>
      <c r="B56" s="53" t="s">
        <v>61</v>
      </c>
      <c r="C56" s="53" t="s">
        <v>41</v>
      </c>
      <c r="D56" s="55">
        <v>46265.33333333333</v>
      </c>
      <c r="E56" s="16">
        <f>IF($A56="","",SUMPRODUCT((AttendanceLog!$E$2:$E$5000=$A56)*(AttendanceLog!$C$2:$C$5000&gt;=MAX($D56,Settings!$B$3))*((AttendanceLog!$I$2:$I$5000="")+(IFERROR(SEARCH(","&amp;$C56&amp;",",","&amp;AttendanceLog!$I$2:$I$5000&amp;","),0)&gt;0))))</f>
        <v>2</v>
      </c>
      <c r="F56" s="16">
        <f>IF($A56="","",SUMPRODUCT((EventLog!$C$2:$C$5000&gt;=MAX($D56,Settings!$B$3))*(EventLog!$C$2:$C$5000&lt;=TODAY())*((EventLog!$F$2:$F$5000="")+(IFERROR(SEARCH(","&amp;$C56&amp;",",","&amp;EventLog!$F$2:$F$5000&amp;","),0)&gt;0))))</f>
        <v>3</v>
      </c>
      <c r="G56" s="57">
        <f t="shared" si="1"/>
        <v>0.6666666667</v>
      </c>
      <c r="H56" s="56">
        <f>IFERROR(__xludf.DUMMYFUNCTION("IFERROR(MAX(FILTER(AttendanceLog!$C:$C,AttendanceLog!$E:$E=$A56,(AttendanceLog!$I:$I="""")+(IFERROR(SEARCH("",""&amp;$C56&amp;"","","",""&amp;AttendanceLog!$I:$I&amp;"",""),0)&gt;0))),"""")"),46305.33333333333)</f>
        <v>46305.33333</v>
      </c>
    </row>
    <row r="57" ht="15.75" customHeight="1">
      <c r="A57" s="53" t="s">
        <v>157</v>
      </c>
      <c r="B57" s="53" t="s">
        <v>61</v>
      </c>
      <c r="C57" s="53" t="s">
        <v>41</v>
      </c>
      <c r="D57" s="55">
        <v>46265.33333333333</v>
      </c>
      <c r="E57" s="16">
        <f>IF($A57="","",SUMPRODUCT((AttendanceLog!$E$2:$E$5000=$A57)*(AttendanceLog!$C$2:$C$5000&gt;=MAX($D57,Settings!$B$3))*((AttendanceLog!$I$2:$I$5000="")+(IFERROR(SEARCH(","&amp;$C57&amp;",",","&amp;AttendanceLog!$I$2:$I$5000&amp;","),0)&gt;0))))</f>
        <v>2</v>
      </c>
      <c r="F57" s="16">
        <f>IF($A57="","",SUMPRODUCT((EventLog!$C$2:$C$5000&gt;=MAX($D57,Settings!$B$3))*(EventLog!$C$2:$C$5000&lt;=TODAY())*((EventLog!$F$2:$F$5000="")+(IFERROR(SEARCH(","&amp;$C57&amp;",",","&amp;EventLog!$F$2:$F$5000&amp;","),0)&gt;0))))</f>
        <v>3</v>
      </c>
      <c r="G57" s="57">
        <f t="shared" si="1"/>
        <v>0.6666666667</v>
      </c>
      <c r="H57" s="56">
        <f>IFERROR(__xludf.DUMMYFUNCTION("IFERROR(MAX(FILTER(AttendanceLog!$C:$C,AttendanceLog!$E:$E=$A57,(AttendanceLog!$I:$I="""")+(IFERROR(SEARCH("",""&amp;$C57&amp;"","","",""&amp;AttendanceLog!$I:$I&amp;"",""),0)&gt;0))),"""")"),46305.33333333333)</f>
        <v>46305.33333</v>
      </c>
    </row>
    <row r="58" ht="15.75" customHeight="1">
      <c r="A58" s="53" t="s">
        <v>158</v>
      </c>
      <c r="B58" s="53" t="s">
        <v>61</v>
      </c>
      <c r="C58" s="53" t="s">
        <v>41</v>
      </c>
      <c r="D58" s="55">
        <v>46265.33333333333</v>
      </c>
      <c r="E58" s="16">
        <f>IF($A58="","",SUMPRODUCT((AttendanceLog!$E$2:$E$5000=$A58)*(AttendanceLog!$C$2:$C$5000&gt;=MAX($D58,Settings!$B$3))*((AttendanceLog!$I$2:$I$5000="")+(IFERROR(SEARCH(","&amp;$C58&amp;",",","&amp;AttendanceLog!$I$2:$I$5000&amp;","),0)&gt;0))))</f>
        <v>3</v>
      </c>
      <c r="F58" s="16">
        <f>IF($A58="","",SUMPRODUCT((EventLog!$C$2:$C$5000&gt;=MAX($D58,Settings!$B$3))*(EventLog!$C$2:$C$5000&lt;=TODAY())*((EventLog!$F$2:$F$5000="")+(IFERROR(SEARCH(","&amp;$C58&amp;",",","&amp;EventLog!$F$2:$F$5000&amp;","),0)&gt;0))))</f>
        <v>3</v>
      </c>
      <c r="G58" s="57">
        <f t="shared" si="1"/>
        <v>1</v>
      </c>
      <c r="H58" s="56">
        <f>IFERROR(__xludf.DUMMYFUNCTION("IFERROR(MAX(FILTER(AttendanceLog!$C:$C,AttendanceLog!$E:$E=$A58,(AttendanceLog!$I:$I="""")+(IFERROR(SEARCH("",""&amp;$C58&amp;"","","",""&amp;AttendanceLog!$I:$I&amp;"",""),0)&gt;0))),"""")"),46305.33333333333)</f>
        <v>46305.33333</v>
      </c>
    </row>
    <row r="59" ht="15.75" customHeight="1">
      <c r="A59" s="53" t="s">
        <v>159</v>
      </c>
      <c r="B59" s="53" t="s">
        <v>61</v>
      </c>
      <c r="C59" s="53" t="s">
        <v>41</v>
      </c>
      <c r="D59" s="55">
        <v>46265.33333333333</v>
      </c>
      <c r="E59" s="16">
        <f>IF($A59="","",SUMPRODUCT((AttendanceLog!$E$2:$E$5000=$A59)*(AttendanceLog!$C$2:$C$5000&gt;=MAX($D59,Settings!$B$3))*((AttendanceLog!$I$2:$I$5000="")+(IFERROR(SEARCH(","&amp;$C59&amp;",",","&amp;AttendanceLog!$I$2:$I$5000&amp;","),0)&gt;0))))</f>
        <v>2</v>
      </c>
      <c r="F59" s="16">
        <f>IF($A59="","",SUMPRODUCT((EventLog!$C$2:$C$5000&gt;=MAX($D59,Settings!$B$3))*(EventLog!$C$2:$C$5000&lt;=TODAY())*((EventLog!$F$2:$F$5000="")+(IFERROR(SEARCH(","&amp;$C59&amp;",",","&amp;EventLog!$F$2:$F$5000&amp;","),0)&gt;0))))</f>
        <v>3</v>
      </c>
      <c r="G59" s="57">
        <f t="shared" si="1"/>
        <v>0.6666666667</v>
      </c>
      <c r="H59" s="56">
        <f>IFERROR(__xludf.DUMMYFUNCTION("IFERROR(MAX(FILTER(AttendanceLog!$C:$C,AttendanceLog!$E:$E=$A59,(AttendanceLog!$I:$I="""")+(IFERROR(SEARCH("",""&amp;$C59&amp;"","","",""&amp;AttendanceLog!$I:$I&amp;"",""),0)&gt;0))),"""")"),46305.33333333333)</f>
        <v>46305.33333</v>
      </c>
    </row>
    <row r="60" ht="15.75" customHeight="1">
      <c r="A60" s="53" t="s">
        <v>160</v>
      </c>
      <c r="B60" s="53" t="s">
        <v>61</v>
      </c>
      <c r="C60" s="53" t="s">
        <v>41</v>
      </c>
      <c r="D60" s="55">
        <v>46265.33333333333</v>
      </c>
      <c r="E60" s="16">
        <f>IF($A60="","",SUMPRODUCT((AttendanceLog!$E$2:$E$5000=$A60)*(AttendanceLog!$C$2:$C$5000&gt;=MAX($D60,Settings!$B$3))*((AttendanceLog!$I$2:$I$5000="")+(IFERROR(SEARCH(","&amp;$C60&amp;",",","&amp;AttendanceLog!$I$2:$I$5000&amp;","),0)&gt;0))))</f>
        <v>2</v>
      </c>
      <c r="F60" s="16">
        <f>IF($A60="","",SUMPRODUCT((EventLog!$C$2:$C$5000&gt;=MAX($D60,Settings!$B$3))*(EventLog!$C$2:$C$5000&lt;=TODAY())*((EventLog!$F$2:$F$5000="")+(IFERROR(SEARCH(","&amp;$C60&amp;",",","&amp;EventLog!$F$2:$F$5000&amp;","),0)&gt;0))))</f>
        <v>3</v>
      </c>
      <c r="G60" s="57">
        <f t="shared" si="1"/>
        <v>0.6666666667</v>
      </c>
      <c r="H60" s="56">
        <f>IFERROR(__xludf.DUMMYFUNCTION("IFERROR(MAX(FILTER(AttendanceLog!$C:$C,AttendanceLog!$E:$E=$A60,(AttendanceLog!$I:$I="""")+(IFERROR(SEARCH("",""&amp;$C60&amp;"","","",""&amp;AttendanceLog!$I:$I&amp;"",""),0)&gt;0))),"""")"),46305.33333333333)</f>
        <v>46305.33333</v>
      </c>
    </row>
    <row r="61" ht="15.75" customHeight="1">
      <c r="A61" s="53" t="s">
        <v>161</v>
      </c>
      <c r="B61" s="53" t="s">
        <v>61</v>
      </c>
      <c r="C61" s="53" t="s">
        <v>41</v>
      </c>
      <c r="D61" s="55">
        <v>46265.33333333333</v>
      </c>
      <c r="E61" s="16">
        <f>IF($A61="","",SUMPRODUCT((AttendanceLog!$E$2:$E$5000=$A61)*(AttendanceLog!$C$2:$C$5000&gt;=MAX($D61,Settings!$B$3))*((AttendanceLog!$I$2:$I$5000="")+(IFERROR(SEARCH(","&amp;$C61&amp;",",","&amp;AttendanceLog!$I$2:$I$5000&amp;","),0)&gt;0))))</f>
        <v>3</v>
      </c>
      <c r="F61" s="16">
        <f>IF($A61="","",SUMPRODUCT((EventLog!$C$2:$C$5000&gt;=MAX($D61,Settings!$B$3))*(EventLog!$C$2:$C$5000&lt;=TODAY())*((EventLog!$F$2:$F$5000="")+(IFERROR(SEARCH(","&amp;$C61&amp;",",","&amp;EventLog!$F$2:$F$5000&amp;","),0)&gt;0))))</f>
        <v>3</v>
      </c>
      <c r="G61" s="57">
        <f t="shared" si="1"/>
        <v>1</v>
      </c>
      <c r="H61" s="56">
        <f>IFERROR(__xludf.DUMMYFUNCTION("IFERROR(MAX(FILTER(AttendanceLog!$C:$C,AttendanceLog!$E:$E=$A61,(AttendanceLog!$I:$I="""")+(IFERROR(SEARCH("",""&amp;$C61&amp;"","","",""&amp;AttendanceLog!$I:$I&amp;"",""),0)&gt;0))),"""")"),46305.33333333333)</f>
        <v>46305.33333</v>
      </c>
    </row>
    <row r="62" ht="15.75" customHeight="1">
      <c r="A62" s="53" t="s">
        <v>162</v>
      </c>
      <c r="B62" s="53" t="s">
        <v>61</v>
      </c>
      <c r="C62" s="53" t="s">
        <v>41</v>
      </c>
      <c r="D62" s="55">
        <v>46265.33333333333</v>
      </c>
      <c r="E62" s="16">
        <f>IF($A62="","",SUMPRODUCT((AttendanceLog!$E$2:$E$5000=$A62)*(AttendanceLog!$C$2:$C$5000&gt;=MAX($D62,Settings!$B$3))*((AttendanceLog!$I$2:$I$5000="")+(IFERROR(SEARCH(","&amp;$C62&amp;",",","&amp;AttendanceLog!$I$2:$I$5000&amp;","),0)&gt;0))))</f>
        <v>2</v>
      </c>
      <c r="F62" s="16">
        <f>IF($A62="","",SUMPRODUCT((EventLog!$C$2:$C$5000&gt;=MAX($D62,Settings!$B$3))*(EventLog!$C$2:$C$5000&lt;=TODAY())*((EventLog!$F$2:$F$5000="")+(IFERROR(SEARCH(","&amp;$C62&amp;",",","&amp;EventLog!$F$2:$F$5000&amp;","),0)&gt;0))))</f>
        <v>3</v>
      </c>
      <c r="G62" s="57">
        <f t="shared" si="1"/>
        <v>0.6666666667</v>
      </c>
      <c r="H62" s="56">
        <f>IFERROR(__xludf.DUMMYFUNCTION("IFERROR(MAX(FILTER(AttendanceLog!$C:$C,AttendanceLog!$E:$E=$A62,(AttendanceLog!$I:$I="""")+(IFERROR(SEARCH("",""&amp;$C62&amp;"","","",""&amp;AttendanceLog!$I:$I&amp;"",""),0)&gt;0))),"""")"),46305.33333333333)</f>
        <v>46305.33333</v>
      </c>
    </row>
    <row r="63" ht="15.75" customHeight="1">
      <c r="A63" s="53" t="s">
        <v>163</v>
      </c>
      <c r="B63" s="53" t="s">
        <v>61</v>
      </c>
      <c r="C63" s="53" t="s">
        <v>41</v>
      </c>
      <c r="D63" s="55">
        <v>46265.33333333333</v>
      </c>
      <c r="E63" s="16">
        <f>IF($A63="","",SUMPRODUCT((AttendanceLog!$E$2:$E$5000=$A63)*(AttendanceLog!$C$2:$C$5000&gt;=MAX($D63,Settings!$B$3))*((AttendanceLog!$I$2:$I$5000="")+(IFERROR(SEARCH(","&amp;$C63&amp;",",","&amp;AttendanceLog!$I$2:$I$5000&amp;","),0)&gt;0))))</f>
        <v>2</v>
      </c>
      <c r="F63" s="16">
        <f>IF($A63="","",SUMPRODUCT((EventLog!$C$2:$C$5000&gt;=MAX($D63,Settings!$B$3))*(EventLog!$C$2:$C$5000&lt;=TODAY())*((EventLog!$F$2:$F$5000="")+(IFERROR(SEARCH(","&amp;$C63&amp;",",","&amp;EventLog!$F$2:$F$5000&amp;","),0)&gt;0))))</f>
        <v>3</v>
      </c>
      <c r="G63" s="57">
        <f t="shared" si="1"/>
        <v>0.6666666667</v>
      </c>
      <c r="H63" s="56">
        <f>IFERROR(__xludf.DUMMYFUNCTION("IFERROR(MAX(FILTER(AttendanceLog!$C:$C,AttendanceLog!$E:$E=$A63,(AttendanceLog!$I:$I="""")+(IFERROR(SEARCH("",""&amp;$C63&amp;"","","",""&amp;AttendanceLog!$I:$I&amp;"",""),0)&gt;0))),"""")"),46305.33333333333)</f>
        <v>46305.33333</v>
      </c>
    </row>
    <row r="64" ht="15.75" customHeight="1">
      <c r="A64" s="53" t="s">
        <v>164</v>
      </c>
      <c r="B64" s="53" t="s">
        <v>61</v>
      </c>
      <c r="C64" s="53" t="s">
        <v>41</v>
      </c>
      <c r="D64" s="55">
        <v>46265.33333333333</v>
      </c>
      <c r="E64" s="16">
        <f>IF($A64="","",SUMPRODUCT((AttendanceLog!$E$2:$E$5000=$A64)*(AttendanceLog!$C$2:$C$5000&gt;=MAX($D64,Settings!$B$3))*((AttendanceLog!$I$2:$I$5000="")+(IFERROR(SEARCH(","&amp;$C64&amp;",",","&amp;AttendanceLog!$I$2:$I$5000&amp;","),0)&gt;0))))</f>
        <v>0</v>
      </c>
      <c r="F64" s="16">
        <f>IF($A64="","",SUMPRODUCT((EventLog!$C$2:$C$5000&gt;=MAX($D64,Settings!$B$3))*(EventLog!$C$2:$C$5000&lt;=TODAY())*((EventLog!$F$2:$F$5000="")+(IFERROR(SEARCH(","&amp;$C64&amp;",",","&amp;EventLog!$F$2:$F$5000&amp;","),0)&gt;0))))</f>
        <v>3</v>
      </c>
      <c r="G64" s="57">
        <f t="shared" si="1"/>
        <v>0</v>
      </c>
      <c r="H64" s="56" t="str">
        <f>IFERROR(__xludf.DUMMYFUNCTION("IFERROR(MAX(FILTER(AttendanceLog!$C:$C,AttendanceLog!$E:$E=$A64,(AttendanceLog!$I:$I="""")+(IFERROR(SEARCH("",""&amp;$C64&amp;"","","",""&amp;AttendanceLog!$I:$I&amp;"",""),0)&gt;0))),"""")"),"")</f>
        <v/>
      </c>
    </row>
    <row r="65" ht="15.75" customHeight="1">
      <c r="A65" s="53" t="s">
        <v>165</v>
      </c>
      <c r="B65" s="53" t="s">
        <v>61</v>
      </c>
      <c r="C65" s="53" t="s">
        <v>41</v>
      </c>
      <c r="D65" s="55">
        <v>46265.33333333333</v>
      </c>
      <c r="E65" s="16">
        <f>IF($A65="","",SUMPRODUCT((AttendanceLog!$E$2:$E$5000=$A65)*(AttendanceLog!$C$2:$C$5000&gt;=MAX($D65,Settings!$B$3))*((AttendanceLog!$I$2:$I$5000="")+(IFERROR(SEARCH(","&amp;$C65&amp;",",","&amp;AttendanceLog!$I$2:$I$5000&amp;","),0)&gt;0))))</f>
        <v>1</v>
      </c>
      <c r="F65" s="16">
        <f>IF($A65="","",SUMPRODUCT((EventLog!$C$2:$C$5000&gt;=MAX($D65,Settings!$B$3))*(EventLog!$C$2:$C$5000&lt;=TODAY())*((EventLog!$F$2:$F$5000="")+(IFERROR(SEARCH(","&amp;$C65&amp;",",","&amp;EventLog!$F$2:$F$5000&amp;","),0)&gt;0))))</f>
        <v>3</v>
      </c>
      <c r="G65" s="57">
        <f t="shared" si="1"/>
        <v>0.3333333333</v>
      </c>
      <c r="H65" s="56">
        <f>IFERROR(__xludf.DUMMYFUNCTION("IFERROR(MAX(FILTER(AttendanceLog!$C:$C,AttendanceLog!$E:$E=$A65,(AttendanceLog!$I:$I="""")+(IFERROR(SEARCH("",""&amp;$C65&amp;"","","",""&amp;AttendanceLog!$I:$I&amp;"",""),0)&gt;0))),"""")"),46305.33333333333)</f>
        <v>46305.33333</v>
      </c>
    </row>
    <row r="66" ht="15.75" customHeight="1">
      <c r="A66" s="53" t="s">
        <v>166</v>
      </c>
      <c r="B66" s="53" t="s">
        <v>61</v>
      </c>
      <c r="C66" s="53" t="s">
        <v>41</v>
      </c>
      <c r="D66" s="55">
        <v>46265.33333333333</v>
      </c>
      <c r="E66" s="16">
        <f>IF($A66="","",SUMPRODUCT((AttendanceLog!$E$2:$E$5000=$A66)*(AttendanceLog!$C$2:$C$5000&gt;=MAX($D66,Settings!$B$3))*((AttendanceLog!$I$2:$I$5000="")+(IFERROR(SEARCH(","&amp;$C66&amp;",",","&amp;AttendanceLog!$I$2:$I$5000&amp;","),0)&gt;0))))</f>
        <v>2</v>
      </c>
      <c r="F66" s="16">
        <f>IF($A66="","",SUMPRODUCT((EventLog!$C$2:$C$5000&gt;=MAX($D66,Settings!$B$3))*(EventLog!$C$2:$C$5000&lt;=TODAY())*((EventLog!$F$2:$F$5000="")+(IFERROR(SEARCH(","&amp;$C66&amp;",",","&amp;EventLog!$F$2:$F$5000&amp;","),0)&gt;0))))</f>
        <v>3</v>
      </c>
      <c r="G66" s="57">
        <f t="shared" si="1"/>
        <v>0.6666666667</v>
      </c>
      <c r="H66" s="56">
        <f>IFERROR(__xludf.DUMMYFUNCTION("IFERROR(MAX(FILTER(AttendanceLog!$C:$C,AttendanceLog!$E:$E=$A66,(AttendanceLog!$I:$I="""")+(IFERROR(SEARCH("",""&amp;$C66&amp;"","","",""&amp;AttendanceLog!$I:$I&amp;"",""),0)&gt;0))),"""")"),46305.33333333333)</f>
        <v>46305.33333</v>
      </c>
    </row>
    <row r="67" ht="15.75" customHeight="1">
      <c r="A67" s="53" t="s">
        <v>167</v>
      </c>
      <c r="B67" s="53" t="s">
        <v>61</v>
      </c>
      <c r="C67" s="53" t="s">
        <v>41</v>
      </c>
      <c r="D67" s="55">
        <v>46265.33333333333</v>
      </c>
      <c r="E67" s="16">
        <f>IF($A67="","",SUMPRODUCT((AttendanceLog!$E$2:$E$5000=$A67)*(AttendanceLog!$C$2:$C$5000&gt;=MAX($D67,Settings!$B$3))*((AttendanceLog!$I$2:$I$5000="")+(IFERROR(SEARCH(","&amp;$C67&amp;",",","&amp;AttendanceLog!$I$2:$I$5000&amp;","),0)&gt;0))))</f>
        <v>2</v>
      </c>
      <c r="F67" s="16">
        <f>IF($A67="","",SUMPRODUCT((EventLog!$C$2:$C$5000&gt;=MAX($D67,Settings!$B$3))*(EventLog!$C$2:$C$5000&lt;=TODAY())*((EventLog!$F$2:$F$5000="")+(IFERROR(SEARCH(","&amp;$C67&amp;",",","&amp;EventLog!$F$2:$F$5000&amp;","),0)&gt;0))))</f>
        <v>3</v>
      </c>
      <c r="G67" s="57">
        <f t="shared" si="1"/>
        <v>0.6666666667</v>
      </c>
      <c r="H67" s="56">
        <f>IFERROR(__xludf.DUMMYFUNCTION("IFERROR(MAX(FILTER(AttendanceLog!$C:$C,AttendanceLog!$E:$E=$A67,(AttendanceLog!$I:$I="""")+(IFERROR(SEARCH("",""&amp;$C67&amp;"","","",""&amp;AttendanceLog!$I:$I&amp;"",""),0)&gt;0))),"""")"),46305.33333333333)</f>
        <v>46305.33333</v>
      </c>
    </row>
    <row r="68" ht="15.75" customHeight="1">
      <c r="A68" s="53" t="s">
        <v>168</v>
      </c>
      <c r="B68" s="53" t="s">
        <v>61</v>
      </c>
      <c r="C68" s="53" t="s">
        <v>41</v>
      </c>
      <c r="D68" s="55">
        <v>46265.33333333333</v>
      </c>
      <c r="E68" s="16">
        <f>IF($A68="","",SUMPRODUCT((AttendanceLog!$E$2:$E$5000=$A68)*(AttendanceLog!$C$2:$C$5000&gt;=MAX($D68,Settings!$B$3))*((AttendanceLog!$I$2:$I$5000="")+(IFERROR(SEARCH(","&amp;$C68&amp;",",","&amp;AttendanceLog!$I$2:$I$5000&amp;","),0)&gt;0))))</f>
        <v>1</v>
      </c>
      <c r="F68" s="16">
        <f>IF($A68="","",SUMPRODUCT((EventLog!$C$2:$C$5000&gt;=MAX($D68,Settings!$B$3))*(EventLog!$C$2:$C$5000&lt;=TODAY())*((EventLog!$F$2:$F$5000="")+(IFERROR(SEARCH(","&amp;$C68&amp;",",","&amp;EventLog!$F$2:$F$5000&amp;","),0)&gt;0))))</f>
        <v>3</v>
      </c>
      <c r="G68" s="57">
        <f t="shared" si="1"/>
        <v>0.3333333333</v>
      </c>
      <c r="H68" s="56">
        <f>IFERROR(__xludf.DUMMYFUNCTION("IFERROR(MAX(FILTER(AttendanceLog!$C:$C,AttendanceLog!$E:$E=$A68,(AttendanceLog!$I:$I="""")+(IFERROR(SEARCH("",""&amp;$C68&amp;"","","",""&amp;AttendanceLog!$I:$I&amp;"",""),0)&gt;0))),"""")"),46305.33333333333)</f>
        <v>46305.33333</v>
      </c>
    </row>
    <row r="69" ht="15.75" customHeight="1">
      <c r="A69" s="16"/>
      <c r="B69" s="16"/>
      <c r="C69" s="16"/>
      <c r="D69" s="56"/>
      <c r="E69" s="16"/>
      <c r="F69" s="16"/>
      <c r="G69" s="57"/>
      <c r="H69" s="56"/>
    </row>
    <row r="70" ht="15.75" customHeight="1">
      <c r="A70" s="16"/>
      <c r="B70" s="16"/>
      <c r="C70" s="16"/>
      <c r="D70" s="56"/>
      <c r="E70" s="16"/>
      <c r="F70" s="16"/>
      <c r="G70" s="57"/>
      <c r="H70" s="56"/>
    </row>
    <row r="71" ht="15.75" customHeight="1">
      <c r="A71" s="16"/>
      <c r="B71" s="16"/>
      <c r="C71" s="16"/>
      <c r="D71" s="56"/>
      <c r="E71" s="16"/>
      <c r="F71" s="16"/>
      <c r="G71" s="57"/>
      <c r="H71" s="56"/>
    </row>
    <row r="72" ht="15.75" customHeight="1">
      <c r="A72" s="16"/>
      <c r="B72" s="16"/>
      <c r="C72" s="16"/>
      <c r="D72" s="56"/>
      <c r="E72" s="16"/>
      <c r="F72" s="16"/>
      <c r="G72" s="57"/>
      <c r="H72" s="56"/>
    </row>
    <row r="73" ht="15.75" customHeight="1">
      <c r="A73" s="16"/>
      <c r="B73" s="16"/>
      <c r="C73" s="16"/>
      <c r="D73" s="56"/>
      <c r="E73" s="16"/>
      <c r="F73" s="16"/>
      <c r="G73" s="57"/>
      <c r="H73" s="56"/>
    </row>
    <row r="74" ht="15.75" customHeight="1">
      <c r="A74" s="16"/>
      <c r="B74" s="16"/>
      <c r="C74" s="16"/>
      <c r="D74" s="56"/>
      <c r="E74" s="16"/>
      <c r="F74" s="16"/>
      <c r="G74" s="57"/>
      <c r="H74" s="56"/>
    </row>
    <row r="75" ht="15.75" customHeight="1">
      <c r="A75" s="16"/>
      <c r="B75" s="16"/>
      <c r="C75" s="16"/>
      <c r="D75" s="56"/>
      <c r="E75" s="16"/>
      <c r="F75" s="16"/>
      <c r="G75" s="57"/>
      <c r="H75" s="56"/>
    </row>
    <row r="76" ht="15.75" customHeight="1">
      <c r="A76" s="16"/>
      <c r="B76" s="16"/>
      <c r="C76" s="16"/>
      <c r="D76" s="56"/>
      <c r="E76" s="16"/>
      <c r="F76" s="16"/>
      <c r="G76" s="57"/>
      <c r="H76" s="56"/>
    </row>
    <row r="77" ht="15.75" customHeight="1">
      <c r="A77" s="16"/>
      <c r="B77" s="16"/>
      <c r="C77" s="16"/>
      <c r="D77" s="56"/>
      <c r="E77" s="16"/>
      <c r="F77" s="16"/>
      <c r="G77" s="57"/>
      <c r="H77" s="56"/>
    </row>
    <row r="78" ht="15.75" customHeight="1">
      <c r="A78" s="16"/>
      <c r="B78" s="16"/>
      <c r="C78" s="16"/>
      <c r="D78" s="56"/>
      <c r="E78" s="16"/>
      <c r="F78" s="16"/>
      <c r="G78" s="57"/>
      <c r="H78" s="56"/>
    </row>
    <row r="79" ht="15.75" customHeight="1">
      <c r="A79" s="16"/>
      <c r="B79" s="16"/>
      <c r="C79" s="16"/>
      <c r="D79" s="56"/>
      <c r="E79" s="16"/>
      <c r="F79" s="16"/>
      <c r="G79" s="57"/>
      <c r="H79" s="56"/>
    </row>
    <row r="80" ht="15.75" customHeight="1">
      <c r="A80" s="16"/>
      <c r="B80" s="16"/>
      <c r="C80" s="16"/>
      <c r="D80" s="56"/>
      <c r="E80" s="16"/>
      <c r="F80" s="16"/>
      <c r="G80" s="57"/>
      <c r="H80" s="56"/>
    </row>
    <row r="81" ht="15.75" customHeight="1">
      <c r="A81" s="16"/>
      <c r="B81" s="16"/>
      <c r="C81" s="16"/>
      <c r="D81" s="56"/>
      <c r="E81" s="16"/>
      <c r="F81" s="16"/>
      <c r="G81" s="57"/>
      <c r="H81" s="56"/>
    </row>
    <row r="82" ht="15.75" customHeight="1">
      <c r="A82" s="16"/>
      <c r="B82" s="16"/>
      <c r="C82" s="16"/>
      <c r="D82" s="56"/>
      <c r="E82" s="16"/>
      <c r="F82" s="16"/>
      <c r="G82" s="57"/>
      <c r="H82" s="56"/>
    </row>
    <row r="83" ht="15.75" customHeight="1">
      <c r="A83" s="16"/>
      <c r="B83" s="16"/>
      <c r="C83" s="16"/>
      <c r="D83" s="56"/>
      <c r="E83" s="16"/>
      <c r="F83" s="16"/>
      <c r="G83" s="57"/>
      <c r="H83" s="56"/>
    </row>
    <row r="84" ht="15.75" customHeight="1">
      <c r="A84" s="16"/>
      <c r="B84" s="16"/>
      <c r="C84" s="16"/>
      <c r="D84" s="56"/>
      <c r="E84" s="16"/>
      <c r="F84" s="16"/>
      <c r="G84" s="57"/>
      <c r="H84" s="56"/>
    </row>
    <row r="85" ht="15.75" customHeight="1">
      <c r="A85" s="16"/>
      <c r="B85" s="16"/>
      <c r="C85" s="16"/>
      <c r="D85" s="56"/>
      <c r="E85" s="16"/>
      <c r="F85" s="16"/>
      <c r="G85" s="57"/>
      <c r="H85" s="56"/>
    </row>
    <row r="86" ht="15.75" customHeight="1">
      <c r="A86" s="16"/>
      <c r="B86" s="16"/>
      <c r="C86" s="16"/>
      <c r="D86" s="56"/>
      <c r="E86" s="16"/>
      <c r="F86" s="16"/>
      <c r="G86" s="57"/>
      <c r="H86" s="56"/>
    </row>
    <row r="87" ht="15.75" customHeight="1">
      <c r="A87" s="16"/>
      <c r="B87" s="16"/>
      <c r="C87" s="16"/>
      <c r="D87" s="56"/>
      <c r="E87" s="16"/>
      <c r="F87" s="16"/>
      <c r="G87" s="57"/>
      <c r="H87" s="56"/>
    </row>
    <row r="88" ht="15.75" customHeight="1">
      <c r="A88" s="16"/>
      <c r="B88" s="16"/>
      <c r="C88" s="16"/>
      <c r="D88" s="56"/>
      <c r="E88" s="16"/>
      <c r="F88" s="16"/>
      <c r="G88" s="57"/>
      <c r="H88" s="56"/>
    </row>
    <row r="89" ht="15.75" customHeight="1">
      <c r="A89" s="16"/>
      <c r="B89" s="16"/>
      <c r="C89" s="16"/>
      <c r="D89" s="56"/>
      <c r="E89" s="16"/>
      <c r="F89" s="16"/>
      <c r="G89" s="57"/>
      <c r="H89" s="56"/>
    </row>
    <row r="90" ht="15.75" customHeight="1">
      <c r="A90" s="16"/>
      <c r="B90" s="16"/>
      <c r="C90" s="16"/>
      <c r="D90" s="56"/>
      <c r="E90" s="16"/>
      <c r="F90" s="16"/>
      <c r="G90" s="57"/>
      <c r="H90" s="56"/>
    </row>
    <row r="91" ht="15.75" customHeight="1">
      <c r="A91" s="16"/>
      <c r="B91" s="16"/>
      <c r="C91" s="16"/>
      <c r="D91" s="56"/>
      <c r="E91" s="16"/>
      <c r="F91" s="16"/>
      <c r="G91" s="57"/>
      <c r="H91" s="56"/>
    </row>
    <row r="92" ht="15.75" customHeight="1">
      <c r="A92" s="16"/>
      <c r="B92" s="16"/>
      <c r="C92" s="16"/>
      <c r="D92" s="56"/>
      <c r="E92" s="16"/>
      <c r="F92" s="16"/>
      <c r="G92" s="57"/>
      <c r="H92" s="56"/>
    </row>
    <row r="93" ht="15.75" customHeight="1">
      <c r="A93" s="16"/>
      <c r="B93" s="16"/>
      <c r="C93" s="16"/>
      <c r="D93" s="56"/>
      <c r="E93" s="16"/>
      <c r="F93" s="16"/>
      <c r="G93" s="57"/>
      <c r="H93" s="56"/>
    </row>
    <row r="94" ht="15.75" customHeight="1">
      <c r="A94" s="16"/>
      <c r="B94" s="16"/>
      <c r="C94" s="16"/>
      <c r="D94" s="56"/>
      <c r="E94" s="16"/>
      <c r="F94" s="16"/>
      <c r="G94" s="57"/>
      <c r="H94" s="56"/>
    </row>
    <row r="95" ht="15.75" customHeight="1">
      <c r="A95" s="16"/>
      <c r="B95" s="16"/>
      <c r="C95" s="16"/>
      <c r="D95" s="56"/>
      <c r="E95" s="16"/>
      <c r="F95" s="16"/>
      <c r="G95" s="57"/>
      <c r="H95" s="56"/>
    </row>
    <row r="96" ht="15.75" customHeight="1">
      <c r="A96" s="16"/>
      <c r="B96" s="16"/>
      <c r="C96" s="16"/>
      <c r="D96" s="56"/>
      <c r="E96" s="16"/>
      <c r="F96" s="16"/>
      <c r="G96" s="57"/>
      <c r="H96" s="56"/>
    </row>
    <row r="97" ht="15.75" customHeight="1">
      <c r="A97" s="16"/>
      <c r="B97" s="16"/>
      <c r="C97" s="16"/>
      <c r="D97" s="56"/>
      <c r="E97" s="16"/>
      <c r="F97" s="16"/>
      <c r="G97" s="57"/>
      <c r="H97" s="56"/>
    </row>
    <row r="98" ht="15.75" customHeight="1">
      <c r="A98" s="16"/>
      <c r="B98" s="16"/>
      <c r="C98" s="16"/>
      <c r="D98" s="56"/>
      <c r="E98" s="16"/>
      <c r="F98" s="16"/>
      <c r="G98" s="57"/>
      <c r="H98" s="56"/>
    </row>
    <row r="99" ht="15.75" customHeight="1">
      <c r="A99" s="16"/>
      <c r="B99" s="16"/>
      <c r="C99" s="16"/>
      <c r="D99" s="56"/>
      <c r="E99" s="16"/>
      <c r="F99" s="16"/>
      <c r="G99" s="57"/>
      <c r="H99" s="56"/>
    </row>
    <row r="100" ht="15.75" customHeight="1">
      <c r="A100" s="16"/>
      <c r="B100" s="16"/>
      <c r="C100" s="16"/>
      <c r="D100" s="56"/>
      <c r="E100" s="16"/>
      <c r="F100" s="16"/>
      <c r="G100" s="57"/>
      <c r="H100" s="56"/>
    </row>
    <row r="101" ht="15.75" customHeight="1">
      <c r="D101" s="61"/>
      <c r="G101" s="62"/>
      <c r="H101" s="61"/>
    </row>
    <row r="102" ht="15.75" customHeight="1">
      <c r="D102" s="61"/>
      <c r="G102" s="62"/>
      <c r="H102" s="61"/>
    </row>
    <row r="103" ht="15.75" customHeight="1">
      <c r="D103" s="61"/>
      <c r="G103" s="62"/>
      <c r="H103" s="61"/>
    </row>
    <row r="104" ht="15.75" customHeight="1">
      <c r="D104" s="61"/>
      <c r="G104" s="62"/>
      <c r="H104" s="61"/>
    </row>
    <row r="105" ht="15.75" customHeight="1">
      <c r="D105" s="61"/>
      <c r="G105" s="62"/>
      <c r="H105" s="61"/>
    </row>
    <row r="106" ht="15.75" customHeight="1">
      <c r="D106" s="61"/>
      <c r="G106" s="62"/>
      <c r="H106" s="61"/>
    </row>
    <row r="107" ht="15.75" customHeight="1">
      <c r="D107" s="61"/>
      <c r="G107" s="62"/>
      <c r="H107" s="61"/>
    </row>
    <row r="108" ht="15.75" customHeight="1">
      <c r="D108" s="61"/>
      <c r="G108" s="62"/>
      <c r="H108" s="61"/>
    </row>
    <row r="109" ht="15.75" customHeight="1">
      <c r="D109" s="61"/>
      <c r="G109" s="62"/>
      <c r="H109" s="61"/>
    </row>
    <row r="110" ht="15.75" customHeight="1">
      <c r="D110" s="61"/>
      <c r="G110" s="62"/>
      <c r="H110" s="61"/>
    </row>
    <row r="111" ht="15.75" customHeight="1">
      <c r="D111" s="61"/>
      <c r="G111" s="62"/>
      <c r="H111" s="61"/>
    </row>
    <row r="112" ht="15.75" customHeight="1">
      <c r="D112" s="61"/>
      <c r="G112" s="62"/>
      <c r="H112" s="61"/>
    </row>
    <row r="113" ht="15.75" customHeight="1">
      <c r="D113" s="61"/>
      <c r="G113" s="62"/>
      <c r="H113" s="61"/>
    </row>
    <row r="114" ht="15.75" customHeight="1">
      <c r="D114" s="61"/>
      <c r="G114" s="62"/>
      <c r="H114" s="61"/>
    </row>
    <row r="115" ht="15.75" customHeight="1">
      <c r="D115" s="61"/>
      <c r="G115" s="62"/>
      <c r="H115" s="61"/>
    </row>
    <row r="116" ht="15.75" customHeight="1">
      <c r="D116" s="61"/>
      <c r="G116" s="62"/>
      <c r="H116" s="61"/>
    </row>
    <row r="117" ht="15.75" customHeight="1">
      <c r="D117" s="61"/>
      <c r="G117" s="62"/>
      <c r="H117" s="61"/>
    </row>
    <row r="118" ht="15.75" customHeight="1">
      <c r="D118" s="61"/>
      <c r="G118" s="62"/>
      <c r="H118" s="61"/>
    </row>
    <row r="119" ht="15.75" customHeight="1">
      <c r="D119" s="61"/>
      <c r="G119" s="62"/>
      <c r="H119" s="61"/>
    </row>
    <row r="120" ht="15.75" customHeight="1">
      <c r="D120" s="61"/>
      <c r="G120" s="62"/>
      <c r="H120" s="61"/>
    </row>
    <row r="121" ht="15.75" customHeight="1">
      <c r="D121" s="61"/>
      <c r="G121" s="62"/>
      <c r="H121" s="61"/>
    </row>
    <row r="122" ht="15.75" customHeight="1">
      <c r="D122" s="61"/>
      <c r="G122" s="62"/>
      <c r="H122" s="61"/>
    </row>
    <row r="123" ht="15.75" customHeight="1">
      <c r="D123" s="61"/>
      <c r="G123" s="62"/>
      <c r="H123" s="61"/>
    </row>
    <row r="124" ht="15.75" customHeight="1">
      <c r="D124" s="61"/>
      <c r="G124" s="62"/>
      <c r="H124" s="61"/>
    </row>
    <row r="125" ht="15.75" customHeight="1">
      <c r="D125" s="61"/>
      <c r="G125" s="62"/>
      <c r="H125" s="61"/>
    </row>
    <row r="126" ht="15.75" customHeight="1">
      <c r="D126" s="61"/>
      <c r="G126" s="62"/>
      <c r="H126" s="61"/>
    </row>
    <row r="127" ht="15.75" customHeight="1">
      <c r="D127" s="61"/>
      <c r="G127" s="62"/>
      <c r="H127" s="61"/>
    </row>
    <row r="128" ht="15.75" customHeight="1">
      <c r="D128" s="61"/>
      <c r="G128" s="62"/>
      <c r="H128" s="61"/>
    </row>
    <row r="129" ht="15.75" customHeight="1">
      <c r="D129" s="61"/>
      <c r="G129" s="62"/>
      <c r="H129" s="61"/>
    </row>
    <row r="130" ht="15.75" customHeight="1">
      <c r="D130" s="61"/>
      <c r="G130" s="62"/>
      <c r="H130" s="61"/>
    </row>
    <row r="131" ht="15.75" customHeight="1">
      <c r="D131" s="61"/>
      <c r="G131" s="62"/>
      <c r="H131" s="61"/>
    </row>
    <row r="132" ht="15.75" customHeight="1">
      <c r="D132" s="61"/>
      <c r="G132" s="62"/>
      <c r="H132" s="61"/>
    </row>
    <row r="133" ht="15.75" customHeight="1">
      <c r="D133" s="61"/>
      <c r="G133" s="62"/>
      <c r="H133" s="61"/>
    </row>
    <row r="134" ht="15.75" customHeight="1">
      <c r="D134" s="61"/>
      <c r="G134" s="62"/>
      <c r="H134" s="61"/>
    </row>
    <row r="135" ht="15.75" customHeight="1">
      <c r="D135" s="61"/>
      <c r="G135" s="62"/>
      <c r="H135" s="61"/>
    </row>
    <row r="136" ht="15.75" customHeight="1">
      <c r="D136" s="61"/>
      <c r="G136" s="62"/>
      <c r="H136" s="61"/>
    </row>
    <row r="137" ht="15.75" customHeight="1">
      <c r="D137" s="61"/>
      <c r="G137" s="62"/>
      <c r="H137" s="61"/>
    </row>
    <row r="138" ht="15.75" customHeight="1">
      <c r="D138" s="61"/>
      <c r="G138" s="62"/>
      <c r="H138" s="61"/>
    </row>
    <row r="139" ht="15.75" customHeight="1">
      <c r="D139" s="61"/>
      <c r="G139" s="62"/>
      <c r="H139" s="61"/>
    </row>
    <row r="140" ht="15.75" customHeight="1">
      <c r="D140" s="61"/>
      <c r="G140" s="62"/>
      <c r="H140" s="61"/>
    </row>
    <row r="141" ht="15.75" customHeight="1">
      <c r="D141" s="61"/>
      <c r="G141" s="62"/>
      <c r="H141" s="61"/>
    </row>
    <row r="142" ht="15.75" customHeight="1">
      <c r="D142" s="61"/>
      <c r="G142" s="62"/>
      <c r="H142" s="61"/>
    </row>
    <row r="143" ht="15.75" customHeight="1">
      <c r="D143" s="61"/>
      <c r="G143" s="62"/>
      <c r="H143" s="61"/>
    </row>
    <row r="144" ht="15.75" customHeight="1">
      <c r="D144" s="61"/>
      <c r="G144" s="62"/>
      <c r="H144" s="61"/>
    </row>
    <row r="145" ht="15.75" customHeight="1">
      <c r="D145" s="61"/>
      <c r="G145" s="62"/>
      <c r="H145" s="61"/>
    </row>
    <row r="146" ht="15.75" customHeight="1">
      <c r="D146" s="61"/>
      <c r="G146" s="62"/>
      <c r="H146" s="61"/>
    </row>
    <row r="147" ht="15.75" customHeight="1">
      <c r="D147" s="61"/>
      <c r="G147" s="62"/>
      <c r="H147" s="61"/>
    </row>
    <row r="148" ht="15.75" customHeight="1">
      <c r="D148" s="61"/>
      <c r="G148" s="62"/>
      <c r="H148" s="61"/>
    </row>
    <row r="149" ht="15.75" customHeight="1">
      <c r="D149" s="61"/>
      <c r="G149" s="62"/>
      <c r="H149" s="61"/>
    </row>
    <row r="150" ht="15.75" customHeight="1">
      <c r="D150" s="61"/>
      <c r="G150" s="62"/>
      <c r="H150" s="61"/>
    </row>
    <row r="151" ht="15.75" customHeight="1">
      <c r="D151" s="61"/>
      <c r="G151" s="62"/>
      <c r="H151" s="61"/>
    </row>
    <row r="152" ht="15.75" customHeight="1">
      <c r="D152" s="61"/>
      <c r="G152" s="62"/>
      <c r="H152" s="61"/>
    </row>
    <row r="153" ht="15.75" customHeight="1">
      <c r="D153" s="61"/>
      <c r="G153" s="62"/>
      <c r="H153" s="61"/>
    </row>
    <row r="154" ht="15.75" customHeight="1">
      <c r="D154" s="61"/>
      <c r="G154" s="62"/>
      <c r="H154" s="61"/>
    </row>
    <row r="155" ht="15.75" customHeight="1">
      <c r="D155" s="61"/>
      <c r="G155" s="62"/>
      <c r="H155" s="61"/>
    </row>
    <row r="156" ht="15.75" customHeight="1">
      <c r="D156" s="61"/>
      <c r="G156" s="62"/>
      <c r="H156" s="61"/>
    </row>
    <row r="157" ht="15.75" customHeight="1">
      <c r="D157" s="61"/>
      <c r="G157" s="62"/>
      <c r="H157" s="61"/>
    </row>
    <row r="158" ht="15.75" customHeight="1">
      <c r="D158" s="61"/>
      <c r="G158" s="62"/>
      <c r="H158" s="61"/>
    </row>
    <row r="159" ht="15.75" customHeight="1">
      <c r="D159" s="61"/>
      <c r="G159" s="62"/>
      <c r="H159" s="61"/>
    </row>
    <row r="160" ht="15.75" customHeight="1">
      <c r="D160" s="61"/>
      <c r="G160" s="62"/>
      <c r="H160" s="61"/>
    </row>
    <row r="161" ht="15.75" customHeight="1">
      <c r="D161" s="61"/>
      <c r="G161" s="62"/>
      <c r="H161" s="61"/>
    </row>
    <row r="162" ht="15.75" customHeight="1">
      <c r="D162" s="61"/>
      <c r="G162" s="62"/>
      <c r="H162" s="61"/>
    </row>
    <row r="163" ht="15.75" customHeight="1">
      <c r="D163" s="61"/>
      <c r="G163" s="62"/>
      <c r="H163" s="61"/>
    </row>
    <row r="164" ht="15.75" customHeight="1">
      <c r="D164" s="61"/>
      <c r="G164" s="62"/>
      <c r="H164" s="61"/>
    </row>
    <row r="165" ht="15.75" customHeight="1">
      <c r="D165" s="61"/>
      <c r="G165" s="62"/>
      <c r="H165" s="61"/>
    </row>
    <row r="166" ht="15.75" customHeight="1">
      <c r="D166" s="61"/>
      <c r="G166" s="62"/>
      <c r="H166" s="61"/>
    </row>
    <row r="167" ht="15.75" customHeight="1">
      <c r="D167" s="61"/>
      <c r="G167" s="62"/>
      <c r="H167" s="61"/>
    </row>
    <row r="168" ht="15.75" customHeight="1">
      <c r="D168" s="61"/>
      <c r="G168" s="62"/>
      <c r="H168" s="61"/>
    </row>
    <row r="169" ht="15.75" customHeight="1">
      <c r="D169" s="61"/>
      <c r="G169" s="62"/>
      <c r="H169" s="61"/>
    </row>
    <row r="170" ht="15.75" customHeight="1">
      <c r="D170" s="61"/>
      <c r="G170" s="62"/>
      <c r="H170" s="61"/>
    </row>
    <row r="171" ht="15.75" customHeight="1">
      <c r="D171" s="61"/>
      <c r="G171" s="62"/>
      <c r="H171" s="61"/>
    </row>
    <row r="172" ht="15.75" customHeight="1">
      <c r="D172" s="61"/>
      <c r="G172" s="62"/>
      <c r="H172" s="61"/>
    </row>
    <row r="173" ht="15.75" customHeight="1">
      <c r="D173" s="61"/>
      <c r="G173" s="62"/>
      <c r="H173" s="61"/>
    </row>
    <row r="174" ht="15.75" customHeight="1">
      <c r="D174" s="61"/>
      <c r="G174" s="62"/>
      <c r="H174" s="61"/>
    </row>
    <row r="175" ht="15.75" customHeight="1">
      <c r="D175" s="61"/>
      <c r="G175" s="62"/>
      <c r="H175" s="61"/>
    </row>
    <row r="176" ht="15.75" customHeight="1">
      <c r="D176" s="61"/>
      <c r="G176" s="62"/>
      <c r="H176" s="61"/>
    </row>
    <row r="177" ht="15.75" customHeight="1">
      <c r="D177" s="61"/>
      <c r="G177" s="62"/>
      <c r="H177" s="61"/>
    </row>
    <row r="178" ht="15.75" customHeight="1">
      <c r="D178" s="61"/>
      <c r="G178" s="62"/>
      <c r="H178" s="61"/>
    </row>
    <row r="179" ht="15.75" customHeight="1">
      <c r="D179" s="61"/>
      <c r="G179" s="62"/>
      <c r="H179" s="61"/>
    </row>
    <row r="180" ht="15.75" customHeight="1">
      <c r="D180" s="61"/>
      <c r="G180" s="62"/>
      <c r="H180" s="61"/>
    </row>
    <row r="181" ht="15.75" customHeight="1">
      <c r="D181" s="61"/>
      <c r="G181" s="62"/>
      <c r="H181" s="61"/>
    </row>
    <row r="182" ht="15.75" customHeight="1">
      <c r="D182" s="61"/>
      <c r="G182" s="62"/>
      <c r="H182" s="61"/>
    </row>
    <row r="183" ht="15.75" customHeight="1">
      <c r="D183" s="61"/>
      <c r="G183" s="62"/>
      <c r="H183" s="61"/>
    </row>
    <row r="184" ht="15.75" customHeight="1">
      <c r="D184" s="61"/>
      <c r="G184" s="62"/>
      <c r="H184" s="61"/>
    </row>
    <row r="185" ht="15.75" customHeight="1">
      <c r="D185" s="61"/>
      <c r="G185" s="62"/>
      <c r="H185" s="61"/>
    </row>
    <row r="186" ht="15.75" customHeight="1">
      <c r="D186" s="61"/>
      <c r="G186" s="62"/>
      <c r="H186" s="61"/>
    </row>
    <row r="187" ht="15.75" customHeight="1">
      <c r="D187" s="61"/>
      <c r="G187" s="62"/>
      <c r="H187" s="61"/>
    </row>
    <row r="188" ht="15.75" customHeight="1">
      <c r="D188" s="61"/>
      <c r="G188" s="62"/>
      <c r="H188" s="61"/>
    </row>
    <row r="189" ht="15.75" customHeight="1">
      <c r="D189" s="61"/>
      <c r="G189" s="62"/>
      <c r="H189" s="61"/>
    </row>
    <row r="190" ht="15.75" customHeight="1">
      <c r="D190" s="61"/>
      <c r="G190" s="62"/>
      <c r="H190" s="61"/>
    </row>
    <row r="191" ht="15.75" customHeight="1">
      <c r="D191" s="61"/>
      <c r="G191" s="62"/>
      <c r="H191" s="61"/>
    </row>
    <row r="192" ht="15.75" customHeight="1">
      <c r="D192" s="61"/>
      <c r="G192" s="62"/>
      <c r="H192" s="61"/>
    </row>
    <row r="193" ht="15.75" customHeight="1">
      <c r="D193" s="61"/>
      <c r="G193" s="62"/>
      <c r="H193" s="61"/>
    </row>
    <row r="194" ht="15.75" customHeight="1">
      <c r="D194" s="61"/>
      <c r="G194" s="62"/>
      <c r="H194" s="61"/>
    </row>
    <row r="195" ht="15.75" customHeight="1">
      <c r="D195" s="61"/>
      <c r="G195" s="62"/>
      <c r="H195" s="61"/>
    </row>
    <row r="196" ht="15.75" customHeight="1">
      <c r="D196" s="61"/>
      <c r="G196" s="62"/>
      <c r="H196" s="61"/>
    </row>
    <row r="197" ht="15.75" customHeight="1">
      <c r="D197" s="61"/>
      <c r="G197" s="62"/>
      <c r="H197" s="61"/>
    </row>
    <row r="198" ht="15.75" customHeight="1">
      <c r="D198" s="61"/>
      <c r="G198" s="62"/>
      <c r="H198" s="61"/>
    </row>
    <row r="199" ht="15.75" customHeight="1">
      <c r="D199" s="61"/>
      <c r="G199" s="62"/>
      <c r="H199" s="61"/>
    </row>
    <row r="200" ht="15.75" customHeight="1">
      <c r="D200" s="61"/>
      <c r="G200" s="62"/>
      <c r="H200" s="61"/>
    </row>
    <row r="201" ht="15.75" customHeight="1">
      <c r="D201" s="61"/>
      <c r="G201" s="62"/>
      <c r="H201" s="61"/>
    </row>
    <row r="202" ht="15.75" customHeight="1">
      <c r="D202" s="61"/>
      <c r="G202" s="62"/>
      <c r="H202" s="61"/>
    </row>
    <row r="203" ht="15.75" customHeight="1">
      <c r="D203" s="61"/>
      <c r="G203" s="62"/>
      <c r="H203" s="61"/>
    </row>
    <row r="204" ht="15.75" customHeight="1">
      <c r="D204" s="61"/>
      <c r="G204" s="62"/>
      <c r="H204" s="61"/>
    </row>
    <row r="205" ht="15.75" customHeight="1">
      <c r="D205" s="61"/>
      <c r="G205" s="62"/>
      <c r="H205" s="61"/>
    </row>
    <row r="206" ht="15.75" customHeight="1">
      <c r="D206" s="61"/>
      <c r="G206" s="62"/>
      <c r="H206" s="61"/>
    </row>
    <row r="207" ht="15.75" customHeight="1">
      <c r="D207" s="61"/>
      <c r="G207" s="62"/>
      <c r="H207" s="61"/>
    </row>
    <row r="208" ht="15.75" customHeight="1">
      <c r="D208" s="61"/>
      <c r="G208" s="62"/>
      <c r="H208" s="61"/>
    </row>
    <row r="209" ht="15.75" customHeight="1">
      <c r="D209" s="61"/>
      <c r="G209" s="62"/>
      <c r="H209" s="61"/>
    </row>
    <row r="210" ht="15.75" customHeight="1">
      <c r="D210" s="61"/>
      <c r="G210" s="62"/>
      <c r="H210" s="61"/>
    </row>
    <row r="211" ht="15.75" customHeight="1">
      <c r="D211" s="61"/>
      <c r="G211" s="62"/>
      <c r="H211" s="61"/>
    </row>
    <row r="212" ht="15.75" customHeight="1">
      <c r="D212" s="61"/>
      <c r="G212" s="62"/>
      <c r="H212" s="61"/>
    </row>
    <row r="213" ht="15.75" customHeight="1">
      <c r="D213" s="61"/>
      <c r="G213" s="62"/>
      <c r="H213" s="61"/>
    </row>
    <row r="214" ht="15.75" customHeight="1">
      <c r="D214" s="61"/>
      <c r="G214" s="62"/>
      <c r="H214" s="61"/>
    </row>
    <row r="215" ht="15.75" customHeight="1">
      <c r="D215" s="61"/>
      <c r="G215" s="62"/>
      <c r="H215" s="61"/>
    </row>
    <row r="216" ht="15.75" customHeight="1">
      <c r="D216" s="61"/>
      <c r="G216" s="62"/>
      <c r="H216" s="61"/>
    </row>
    <row r="217" ht="15.75" customHeight="1">
      <c r="D217" s="61"/>
      <c r="G217" s="62"/>
      <c r="H217" s="61"/>
    </row>
    <row r="218" ht="15.75" customHeight="1">
      <c r="D218" s="61"/>
      <c r="G218" s="62"/>
      <c r="H218" s="61"/>
    </row>
    <row r="219" ht="15.75" customHeight="1">
      <c r="D219" s="61"/>
      <c r="G219" s="62"/>
      <c r="H219" s="61"/>
    </row>
    <row r="220" ht="15.75" customHeight="1">
      <c r="D220" s="61"/>
      <c r="G220" s="62"/>
      <c r="H220" s="61"/>
    </row>
    <row r="221" ht="15.75" customHeight="1">
      <c r="D221" s="61"/>
      <c r="G221" s="62"/>
      <c r="H221" s="61"/>
    </row>
    <row r="222" ht="15.75" customHeight="1">
      <c r="D222" s="61"/>
      <c r="G222" s="62"/>
      <c r="H222" s="61"/>
    </row>
    <row r="223" ht="15.75" customHeight="1">
      <c r="D223" s="61"/>
      <c r="G223" s="62"/>
      <c r="H223" s="61"/>
    </row>
    <row r="224" ht="15.75" customHeight="1">
      <c r="D224" s="61"/>
      <c r="G224" s="62"/>
      <c r="H224" s="61"/>
    </row>
    <row r="225" ht="15.75" customHeight="1">
      <c r="D225" s="61"/>
      <c r="G225" s="62"/>
      <c r="H225" s="61"/>
    </row>
    <row r="226" ht="15.75" customHeight="1">
      <c r="D226" s="61"/>
      <c r="G226" s="62"/>
      <c r="H226" s="61"/>
    </row>
    <row r="227" ht="15.75" customHeight="1">
      <c r="D227" s="61"/>
      <c r="G227" s="62"/>
      <c r="H227" s="61"/>
    </row>
    <row r="228" ht="15.75" customHeight="1">
      <c r="D228" s="61"/>
      <c r="G228" s="62"/>
      <c r="H228" s="61"/>
    </row>
    <row r="229" ht="15.75" customHeight="1">
      <c r="D229" s="61"/>
      <c r="G229" s="62"/>
      <c r="H229" s="61"/>
    </row>
    <row r="230" ht="15.75" customHeight="1">
      <c r="D230" s="61"/>
      <c r="G230" s="62"/>
      <c r="H230" s="61"/>
    </row>
    <row r="231" ht="15.75" customHeight="1">
      <c r="D231" s="61"/>
      <c r="G231" s="62"/>
      <c r="H231" s="61"/>
    </row>
    <row r="232" ht="15.75" customHeight="1">
      <c r="D232" s="61"/>
      <c r="G232" s="62"/>
      <c r="H232" s="61"/>
    </row>
    <row r="233" ht="15.75" customHeight="1">
      <c r="D233" s="61"/>
      <c r="G233" s="62"/>
      <c r="H233" s="61"/>
    </row>
    <row r="234" ht="15.75" customHeight="1">
      <c r="D234" s="61"/>
      <c r="G234" s="62"/>
      <c r="H234" s="61"/>
    </row>
    <row r="235" ht="15.75" customHeight="1">
      <c r="D235" s="61"/>
      <c r="G235" s="62"/>
      <c r="H235" s="61"/>
    </row>
    <row r="236" ht="15.75" customHeight="1">
      <c r="D236" s="61"/>
      <c r="G236" s="62"/>
      <c r="H236" s="61"/>
    </row>
    <row r="237" ht="15.75" customHeight="1">
      <c r="D237" s="61"/>
      <c r="G237" s="62"/>
      <c r="H237" s="61"/>
    </row>
    <row r="238" ht="15.75" customHeight="1">
      <c r="D238" s="61"/>
      <c r="G238" s="62"/>
      <c r="H238" s="61"/>
    </row>
    <row r="239" ht="15.75" customHeight="1">
      <c r="D239" s="61"/>
      <c r="G239" s="62"/>
      <c r="H239" s="61"/>
    </row>
    <row r="240" ht="15.75" customHeight="1">
      <c r="D240" s="61"/>
      <c r="G240" s="62"/>
      <c r="H240" s="61"/>
    </row>
    <row r="241" ht="15.75" customHeight="1">
      <c r="D241" s="61"/>
      <c r="G241" s="62"/>
      <c r="H241" s="61"/>
    </row>
    <row r="242" ht="15.75" customHeight="1">
      <c r="D242" s="61"/>
      <c r="G242" s="62"/>
      <c r="H242" s="61"/>
    </row>
    <row r="243" ht="15.75" customHeight="1">
      <c r="D243" s="61"/>
      <c r="G243" s="62"/>
      <c r="H243" s="61"/>
    </row>
    <row r="244" ht="15.75" customHeight="1">
      <c r="D244" s="61"/>
      <c r="G244" s="62"/>
      <c r="H244" s="61"/>
    </row>
    <row r="245" ht="15.75" customHeight="1">
      <c r="D245" s="61"/>
      <c r="G245" s="62"/>
      <c r="H245" s="61"/>
    </row>
    <row r="246" ht="15.75" customHeight="1">
      <c r="D246" s="61"/>
      <c r="G246" s="62"/>
      <c r="H246" s="61"/>
    </row>
    <row r="247" ht="15.75" customHeight="1">
      <c r="D247" s="61"/>
      <c r="G247" s="62"/>
      <c r="H247" s="61"/>
    </row>
    <row r="248" ht="15.75" customHeight="1">
      <c r="D248" s="61"/>
      <c r="G248" s="62"/>
      <c r="H248" s="61"/>
    </row>
    <row r="249" ht="15.75" customHeight="1">
      <c r="D249" s="61"/>
      <c r="G249" s="62"/>
      <c r="H249" s="61"/>
    </row>
    <row r="250" ht="15.75" customHeight="1">
      <c r="D250" s="61"/>
      <c r="G250" s="62"/>
      <c r="H250" s="61"/>
    </row>
    <row r="251" ht="15.75" customHeight="1">
      <c r="D251" s="61"/>
      <c r="G251" s="62"/>
      <c r="H251" s="61"/>
    </row>
    <row r="252" ht="15.75" customHeight="1">
      <c r="D252" s="61"/>
      <c r="G252" s="62"/>
      <c r="H252" s="61"/>
    </row>
    <row r="253" ht="15.75" customHeight="1">
      <c r="D253" s="61"/>
      <c r="G253" s="62"/>
      <c r="H253" s="61"/>
    </row>
    <row r="254" ht="15.75" customHeight="1">
      <c r="D254" s="61"/>
      <c r="G254" s="62"/>
      <c r="H254" s="61"/>
    </row>
    <row r="255" ht="15.75" customHeight="1">
      <c r="D255" s="61"/>
      <c r="G255" s="62"/>
      <c r="H255" s="61"/>
    </row>
    <row r="256" ht="15.75" customHeight="1">
      <c r="D256" s="61"/>
      <c r="G256" s="62"/>
      <c r="H256" s="61"/>
    </row>
    <row r="257" ht="15.75" customHeight="1">
      <c r="D257" s="61"/>
      <c r="G257" s="62"/>
      <c r="H257" s="61"/>
    </row>
    <row r="258" ht="15.75" customHeight="1">
      <c r="D258" s="61"/>
      <c r="G258" s="62"/>
      <c r="H258" s="61"/>
    </row>
    <row r="259" ht="15.75" customHeight="1">
      <c r="D259" s="61"/>
      <c r="G259" s="62"/>
      <c r="H259" s="61"/>
    </row>
    <row r="260" ht="15.75" customHeight="1">
      <c r="D260" s="61"/>
      <c r="G260" s="62"/>
      <c r="H260" s="61"/>
    </row>
    <row r="261" ht="15.75" customHeight="1">
      <c r="D261" s="61"/>
      <c r="G261" s="62"/>
      <c r="H261" s="61"/>
    </row>
    <row r="262" ht="15.75" customHeight="1">
      <c r="D262" s="61"/>
      <c r="G262" s="62"/>
      <c r="H262" s="61"/>
    </row>
    <row r="263" ht="15.75" customHeight="1">
      <c r="D263" s="61"/>
      <c r="G263" s="62"/>
      <c r="H263" s="61"/>
    </row>
    <row r="264" ht="15.75" customHeight="1">
      <c r="D264" s="61"/>
      <c r="G264" s="62"/>
      <c r="H264" s="61"/>
    </row>
    <row r="265" ht="15.75" customHeight="1">
      <c r="D265" s="61"/>
      <c r="G265" s="62"/>
      <c r="H265" s="61"/>
    </row>
    <row r="266" ht="15.75" customHeight="1">
      <c r="D266" s="61"/>
      <c r="G266" s="62"/>
      <c r="H266" s="61"/>
    </row>
    <row r="267" ht="15.75" customHeight="1">
      <c r="D267" s="61"/>
      <c r="G267" s="62"/>
      <c r="H267" s="61"/>
    </row>
    <row r="268" ht="15.75" customHeight="1">
      <c r="D268" s="61"/>
      <c r="G268" s="62"/>
      <c r="H268" s="61"/>
    </row>
    <row r="269" ht="15.75" customHeight="1">
      <c r="D269" s="61"/>
      <c r="G269" s="62"/>
      <c r="H269" s="61"/>
    </row>
    <row r="270" ht="15.75" customHeight="1">
      <c r="D270" s="61"/>
      <c r="G270" s="62"/>
      <c r="H270" s="61"/>
    </row>
    <row r="271" ht="15.75" customHeight="1">
      <c r="D271" s="61"/>
      <c r="G271" s="62"/>
      <c r="H271" s="61"/>
    </row>
    <row r="272" ht="15.75" customHeight="1">
      <c r="D272" s="61"/>
      <c r="G272" s="62"/>
      <c r="H272" s="61"/>
    </row>
    <row r="273" ht="15.75" customHeight="1">
      <c r="D273" s="61"/>
      <c r="G273" s="62"/>
      <c r="H273" s="61"/>
    </row>
    <row r="274" ht="15.75" customHeight="1">
      <c r="D274" s="61"/>
      <c r="G274" s="62"/>
      <c r="H274" s="61"/>
    </row>
    <row r="275" ht="15.75" customHeight="1">
      <c r="D275" s="61"/>
      <c r="G275" s="62"/>
      <c r="H275" s="61"/>
    </row>
    <row r="276" ht="15.75" customHeight="1">
      <c r="D276" s="61"/>
      <c r="G276" s="62"/>
      <c r="H276" s="61"/>
    </row>
    <row r="277" ht="15.75" customHeight="1">
      <c r="D277" s="61"/>
      <c r="G277" s="62"/>
      <c r="H277" s="61"/>
    </row>
    <row r="278" ht="15.75" customHeight="1">
      <c r="D278" s="61"/>
      <c r="G278" s="62"/>
      <c r="H278" s="61"/>
    </row>
    <row r="279" ht="15.75" customHeight="1">
      <c r="D279" s="61"/>
      <c r="G279" s="62"/>
      <c r="H279" s="61"/>
    </row>
    <row r="280" ht="15.75" customHeight="1">
      <c r="D280" s="61"/>
      <c r="G280" s="62"/>
      <c r="H280" s="61"/>
    </row>
    <row r="281" ht="15.75" customHeight="1">
      <c r="D281" s="61"/>
      <c r="G281" s="62"/>
      <c r="H281" s="61"/>
    </row>
    <row r="282" ht="15.75" customHeight="1">
      <c r="D282" s="61"/>
      <c r="G282" s="62"/>
      <c r="H282" s="61"/>
    </row>
    <row r="283" ht="15.75" customHeight="1">
      <c r="D283" s="61"/>
      <c r="G283" s="62"/>
      <c r="H283" s="61"/>
    </row>
    <row r="284" ht="15.75" customHeight="1">
      <c r="D284" s="61"/>
      <c r="G284" s="62"/>
      <c r="H284" s="61"/>
    </row>
    <row r="285" ht="15.75" customHeight="1">
      <c r="D285" s="61"/>
      <c r="G285" s="62"/>
      <c r="H285" s="61"/>
    </row>
    <row r="286" ht="15.75" customHeight="1">
      <c r="D286" s="61"/>
      <c r="G286" s="62"/>
      <c r="H286" s="61"/>
    </row>
    <row r="287" ht="15.75" customHeight="1">
      <c r="D287" s="61"/>
      <c r="G287" s="62"/>
      <c r="H287" s="61"/>
    </row>
    <row r="288" ht="15.75" customHeight="1">
      <c r="D288" s="61"/>
      <c r="G288" s="62"/>
      <c r="H288" s="61"/>
    </row>
    <row r="289" ht="15.75" customHeight="1">
      <c r="D289" s="61"/>
      <c r="G289" s="62"/>
      <c r="H289" s="61"/>
    </row>
    <row r="290" ht="15.75" customHeight="1">
      <c r="D290" s="61"/>
      <c r="G290" s="62"/>
      <c r="H290" s="61"/>
    </row>
    <row r="291" ht="15.75" customHeight="1">
      <c r="D291" s="61"/>
      <c r="G291" s="62"/>
      <c r="H291" s="61"/>
    </row>
    <row r="292" ht="15.75" customHeight="1">
      <c r="D292" s="61"/>
      <c r="G292" s="62"/>
      <c r="H292" s="61"/>
    </row>
    <row r="293" ht="15.75" customHeight="1">
      <c r="D293" s="61"/>
      <c r="G293" s="62"/>
      <c r="H293" s="61"/>
    </row>
    <row r="294" ht="15.75" customHeight="1">
      <c r="D294" s="61"/>
      <c r="G294" s="62"/>
      <c r="H294" s="61"/>
    </row>
    <row r="295" ht="15.75" customHeight="1">
      <c r="D295" s="61"/>
      <c r="G295" s="62"/>
      <c r="H295" s="61"/>
    </row>
    <row r="296" ht="15.75" customHeight="1">
      <c r="D296" s="61"/>
      <c r="G296" s="62"/>
      <c r="H296" s="61"/>
    </row>
    <row r="297" ht="15.75" customHeight="1">
      <c r="D297" s="61"/>
      <c r="G297" s="62"/>
      <c r="H297" s="61"/>
    </row>
    <row r="298" ht="15.75" customHeight="1">
      <c r="D298" s="61"/>
      <c r="G298" s="62"/>
      <c r="H298" s="61"/>
    </row>
    <row r="299" ht="15.75" customHeight="1">
      <c r="D299" s="61"/>
      <c r="G299" s="62"/>
      <c r="H299" s="61"/>
    </row>
    <row r="300" ht="15.75" customHeight="1">
      <c r="D300" s="61"/>
      <c r="G300" s="62"/>
      <c r="H300" s="61"/>
    </row>
    <row r="301" ht="15.75" customHeight="1">
      <c r="D301" s="61"/>
      <c r="G301" s="62"/>
      <c r="H301" s="61"/>
    </row>
    <row r="302" ht="15.75" customHeight="1">
      <c r="D302" s="61"/>
      <c r="G302" s="62"/>
      <c r="H302" s="61"/>
    </row>
    <row r="303" ht="15.75" customHeight="1">
      <c r="D303" s="61"/>
      <c r="G303" s="62"/>
      <c r="H303" s="61"/>
    </row>
    <row r="304" ht="15.75" customHeight="1">
      <c r="D304" s="61"/>
      <c r="G304" s="62"/>
      <c r="H304" s="61"/>
    </row>
    <row r="305" ht="15.75" customHeight="1">
      <c r="D305" s="20"/>
      <c r="G305" s="26"/>
      <c r="H305" s="20"/>
    </row>
    <row r="306" ht="15.75" customHeight="1">
      <c r="D306" s="20"/>
      <c r="G306" s="26"/>
      <c r="H306" s="20"/>
    </row>
    <row r="307" ht="15.75" customHeight="1">
      <c r="D307" s="20"/>
      <c r="G307" s="26"/>
      <c r="H307" s="20"/>
    </row>
    <row r="308" ht="15.75" customHeight="1">
      <c r="D308" s="20"/>
      <c r="G308" s="26"/>
      <c r="H308" s="20"/>
    </row>
    <row r="309" ht="15.75" customHeight="1">
      <c r="D309" s="20"/>
      <c r="G309" s="26"/>
      <c r="H309" s="20"/>
    </row>
    <row r="310" ht="15.75" customHeight="1">
      <c r="D310" s="20"/>
      <c r="G310" s="26"/>
      <c r="H310" s="20"/>
    </row>
    <row r="311" ht="15.75" customHeight="1">
      <c r="D311" s="20"/>
      <c r="G311" s="26"/>
      <c r="H311" s="20"/>
    </row>
    <row r="312" ht="15.75" customHeight="1">
      <c r="D312" s="20"/>
      <c r="G312" s="26"/>
      <c r="H312" s="20"/>
    </row>
    <row r="313" ht="15.75" customHeight="1">
      <c r="D313" s="20"/>
      <c r="G313" s="26"/>
      <c r="H313" s="20"/>
    </row>
    <row r="314" ht="15.75" customHeight="1">
      <c r="D314" s="20"/>
      <c r="G314" s="26"/>
      <c r="H314" s="20"/>
    </row>
    <row r="315" ht="15.75" customHeight="1">
      <c r="D315" s="20"/>
      <c r="G315" s="26"/>
      <c r="H315" s="20"/>
    </row>
    <row r="316" ht="15.75" customHeight="1">
      <c r="D316" s="20"/>
      <c r="G316" s="26"/>
      <c r="H316" s="20"/>
    </row>
    <row r="317" ht="15.75" customHeight="1">
      <c r="D317" s="20"/>
      <c r="G317" s="26"/>
      <c r="H317" s="20"/>
    </row>
    <row r="318" ht="15.75" customHeight="1">
      <c r="D318" s="20"/>
      <c r="G318" s="26"/>
      <c r="H318" s="20"/>
    </row>
    <row r="319" ht="15.75" customHeight="1">
      <c r="D319" s="20"/>
      <c r="G319" s="26"/>
      <c r="H319" s="20"/>
    </row>
    <row r="320" ht="15.75" customHeight="1">
      <c r="D320" s="20"/>
      <c r="G320" s="26"/>
      <c r="H320" s="20"/>
    </row>
    <row r="321" ht="15.75" customHeight="1">
      <c r="D321" s="20"/>
      <c r="G321" s="26"/>
      <c r="H321" s="20"/>
    </row>
    <row r="322" ht="15.75" customHeight="1">
      <c r="D322" s="20"/>
      <c r="G322" s="26"/>
      <c r="H322" s="20"/>
    </row>
    <row r="323" ht="15.75" customHeight="1">
      <c r="D323" s="20"/>
      <c r="G323" s="26"/>
      <c r="H323" s="20"/>
    </row>
    <row r="324" ht="15.75" customHeight="1">
      <c r="D324" s="20"/>
      <c r="G324" s="26"/>
      <c r="H324" s="20"/>
    </row>
    <row r="325" ht="15.75" customHeight="1">
      <c r="D325" s="20"/>
      <c r="G325" s="26"/>
      <c r="H325" s="20"/>
    </row>
    <row r="326" ht="15.75" customHeight="1">
      <c r="D326" s="20"/>
      <c r="G326" s="26"/>
      <c r="H326" s="20"/>
    </row>
    <row r="327" ht="15.75" customHeight="1">
      <c r="D327" s="20"/>
      <c r="G327" s="26"/>
      <c r="H327" s="20"/>
    </row>
    <row r="328" ht="15.75" customHeight="1">
      <c r="D328" s="20"/>
      <c r="G328" s="26"/>
      <c r="H328" s="20"/>
    </row>
    <row r="329" ht="15.75" customHeight="1">
      <c r="D329" s="20"/>
      <c r="G329" s="26"/>
      <c r="H329" s="20"/>
    </row>
    <row r="330" ht="15.75" customHeight="1">
      <c r="D330" s="20"/>
      <c r="G330" s="26"/>
      <c r="H330" s="20"/>
    </row>
    <row r="331" ht="15.75" customHeight="1">
      <c r="D331" s="20"/>
      <c r="G331" s="26"/>
      <c r="H331" s="20"/>
    </row>
    <row r="332" ht="15.75" customHeight="1">
      <c r="D332" s="20"/>
      <c r="G332" s="26"/>
      <c r="H332" s="20"/>
    </row>
    <row r="333" ht="15.75" customHeight="1">
      <c r="D333" s="20"/>
      <c r="G333" s="26"/>
      <c r="H333" s="20"/>
    </row>
    <row r="334" ht="15.75" customHeight="1">
      <c r="D334" s="20"/>
      <c r="G334" s="26"/>
      <c r="H334" s="20"/>
    </row>
    <row r="335" ht="15.75" customHeight="1">
      <c r="D335" s="20"/>
      <c r="G335" s="26"/>
      <c r="H335" s="20"/>
    </row>
    <row r="336" ht="15.75" customHeight="1">
      <c r="D336" s="20"/>
      <c r="G336" s="26"/>
      <c r="H336" s="20"/>
    </row>
    <row r="337" ht="15.75" customHeight="1">
      <c r="D337" s="20"/>
      <c r="G337" s="26"/>
      <c r="H337" s="20"/>
    </row>
    <row r="338" ht="15.75" customHeight="1">
      <c r="D338" s="20"/>
      <c r="G338" s="26"/>
      <c r="H338" s="20"/>
    </row>
    <row r="339" ht="15.75" customHeight="1">
      <c r="D339" s="20"/>
      <c r="G339" s="26"/>
      <c r="H339" s="20"/>
    </row>
    <row r="340" ht="15.75" customHeight="1">
      <c r="D340" s="20"/>
      <c r="G340" s="26"/>
      <c r="H340" s="20"/>
    </row>
    <row r="341" ht="15.75" customHeight="1">
      <c r="D341" s="20"/>
      <c r="G341" s="26"/>
      <c r="H341" s="20"/>
    </row>
    <row r="342" ht="15.75" customHeight="1">
      <c r="D342" s="20"/>
      <c r="G342" s="26"/>
      <c r="H342" s="20"/>
    </row>
    <row r="343" ht="15.75" customHeight="1">
      <c r="D343" s="20"/>
      <c r="G343" s="26"/>
      <c r="H343" s="20"/>
    </row>
    <row r="344" ht="15.75" customHeight="1">
      <c r="D344" s="20"/>
      <c r="G344" s="26"/>
      <c r="H344" s="20"/>
    </row>
    <row r="345" ht="15.75" customHeight="1">
      <c r="D345" s="20"/>
      <c r="G345" s="26"/>
      <c r="H345" s="20"/>
    </row>
    <row r="346" ht="15.75" customHeight="1">
      <c r="D346" s="20"/>
      <c r="G346" s="26"/>
      <c r="H346" s="20"/>
    </row>
    <row r="347" ht="15.75" customHeight="1">
      <c r="D347" s="20"/>
      <c r="G347" s="26"/>
      <c r="H347" s="20"/>
    </row>
    <row r="348" ht="15.75" customHeight="1">
      <c r="D348" s="20"/>
      <c r="G348" s="26"/>
      <c r="H348" s="20"/>
    </row>
    <row r="349" ht="15.75" customHeight="1">
      <c r="D349" s="20"/>
      <c r="G349" s="26"/>
      <c r="H349" s="20"/>
    </row>
    <row r="350" ht="15.75" customHeight="1">
      <c r="D350" s="20"/>
      <c r="G350" s="26"/>
      <c r="H350" s="20"/>
    </row>
    <row r="351" ht="15.75" customHeight="1">
      <c r="D351" s="20"/>
      <c r="G351" s="26"/>
      <c r="H351" s="20"/>
    </row>
    <row r="352" ht="15.75" customHeight="1">
      <c r="D352" s="20"/>
      <c r="G352" s="26"/>
      <c r="H352" s="20"/>
    </row>
    <row r="353" ht="15.75" customHeight="1">
      <c r="D353" s="20"/>
      <c r="G353" s="26"/>
      <c r="H353" s="20"/>
    </row>
    <row r="354" ht="15.75" customHeight="1">
      <c r="D354" s="20"/>
      <c r="G354" s="26"/>
      <c r="H354" s="20"/>
    </row>
    <row r="355" ht="15.75" customHeight="1">
      <c r="D355" s="20"/>
      <c r="G355" s="26"/>
      <c r="H355" s="20"/>
    </row>
    <row r="356" ht="15.75" customHeight="1">
      <c r="D356" s="20"/>
      <c r="G356" s="26"/>
      <c r="H356" s="20"/>
    </row>
    <row r="357" ht="15.75" customHeight="1">
      <c r="D357" s="20"/>
      <c r="G357" s="26"/>
      <c r="H357" s="20"/>
    </row>
    <row r="358" ht="15.75" customHeight="1">
      <c r="D358" s="20"/>
      <c r="G358" s="26"/>
      <c r="H358" s="20"/>
    </row>
    <row r="359" ht="15.75" customHeight="1">
      <c r="D359" s="20"/>
      <c r="G359" s="26"/>
      <c r="H359" s="20"/>
    </row>
    <row r="360" ht="15.75" customHeight="1">
      <c r="D360" s="20"/>
      <c r="G360" s="26"/>
      <c r="H360" s="20"/>
    </row>
    <row r="361" ht="15.75" customHeight="1">
      <c r="D361" s="20"/>
      <c r="G361" s="26"/>
      <c r="H361" s="20"/>
    </row>
    <row r="362" ht="15.75" customHeight="1">
      <c r="D362" s="20"/>
      <c r="G362" s="26"/>
      <c r="H362" s="20"/>
    </row>
    <row r="363" ht="15.75" customHeight="1">
      <c r="D363" s="20"/>
      <c r="G363" s="26"/>
      <c r="H363" s="20"/>
    </row>
    <row r="364" ht="15.75" customHeight="1">
      <c r="D364" s="20"/>
      <c r="G364" s="26"/>
      <c r="H364" s="20"/>
    </row>
    <row r="365" ht="15.75" customHeight="1">
      <c r="D365" s="20"/>
      <c r="G365" s="26"/>
      <c r="H365" s="20"/>
    </row>
    <row r="366" ht="15.75" customHeight="1">
      <c r="D366" s="20"/>
      <c r="G366" s="26"/>
      <c r="H366" s="20"/>
    </row>
    <row r="367" ht="15.75" customHeight="1">
      <c r="D367" s="20"/>
      <c r="G367" s="26"/>
      <c r="H367" s="20"/>
    </row>
    <row r="368" ht="15.75" customHeight="1">
      <c r="D368" s="20"/>
      <c r="G368" s="26"/>
      <c r="H368" s="20"/>
    </row>
    <row r="369" ht="15.75" customHeight="1">
      <c r="D369" s="20"/>
      <c r="G369" s="26"/>
      <c r="H369" s="20"/>
    </row>
    <row r="370" ht="15.75" customHeight="1">
      <c r="D370" s="20"/>
      <c r="G370" s="26"/>
      <c r="H370" s="20"/>
    </row>
    <row r="371" ht="15.75" customHeight="1">
      <c r="D371" s="20"/>
      <c r="G371" s="26"/>
      <c r="H371" s="20"/>
    </row>
    <row r="372" ht="15.75" customHeight="1">
      <c r="D372" s="20"/>
      <c r="G372" s="26"/>
      <c r="H372" s="20"/>
    </row>
    <row r="373" ht="15.75" customHeight="1">
      <c r="D373" s="20"/>
      <c r="G373" s="26"/>
      <c r="H373" s="20"/>
    </row>
    <row r="374" ht="15.75" customHeight="1">
      <c r="D374" s="20"/>
      <c r="G374" s="26"/>
      <c r="H374" s="20"/>
    </row>
    <row r="375" ht="15.75" customHeight="1">
      <c r="D375" s="20"/>
      <c r="G375" s="26"/>
      <c r="H375" s="20"/>
    </row>
    <row r="376" ht="15.75" customHeight="1">
      <c r="D376" s="20"/>
      <c r="G376" s="26"/>
      <c r="H376" s="20"/>
    </row>
    <row r="377" ht="15.75" customHeight="1">
      <c r="D377" s="20"/>
      <c r="G377" s="26"/>
      <c r="H377" s="20"/>
    </row>
    <row r="378" ht="15.75" customHeight="1">
      <c r="D378" s="20"/>
      <c r="G378" s="26"/>
      <c r="H378" s="20"/>
    </row>
    <row r="379" ht="15.75" customHeight="1">
      <c r="D379" s="20"/>
      <c r="G379" s="26"/>
      <c r="H379" s="20"/>
    </row>
    <row r="380" ht="15.75" customHeight="1">
      <c r="D380" s="20"/>
      <c r="G380" s="26"/>
      <c r="H380" s="20"/>
    </row>
    <row r="381" ht="15.75" customHeight="1">
      <c r="D381" s="20"/>
      <c r="G381" s="26"/>
      <c r="H381" s="20"/>
    </row>
    <row r="382" ht="15.75" customHeight="1">
      <c r="D382" s="20"/>
      <c r="G382" s="26"/>
      <c r="H382" s="20"/>
    </row>
    <row r="383" ht="15.75" customHeight="1">
      <c r="D383" s="20"/>
      <c r="G383" s="26"/>
      <c r="H383" s="20"/>
    </row>
    <row r="384" ht="15.75" customHeight="1">
      <c r="D384" s="20"/>
      <c r="G384" s="26"/>
      <c r="H384" s="20"/>
    </row>
    <row r="385" ht="15.75" customHeight="1">
      <c r="D385" s="20"/>
      <c r="G385" s="26"/>
      <c r="H385" s="20"/>
    </row>
    <row r="386" ht="15.75" customHeight="1">
      <c r="D386" s="20"/>
      <c r="G386" s="26"/>
      <c r="H386" s="20"/>
    </row>
    <row r="387" ht="15.75" customHeight="1">
      <c r="D387" s="20"/>
      <c r="G387" s="26"/>
      <c r="H387" s="20"/>
    </row>
    <row r="388" ht="15.75" customHeight="1">
      <c r="D388" s="20"/>
      <c r="G388" s="26"/>
      <c r="H388" s="20"/>
    </row>
    <row r="389" ht="15.75" customHeight="1">
      <c r="D389" s="20"/>
      <c r="G389" s="26"/>
      <c r="H389" s="20"/>
    </row>
    <row r="390" ht="15.75" customHeight="1">
      <c r="D390" s="20"/>
      <c r="G390" s="26"/>
      <c r="H390" s="20"/>
    </row>
    <row r="391" ht="15.75" customHeight="1">
      <c r="D391" s="20"/>
      <c r="G391" s="26"/>
      <c r="H391" s="20"/>
    </row>
    <row r="392" ht="15.75" customHeight="1">
      <c r="D392" s="20"/>
      <c r="G392" s="26"/>
      <c r="H392" s="20"/>
    </row>
    <row r="393" ht="15.75" customHeight="1">
      <c r="D393" s="20"/>
      <c r="G393" s="26"/>
      <c r="H393" s="20"/>
    </row>
    <row r="394" ht="15.75" customHeight="1">
      <c r="D394" s="20"/>
      <c r="G394" s="26"/>
      <c r="H394" s="20"/>
    </row>
    <row r="395" ht="15.75" customHeight="1">
      <c r="D395" s="20"/>
      <c r="G395" s="26"/>
      <c r="H395" s="20"/>
    </row>
    <row r="396" ht="15.75" customHeight="1">
      <c r="D396" s="20"/>
      <c r="G396" s="26"/>
      <c r="H396" s="20"/>
    </row>
    <row r="397" ht="15.75" customHeight="1">
      <c r="D397" s="20"/>
      <c r="G397" s="26"/>
      <c r="H397" s="20"/>
    </row>
    <row r="398" ht="15.75" customHeight="1">
      <c r="D398" s="20"/>
      <c r="G398" s="26"/>
      <c r="H398" s="20"/>
    </row>
    <row r="399" ht="15.75" customHeight="1">
      <c r="D399" s="20"/>
      <c r="G399" s="26"/>
      <c r="H399" s="20"/>
    </row>
    <row r="400" ht="15.75" customHeight="1">
      <c r="D400" s="20"/>
      <c r="G400" s="26"/>
      <c r="H400" s="20"/>
    </row>
    <row r="401" ht="15.75" customHeight="1">
      <c r="D401" s="20"/>
      <c r="G401" s="26"/>
      <c r="H401" s="20"/>
    </row>
    <row r="402" ht="15.75" customHeight="1">
      <c r="D402" s="20"/>
      <c r="G402" s="26"/>
      <c r="H402" s="20"/>
    </row>
    <row r="403" ht="15.75" customHeight="1">
      <c r="D403" s="20"/>
      <c r="G403" s="26"/>
      <c r="H403" s="20"/>
    </row>
    <row r="404" ht="15.75" customHeight="1">
      <c r="D404" s="20"/>
      <c r="G404" s="26"/>
      <c r="H404" s="20"/>
    </row>
    <row r="405" ht="15.75" customHeight="1">
      <c r="D405" s="20"/>
      <c r="G405" s="26"/>
      <c r="H405" s="20"/>
    </row>
    <row r="406" ht="15.75" customHeight="1">
      <c r="D406" s="20"/>
      <c r="G406" s="26"/>
      <c r="H406" s="20"/>
    </row>
    <row r="407" ht="15.75" customHeight="1">
      <c r="D407" s="20"/>
      <c r="G407" s="26"/>
      <c r="H407" s="20"/>
    </row>
    <row r="408" ht="15.75" customHeight="1">
      <c r="D408" s="20"/>
      <c r="G408" s="26"/>
      <c r="H408" s="20"/>
    </row>
    <row r="409" ht="15.75" customHeight="1">
      <c r="D409" s="20"/>
      <c r="G409" s="26"/>
      <c r="H409" s="20"/>
    </row>
    <row r="410" ht="15.75" customHeight="1">
      <c r="D410" s="20"/>
      <c r="G410" s="26"/>
      <c r="H410" s="20"/>
    </row>
    <row r="411" ht="15.75" customHeight="1">
      <c r="D411" s="20"/>
      <c r="G411" s="26"/>
      <c r="H411" s="20"/>
    </row>
    <row r="412" ht="15.75" customHeight="1">
      <c r="D412" s="20"/>
      <c r="G412" s="26"/>
      <c r="H412" s="20"/>
    </row>
    <row r="413" ht="15.75" customHeight="1">
      <c r="D413" s="20"/>
      <c r="G413" s="26"/>
      <c r="H413" s="20"/>
    </row>
    <row r="414" ht="15.75" customHeight="1">
      <c r="D414" s="20"/>
      <c r="G414" s="26"/>
      <c r="H414" s="20"/>
    </row>
    <row r="415" ht="15.75" customHeight="1">
      <c r="D415" s="20"/>
      <c r="G415" s="26"/>
      <c r="H415" s="20"/>
    </row>
    <row r="416" ht="15.75" customHeight="1">
      <c r="D416" s="20"/>
      <c r="G416" s="26"/>
      <c r="H416" s="20"/>
    </row>
    <row r="417" ht="15.75" customHeight="1">
      <c r="D417" s="20"/>
      <c r="G417" s="26"/>
      <c r="H417" s="20"/>
    </row>
    <row r="418" ht="15.75" customHeight="1">
      <c r="D418" s="20"/>
      <c r="G418" s="26"/>
      <c r="H418" s="20"/>
    </row>
    <row r="419" ht="15.75" customHeight="1">
      <c r="D419" s="20"/>
      <c r="G419" s="26"/>
      <c r="H419" s="20"/>
    </row>
    <row r="420" ht="15.75" customHeight="1">
      <c r="D420" s="20"/>
      <c r="G420" s="26"/>
      <c r="H420" s="20"/>
    </row>
    <row r="421" ht="15.75" customHeight="1">
      <c r="D421" s="20"/>
      <c r="G421" s="26"/>
      <c r="H421" s="20"/>
    </row>
    <row r="422" ht="15.75" customHeight="1">
      <c r="D422" s="20"/>
      <c r="G422" s="26"/>
      <c r="H422" s="20"/>
    </row>
    <row r="423" ht="15.75" customHeight="1">
      <c r="D423" s="20"/>
      <c r="G423" s="26"/>
      <c r="H423" s="20"/>
    </row>
    <row r="424" ht="15.75" customHeight="1">
      <c r="D424" s="20"/>
      <c r="G424" s="26"/>
      <c r="H424" s="20"/>
    </row>
    <row r="425" ht="15.75" customHeight="1">
      <c r="D425" s="20"/>
      <c r="G425" s="26"/>
      <c r="H425" s="20"/>
    </row>
    <row r="426" ht="15.75" customHeight="1">
      <c r="D426" s="20"/>
      <c r="G426" s="26"/>
      <c r="H426" s="20"/>
    </row>
    <row r="427" ht="15.75" customHeight="1">
      <c r="D427" s="20"/>
      <c r="G427" s="26"/>
      <c r="H427" s="20"/>
    </row>
    <row r="428" ht="15.75" customHeight="1">
      <c r="D428" s="20"/>
      <c r="G428" s="26"/>
      <c r="H428" s="20"/>
    </row>
    <row r="429" ht="15.75" customHeight="1">
      <c r="D429" s="20"/>
      <c r="G429" s="26"/>
      <c r="H429" s="20"/>
    </row>
    <row r="430" ht="15.75" customHeight="1">
      <c r="D430" s="20"/>
      <c r="G430" s="26"/>
      <c r="H430" s="20"/>
    </row>
    <row r="431" ht="15.75" customHeight="1">
      <c r="D431" s="20"/>
      <c r="G431" s="26"/>
      <c r="H431" s="20"/>
    </row>
    <row r="432" ht="15.75" customHeight="1">
      <c r="D432" s="20"/>
      <c r="G432" s="26"/>
      <c r="H432" s="20"/>
    </row>
    <row r="433" ht="15.75" customHeight="1">
      <c r="D433" s="20"/>
      <c r="G433" s="26"/>
      <c r="H433" s="20"/>
    </row>
    <row r="434" ht="15.75" customHeight="1">
      <c r="D434" s="20"/>
      <c r="G434" s="26"/>
      <c r="H434" s="20"/>
    </row>
    <row r="435" ht="15.75" customHeight="1">
      <c r="D435" s="20"/>
      <c r="G435" s="26"/>
      <c r="H435" s="20"/>
    </row>
    <row r="436" ht="15.75" customHeight="1">
      <c r="D436" s="20"/>
      <c r="G436" s="26"/>
      <c r="H436" s="20"/>
    </row>
    <row r="437" ht="15.75" customHeight="1">
      <c r="D437" s="20"/>
      <c r="G437" s="26"/>
      <c r="H437" s="20"/>
    </row>
    <row r="438" ht="15.75" customHeight="1">
      <c r="D438" s="20"/>
      <c r="G438" s="26"/>
      <c r="H438" s="20"/>
    </row>
    <row r="439" ht="15.75" customHeight="1">
      <c r="D439" s="20"/>
      <c r="G439" s="26"/>
      <c r="H439" s="20"/>
    </row>
    <row r="440" ht="15.75" customHeight="1">
      <c r="D440" s="20"/>
      <c r="G440" s="26"/>
      <c r="H440" s="20"/>
    </row>
    <row r="441" ht="15.75" customHeight="1">
      <c r="D441" s="20"/>
      <c r="G441" s="26"/>
      <c r="H441" s="20"/>
    </row>
    <row r="442" ht="15.75" customHeight="1">
      <c r="D442" s="20"/>
      <c r="G442" s="26"/>
      <c r="H442" s="20"/>
    </row>
    <row r="443" ht="15.75" customHeight="1">
      <c r="D443" s="20"/>
      <c r="G443" s="26"/>
      <c r="H443" s="20"/>
    </row>
    <row r="444" ht="15.75" customHeight="1">
      <c r="D444" s="20"/>
      <c r="G444" s="26"/>
      <c r="H444" s="20"/>
    </row>
    <row r="445" ht="15.75" customHeight="1">
      <c r="D445" s="20"/>
      <c r="G445" s="26"/>
      <c r="H445" s="20"/>
    </row>
    <row r="446" ht="15.75" customHeight="1">
      <c r="D446" s="20"/>
      <c r="G446" s="26"/>
      <c r="H446" s="20"/>
    </row>
    <row r="447" ht="15.75" customHeight="1">
      <c r="D447" s="20"/>
      <c r="G447" s="26"/>
      <c r="H447" s="20"/>
    </row>
    <row r="448" ht="15.75" customHeight="1">
      <c r="D448" s="20"/>
      <c r="G448" s="26"/>
      <c r="H448" s="20"/>
    </row>
    <row r="449" ht="15.75" customHeight="1">
      <c r="D449" s="20"/>
      <c r="G449" s="26"/>
      <c r="H449" s="20"/>
    </row>
    <row r="450" ht="15.75" customHeight="1">
      <c r="D450" s="20"/>
      <c r="G450" s="26"/>
      <c r="H450" s="20"/>
    </row>
    <row r="451" ht="15.75" customHeight="1">
      <c r="D451" s="20"/>
      <c r="G451" s="26"/>
      <c r="H451" s="20"/>
    </row>
    <row r="452" ht="15.75" customHeight="1">
      <c r="D452" s="20"/>
      <c r="G452" s="26"/>
      <c r="H452" s="20"/>
    </row>
    <row r="453" ht="15.75" customHeight="1">
      <c r="D453" s="20"/>
      <c r="G453" s="26"/>
      <c r="H453" s="20"/>
    </row>
    <row r="454" ht="15.75" customHeight="1">
      <c r="D454" s="20"/>
      <c r="G454" s="26"/>
      <c r="H454" s="20"/>
    </row>
    <row r="455" ht="15.75" customHeight="1">
      <c r="D455" s="20"/>
      <c r="G455" s="26"/>
      <c r="H455" s="20"/>
    </row>
    <row r="456" ht="15.75" customHeight="1">
      <c r="D456" s="20"/>
      <c r="G456" s="26"/>
      <c r="H456" s="20"/>
    </row>
    <row r="457" ht="15.75" customHeight="1">
      <c r="D457" s="20"/>
      <c r="G457" s="26"/>
      <c r="H457" s="20"/>
    </row>
    <row r="458" ht="15.75" customHeight="1">
      <c r="D458" s="20"/>
      <c r="G458" s="26"/>
      <c r="H458" s="20"/>
    </row>
    <row r="459" ht="15.75" customHeight="1">
      <c r="D459" s="20"/>
      <c r="G459" s="26"/>
      <c r="H459" s="20"/>
    </row>
    <row r="460" ht="15.75" customHeight="1">
      <c r="D460" s="20"/>
      <c r="G460" s="26"/>
      <c r="H460" s="20"/>
    </row>
    <row r="461" ht="15.75" customHeight="1">
      <c r="D461" s="20"/>
      <c r="G461" s="26"/>
      <c r="H461" s="20"/>
    </row>
    <row r="462" ht="15.75" customHeight="1">
      <c r="D462" s="20"/>
      <c r="G462" s="26"/>
      <c r="H462" s="20"/>
    </row>
    <row r="463" ht="15.75" customHeight="1">
      <c r="D463" s="20"/>
      <c r="G463" s="26"/>
      <c r="H463" s="20"/>
    </row>
    <row r="464" ht="15.75" customHeight="1">
      <c r="D464" s="20"/>
      <c r="G464" s="26"/>
      <c r="H464" s="20"/>
    </row>
    <row r="465" ht="15.75" customHeight="1">
      <c r="D465" s="20"/>
      <c r="G465" s="26"/>
      <c r="H465" s="20"/>
    </row>
    <row r="466" ht="15.75" customHeight="1">
      <c r="D466" s="20"/>
      <c r="G466" s="26"/>
      <c r="H466" s="20"/>
    </row>
    <row r="467" ht="15.75" customHeight="1">
      <c r="D467" s="20"/>
      <c r="G467" s="26"/>
      <c r="H467" s="20"/>
    </row>
    <row r="468" ht="15.75" customHeight="1">
      <c r="D468" s="20"/>
      <c r="G468" s="26"/>
      <c r="H468" s="20"/>
    </row>
    <row r="469" ht="15.75" customHeight="1">
      <c r="D469" s="20"/>
      <c r="G469" s="26"/>
      <c r="H469" s="20"/>
    </row>
    <row r="470" ht="15.75" customHeight="1">
      <c r="D470" s="20"/>
      <c r="G470" s="26"/>
      <c r="H470" s="20"/>
    </row>
    <row r="471" ht="15.75" customHeight="1">
      <c r="D471" s="20"/>
      <c r="G471" s="26"/>
      <c r="H471" s="20"/>
    </row>
    <row r="472" ht="15.75" customHeight="1">
      <c r="D472" s="20"/>
      <c r="G472" s="26"/>
      <c r="H472" s="20"/>
    </row>
    <row r="473" ht="15.75" customHeight="1">
      <c r="D473" s="20"/>
      <c r="G473" s="26"/>
      <c r="H473" s="20"/>
    </row>
    <row r="474" ht="15.75" customHeight="1">
      <c r="D474" s="20"/>
      <c r="G474" s="26"/>
      <c r="H474" s="20"/>
    </row>
    <row r="475" ht="15.75" customHeight="1">
      <c r="D475" s="20"/>
      <c r="G475" s="26"/>
      <c r="H475" s="20"/>
    </row>
    <row r="476" ht="15.75" customHeight="1">
      <c r="D476" s="20"/>
      <c r="G476" s="26"/>
      <c r="H476" s="20"/>
    </row>
    <row r="477" ht="15.75" customHeight="1">
      <c r="D477" s="20"/>
      <c r="G477" s="26"/>
      <c r="H477" s="20"/>
    </row>
    <row r="478" ht="15.75" customHeight="1">
      <c r="D478" s="20"/>
      <c r="G478" s="26"/>
      <c r="H478" s="20"/>
    </row>
    <row r="479" ht="15.75" customHeight="1">
      <c r="D479" s="20"/>
      <c r="G479" s="26"/>
      <c r="H479" s="20"/>
    </row>
    <row r="480" ht="15.75" customHeight="1">
      <c r="D480" s="20"/>
      <c r="G480" s="26"/>
      <c r="H480" s="20"/>
    </row>
    <row r="481" ht="15.75" customHeight="1">
      <c r="D481" s="20"/>
      <c r="G481" s="26"/>
      <c r="H481" s="20"/>
    </row>
    <row r="482" ht="15.75" customHeight="1">
      <c r="D482" s="20"/>
      <c r="G482" s="26"/>
      <c r="H482" s="20"/>
    </row>
    <row r="483" ht="15.75" customHeight="1">
      <c r="D483" s="20"/>
      <c r="G483" s="26"/>
      <c r="H483" s="20"/>
    </row>
    <row r="484" ht="15.75" customHeight="1">
      <c r="D484" s="20"/>
      <c r="G484" s="26"/>
      <c r="H484" s="20"/>
    </row>
    <row r="485" ht="15.75" customHeight="1">
      <c r="D485" s="20"/>
      <c r="G485" s="26"/>
      <c r="H485" s="20"/>
    </row>
    <row r="486" ht="15.75" customHeight="1">
      <c r="D486" s="20"/>
      <c r="G486" s="26"/>
      <c r="H486" s="20"/>
    </row>
    <row r="487" ht="15.75" customHeight="1">
      <c r="D487" s="20"/>
      <c r="G487" s="26"/>
      <c r="H487" s="20"/>
    </row>
    <row r="488" ht="15.75" customHeight="1">
      <c r="D488" s="20"/>
      <c r="G488" s="26"/>
      <c r="H488" s="20"/>
    </row>
    <row r="489" ht="15.75" customHeight="1">
      <c r="D489" s="20"/>
      <c r="G489" s="26"/>
      <c r="H489" s="20"/>
    </row>
    <row r="490" ht="15.75" customHeight="1">
      <c r="D490" s="20"/>
      <c r="G490" s="26"/>
      <c r="H490" s="20"/>
    </row>
    <row r="491" ht="15.75" customHeight="1">
      <c r="D491" s="20"/>
      <c r="G491" s="26"/>
      <c r="H491" s="20"/>
    </row>
    <row r="492" ht="15.75" customHeight="1">
      <c r="D492" s="20"/>
      <c r="G492" s="26"/>
      <c r="H492" s="20"/>
    </row>
    <row r="493" ht="15.75" customHeight="1">
      <c r="D493" s="20"/>
      <c r="G493" s="26"/>
      <c r="H493" s="20"/>
    </row>
    <row r="494" ht="15.75" customHeight="1">
      <c r="D494" s="20"/>
      <c r="G494" s="26"/>
      <c r="H494" s="20"/>
    </row>
    <row r="495" ht="15.75" customHeight="1">
      <c r="D495" s="20"/>
      <c r="G495" s="26"/>
      <c r="H495" s="20"/>
    </row>
    <row r="496" ht="15.75" customHeight="1">
      <c r="D496" s="20"/>
      <c r="G496" s="26"/>
      <c r="H496" s="20"/>
    </row>
    <row r="497" ht="15.75" customHeight="1">
      <c r="D497" s="20"/>
      <c r="G497" s="26"/>
      <c r="H497" s="20"/>
    </row>
    <row r="498" ht="15.75" customHeight="1">
      <c r="D498" s="20"/>
      <c r="G498" s="26"/>
      <c r="H498" s="20"/>
    </row>
    <row r="499" ht="15.75" customHeight="1">
      <c r="D499" s="20"/>
      <c r="G499" s="26"/>
      <c r="H499" s="20"/>
    </row>
    <row r="500" ht="15.75" customHeight="1">
      <c r="D500" s="20"/>
      <c r="G500" s="26"/>
      <c r="H500" s="20"/>
    </row>
    <row r="501" ht="15.75" customHeight="1">
      <c r="D501" s="20"/>
      <c r="G501" s="26"/>
      <c r="H501" s="20"/>
    </row>
    <row r="502" ht="15.75" customHeight="1">
      <c r="D502" s="20"/>
      <c r="G502" s="26"/>
      <c r="H502" s="20"/>
    </row>
    <row r="503" ht="15.75" customHeight="1">
      <c r="D503" s="20"/>
      <c r="G503" s="26"/>
      <c r="H503" s="20"/>
    </row>
    <row r="504" ht="15.75" customHeight="1">
      <c r="D504" s="20"/>
      <c r="G504" s="26"/>
      <c r="H504" s="20"/>
    </row>
    <row r="505" ht="15.75" customHeight="1">
      <c r="D505" s="20"/>
      <c r="G505" s="26"/>
      <c r="H505" s="20"/>
    </row>
    <row r="506" ht="15.75" customHeight="1">
      <c r="D506" s="20"/>
      <c r="G506" s="26"/>
      <c r="H506" s="20"/>
    </row>
    <row r="507" ht="15.75" customHeight="1">
      <c r="D507" s="20"/>
      <c r="G507" s="26"/>
      <c r="H507" s="20"/>
    </row>
    <row r="508" ht="15.75" customHeight="1">
      <c r="D508" s="20"/>
      <c r="G508" s="26"/>
      <c r="H508" s="20"/>
    </row>
    <row r="509" ht="15.75" customHeight="1">
      <c r="D509" s="20"/>
      <c r="G509" s="26"/>
      <c r="H509" s="20"/>
    </row>
    <row r="510" ht="15.75" customHeight="1">
      <c r="D510" s="20"/>
      <c r="G510" s="26"/>
      <c r="H510" s="20"/>
    </row>
    <row r="511" ht="15.75" customHeight="1">
      <c r="D511" s="20"/>
      <c r="G511" s="26"/>
      <c r="H511" s="20"/>
    </row>
    <row r="512" ht="15.75" customHeight="1">
      <c r="D512" s="20"/>
      <c r="G512" s="26"/>
      <c r="H512" s="20"/>
    </row>
    <row r="513" ht="15.75" customHeight="1">
      <c r="D513" s="20"/>
      <c r="G513" s="26"/>
      <c r="H513" s="20"/>
    </row>
    <row r="514" ht="15.75" customHeight="1">
      <c r="D514" s="20"/>
      <c r="G514" s="26"/>
      <c r="H514" s="20"/>
    </row>
    <row r="515" ht="15.75" customHeight="1">
      <c r="D515" s="20"/>
      <c r="G515" s="26"/>
      <c r="H515" s="20"/>
    </row>
    <row r="516" ht="15.75" customHeight="1">
      <c r="D516" s="20"/>
      <c r="G516" s="26"/>
      <c r="H516" s="20"/>
    </row>
    <row r="517" ht="15.75" customHeight="1">
      <c r="D517" s="20"/>
      <c r="G517" s="26"/>
      <c r="H517" s="20"/>
    </row>
    <row r="518" ht="15.75" customHeight="1">
      <c r="D518" s="20"/>
      <c r="G518" s="26"/>
      <c r="H518" s="20"/>
    </row>
    <row r="519" ht="15.75" customHeight="1">
      <c r="D519" s="20"/>
      <c r="G519" s="26"/>
      <c r="H519" s="20"/>
    </row>
    <row r="520" ht="15.75" customHeight="1">
      <c r="D520" s="20"/>
      <c r="G520" s="26"/>
      <c r="H520" s="20"/>
    </row>
    <row r="521" ht="15.75" customHeight="1">
      <c r="D521" s="20"/>
      <c r="G521" s="26"/>
      <c r="H521" s="20"/>
    </row>
    <row r="522" ht="15.75" customHeight="1">
      <c r="D522" s="20"/>
      <c r="G522" s="26"/>
      <c r="H522" s="20"/>
    </row>
    <row r="523" ht="15.75" customHeight="1">
      <c r="D523" s="20"/>
      <c r="G523" s="26"/>
      <c r="H523" s="20"/>
    </row>
    <row r="524" ht="15.75" customHeight="1">
      <c r="D524" s="20"/>
      <c r="G524" s="26"/>
      <c r="H524" s="20"/>
    </row>
    <row r="525" ht="15.75" customHeight="1">
      <c r="D525" s="20"/>
      <c r="G525" s="26"/>
      <c r="H525" s="20"/>
    </row>
    <row r="526" ht="15.75" customHeight="1">
      <c r="D526" s="20"/>
      <c r="G526" s="26"/>
      <c r="H526" s="20"/>
    </row>
    <row r="527" ht="15.75" customHeight="1">
      <c r="D527" s="20"/>
      <c r="G527" s="26"/>
      <c r="H527" s="20"/>
    </row>
    <row r="528" ht="15.75" customHeight="1">
      <c r="D528" s="20"/>
      <c r="G528" s="26"/>
      <c r="H528" s="20"/>
    </row>
    <row r="529" ht="15.75" customHeight="1">
      <c r="D529" s="20"/>
      <c r="G529" s="26"/>
      <c r="H529" s="20"/>
    </row>
    <row r="530" ht="15.75" customHeight="1">
      <c r="D530" s="20"/>
      <c r="G530" s="26"/>
      <c r="H530" s="20"/>
    </row>
    <row r="531" ht="15.75" customHeight="1">
      <c r="D531" s="20"/>
      <c r="G531" s="26"/>
      <c r="H531" s="20"/>
    </row>
    <row r="532" ht="15.75" customHeight="1">
      <c r="D532" s="20"/>
      <c r="G532" s="26"/>
      <c r="H532" s="20"/>
    </row>
    <row r="533" ht="15.75" customHeight="1">
      <c r="D533" s="20"/>
      <c r="G533" s="26"/>
      <c r="H533" s="20"/>
    </row>
    <row r="534" ht="15.75" customHeight="1">
      <c r="D534" s="20"/>
      <c r="G534" s="26"/>
      <c r="H534" s="20"/>
    </row>
    <row r="535" ht="15.75" customHeight="1">
      <c r="D535" s="20"/>
      <c r="G535" s="26"/>
      <c r="H535" s="20"/>
    </row>
    <row r="536" ht="15.75" customHeight="1">
      <c r="D536" s="20"/>
      <c r="G536" s="26"/>
      <c r="H536" s="20"/>
    </row>
    <row r="537" ht="15.75" customHeight="1">
      <c r="D537" s="20"/>
      <c r="G537" s="26"/>
      <c r="H537" s="20"/>
    </row>
    <row r="538" ht="15.75" customHeight="1">
      <c r="D538" s="20"/>
      <c r="G538" s="26"/>
      <c r="H538" s="20"/>
    </row>
    <row r="539" ht="15.75" customHeight="1">
      <c r="D539" s="20"/>
      <c r="G539" s="26"/>
      <c r="H539" s="20"/>
    </row>
    <row r="540" ht="15.75" customHeight="1">
      <c r="D540" s="20"/>
      <c r="G540" s="26"/>
      <c r="H540" s="20"/>
    </row>
    <row r="541" ht="15.75" customHeight="1">
      <c r="D541" s="20"/>
      <c r="G541" s="26"/>
      <c r="H541" s="20"/>
    </row>
    <row r="542" ht="15.75" customHeight="1">
      <c r="D542" s="20"/>
      <c r="G542" s="26"/>
      <c r="H542" s="20"/>
    </row>
    <row r="543" ht="15.75" customHeight="1">
      <c r="D543" s="20"/>
      <c r="G543" s="26"/>
      <c r="H543" s="20"/>
    </row>
    <row r="544" ht="15.75" customHeight="1">
      <c r="D544" s="20"/>
      <c r="G544" s="26"/>
      <c r="H544" s="20"/>
    </row>
    <row r="545" ht="15.75" customHeight="1">
      <c r="D545" s="20"/>
      <c r="G545" s="26"/>
      <c r="H545" s="20"/>
    </row>
    <row r="546" ht="15.75" customHeight="1">
      <c r="D546" s="20"/>
      <c r="G546" s="26"/>
      <c r="H546" s="20"/>
    </row>
    <row r="547" ht="15.75" customHeight="1">
      <c r="D547" s="20"/>
      <c r="G547" s="26"/>
      <c r="H547" s="20"/>
    </row>
    <row r="548" ht="15.75" customHeight="1">
      <c r="D548" s="20"/>
      <c r="G548" s="26"/>
      <c r="H548" s="20"/>
    </row>
    <row r="549" ht="15.75" customHeight="1">
      <c r="D549" s="20"/>
      <c r="G549" s="26"/>
      <c r="H549" s="20"/>
    </row>
    <row r="550" ht="15.75" customHeight="1">
      <c r="D550" s="20"/>
      <c r="G550" s="26"/>
      <c r="H550" s="20"/>
    </row>
    <row r="551" ht="15.75" customHeight="1">
      <c r="D551" s="20"/>
      <c r="G551" s="26"/>
      <c r="H551" s="20"/>
    </row>
    <row r="552" ht="15.75" customHeight="1">
      <c r="D552" s="20"/>
      <c r="G552" s="26"/>
      <c r="H552" s="20"/>
    </row>
    <row r="553" ht="15.75" customHeight="1">
      <c r="D553" s="20"/>
      <c r="G553" s="26"/>
      <c r="H553" s="20"/>
    </row>
    <row r="554" ht="15.75" customHeight="1">
      <c r="D554" s="20"/>
      <c r="G554" s="26"/>
      <c r="H554" s="20"/>
    </row>
    <row r="555" ht="15.75" customHeight="1">
      <c r="D555" s="20"/>
      <c r="G555" s="26"/>
      <c r="H555" s="20"/>
    </row>
    <row r="556" ht="15.75" customHeight="1">
      <c r="D556" s="20"/>
      <c r="G556" s="26"/>
      <c r="H556" s="20"/>
    </row>
    <row r="557" ht="15.75" customHeight="1">
      <c r="D557" s="20"/>
      <c r="G557" s="26"/>
      <c r="H557" s="20"/>
    </row>
    <row r="558" ht="15.75" customHeight="1">
      <c r="D558" s="20"/>
      <c r="G558" s="26"/>
      <c r="H558" s="20"/>
    </row>
    <row r="559" ht="15.75" customHeight="1">
      <c r="D559" s="20"/>
      <c r="G559" s="26"/>
      <c r="H559" s="20"/>
    </row>
    <row r="560" ht="15.75" customHeight="1">
      <c r="D560" s="20"/>
      <c r="G560" s="26"/>
      <c r="H560" s="20"/>
    </row>
    <row r="561" ht="15.75" customHeight="1">
      <c r="D561" s="20"/>
      <c r="G561" s="26"/>
      <c r="H561" s="20"/>
    </row>
    <row r="562" ht="15.75" customHeight="1">
      <c r="D562" s="20"/>
      <c r="G562" s="26"/>
      <c r="H562" s="20"/>
    </row>
    <row r="563" ht="15.75" customHeight="1">
      <c r="D563" s="20"/>
      <c r="G563" s="26"/>
      <c r="H563" s="20"/>
    </row>
    <row r="564" ht="15.75" customHeight="1">
      <c r="D564" s="20"/>
      <c r="G564" s="26"/>
      <c r="H564" s="20"/>
    </row>
    <row r="565" ht="15.75" customHeight="1">
      <c r="D565" s="20"/>
      <c r="G565" s="26"/>
      <c r="H565" s="20"/>
    </row>
    <row r="566" ht="15.75" customHeight="1">
      <c r="D566" s="20"/>
      <c r="G566" s="26"/>
      <c r="H566" s="20"/>
    </row>
    <row r="567" ht="15.75" customHeight="1">
      <c r="D567" s="20"/>
      <c r="G567" s="26"/>
      <c r="H567" s="20"/>
    </row>
    <row r="568" ht="15.75" customHeight="1">
      <c r="D568" s="20"/>
      <c r="G568" s="26"/>
      <c r="H568" s="20"/>
    </row>
    <row r="569" ht="15.75" customHeight="1">
      <c r="D569" s="20"/>
      <c r="G569" s="26"/>
      <c r="H569" s="20"/>
    </row>
    <row r="570" ht="15.75" customHeight="1">
      <c r="D570" s="20"/>
      <c r="G570" s="26"/>
      <c r="H570" s="20"/>
    </row>
    <row r="571" ht="15.75" customHeight="1">
      <c r="D571" s="20"/>
      <c r="G571" s="26"/>
      <c r="H571" s="20"/>
    </row>
    <row r="572" ht="15.75" customHeight="1">
      <c r="D572" s="20"/>
      <c r="G572" s="26"/>
      <c r="H572" s="20"/>
    </row>
    <row r="573" ht="15.75" customHeight="1">
      <c r="D573" s="20"/>
      <c r="G573" s="26"/>
      <c r="H573" s="20"/>
    </row>
    <row r="574" ht="15.75" customHeight="1">
      <c r="D574" s="20"/>
      <c r="G574" s="26"/>
      <c r="H574" s="20"/>
    </row>
    <row r="575" ht="15.75" customHeight="1">
      <c r="D575" s="20"/>
      <c r="G575" s="26"/>
      <c r="H575" s="20"/>
    </row>
    <row r="576" ht="15.75" customHeight="1">
      <c r="D576" s="20"/>
      <c r="G576" s="26"/>
      <c r="H576" s="20"/>
    </row>
    <row r="577" ht="15.75" customHeight="1">
      <c r="D577" s="20"/>
      <c r="G577" s="26"/>
      <c r="H577" s="20"/>
    </row>
    <row r="578" ht="15.75" customHeight="1">
      <c r="D578" s="20"/>
      <c r="G578" s="26"/>
      <c r="H578" s="20"/>
    </row>
    <row r="579" ht="15.75" customHeight="1">
      <c r="D579" s="20"/>
      <c r="G579" s="26"/>
      <c r="H579" s="20"/>
    </row>
    <row r="580" ht="15.75" customHeight="1">
      <c r="D580" s="20"/>
      <c r="G580" s="26"/>
      <c r="H580" s="20"/>
    </row>
    <row r="581" ht="15.75" customHeight="1">
      <c r="D581" s="20"/>
      <c r="G581" s="26"/>
      <c r="H581" s="20"/>
    </row>
    <row r="582" ht="15.75" customHeight="1">
      <c r="D582" s="20"/>
      <c r="G582" s="26"/>
      <c r="H582" s="20"/>
    </row>
    <row r="583" ht="15.75" customHeight="1">
      <c r="D583" s="20"/>
      <c r="G583" s="26"/>
      <c r="H583" s="20"/>
    </row>
    <row r="584" ht="15.75" customHeight="1">
      <c r="D584" s="20"/>
      <c r="G584" s="26"/>
      <c r="H584" s="20"/>
    </row>
    <row r="585" ht="15.75" customHeight="1">
      <c r="D585" s="20"/>
      <c r="G585" s="26"/>
      <c r="H585" s="20"/>
    </row>
    <row r="586" ht="15.75" customHeight="1">
      <c r="D586" s="20"/>
      <c r="G586" s="26"/>
      <c r="H586" s="20"/>
    </row>
    <row r="587" ht="15.75" customHeight="1">
      <c r="D587" s="20"/>
      <c r="G587" s="26"/>
      <c r="H587" s="20"/>
    </row>
    <row r="588" ht="15.75" customHeight="1">
      <c r="D588" s="20"/>
      <c r="G588" s="26"/>
      <c r="H588" s="20"/>
    </row>
    <row r="589" ht="15.75" customHeight="1">
      <c r="D589" s="20"/>
      <c r="G589" s="26"/>
      <c r="H589" s="20"/>
    </row>
    <row r="590" ht="15.75" customHeight="1">
      <c r="D590" s="20"/>
      <c r="G590" s="26"/>
      <c r="H590" s="20"/>
    </row>
    <row r="591" ht="15.75" customHeight="1">
      <c r="D591" s="20"/>
      <c r="G591" s="26"/>
      <c r="H591" s="20"/>
    </row>
    <row r="592" ht="15.75" customHeight="1">
      <c r="D592" s="20"/>
      <c r="G592" s="26"/>
      <c r="H592" s="20"/>
    </row>
    <row r="593" ht="15.75" customHeight="1">
      <c r="D593" s="20"/>
      <c r="G593" s="26"/>
      <c r="H593" s="20"/>
    </row>
    <row r="594" ht="15.75" customHeight="1">
      <c r="D594" s="20"/>
      <c r="G594" s="26"/>
      <c r="H594" s="20"/>
    </row>
    <row r="595" ht="15.75" customHeight="1">
      <c r="D595" s="20"/>
      <c r="G595" s="26"/>
      <c r="H595" s="20"/>
    </row>
    <row r="596" ht="15.75" customHeight="1">
      <c r="D596" s="20"/>
      <c r="G596" s="26"/>
      <c r="H596" s="20"/>
    </row>
    <row r="597" ht="15.75" customHeight="1">
      <c r="D597" s="20"/>
      <c r="G597" s="26"/>
      <c r="H597" s="20"/>
    </row>
    <row r="598" ht="15.75" customHeight="1">
      <c r="D598" s="20"/>
      <c r="G598" s="26"/>
      <c r="H598" s="20"/>
    </row>
    <row r="599" ht="15.75" customHeight="1">
      <c r="D599" s="20"/>
      <c r="G599" s="26"/>
      <c r="H599" s="20"/>
    </row>
    <row r="600" ht="15.75" customHeight="1">
      <c r="D600" s="20"/>
      <c r="G600" s="26"/>
      <c r="H600" s="20"/>
    </row>
    <row r="601" ht="15.75" customHeight="1">
      <c r="D601" s="20"/>
      <c r="G601" s="26"/>
      <c r="H601" s="20"/>
    </row>
    <row r="602" ht="15.75" customHeight="1">
      <c r="D602" s="20"/>
      <c r="G602" s="26"/>
      <c r="H602" s="20"/>
    </row>
    <row r="603" ht="15.75" customHeight="1">
      <c r="D603" s="20"/>
      <c r="G603" s="26"/>
      <c r="H603" s="20"/>
    </row>
    <row r="604" ht="15.75" customHeight="1">
      <c r="D604" s="20"/>
      <c r="G604" s="26"/>
      <c r="H604" s="20"/>
    </row>
    <row r="605" ht="15.75" customHeight="1">
      <c r="D605" s="20"/>
      <c r="G605" s="26"/>
      <c r="H605" s="20"/>
    </row>
    <row r="606" ht="15.75" customHeight="1">
      <c r="D606" s="20"/>
      <c r="G606" s="26"/>
      <c r="H606" s="20"/>
    </row>
    <row r="607" ht="15.75" customHeight="1">
      <c r="D607" s="20"/>
      <c r="G607" s="26"/>
      <c r="H607" s="20"/>
    </row>
    <row r="608" ht="15.75" customHeight="1">
      <c r="D608" s="20"/>
      <c r="G608" s="26"/>
      <c r="H608" s="20"/>
    </row>
    <row r="609" ht="15.75" customHeight="1">
      <c r="D609" s="20"/>
      <c r="G609" s="26"/>
      <c r="H609" s="20"/>
    </row>
    <row r="610" ht="15.75" customHeight="1">
      <c r="D610" s="20"/>
      <c r="G610" s="26"/>
      <c r="H610" s="20"/>
    </row>
    <row r="611" ht="15.75" customHeight="1">
      <c r="D611" s="20"/>
      <c r="G611" s="26"/>
      <c r="H611" s="20"/>
    </row>
    <row r="612" ht="15.75" customHeight="1">
      <c r="D612" s="20"/>
      <c r="G612" s="26"/>
      <c r="H612" s="20"/>
    </row>
    <row r="613" ht="15.75" customHeight="1">
      <c r="D613" s="20"/>
      <c r="G613" s="26"/>
      <c r="H613" s="20"/>
    </row>
    <row r="614" ht="15.75" customHeight="1">
      <c r="D614" s="20"/>
      <c r="G614" s="26"/>
      <c r="H614" s="20"/>
    </row>
    <row r="615" ht="15.75" customHeight="1">
      <c r="D615" s="20"/>
      <c r="G615" s="26"/>
      <c r="H615" s="20"/>
    </row>
    <row r="616" ht="15.75" customHeight="1">
      <c r="D616" s="20"/>
      <c r="G616" s="26"/>
      <c r="H616" s="20"/>
    </row>
    <row r="617" ht="15.75" customHeight="1">
      <c r="D617" s="20"/>
      <c r="G617" s="26"/>
      <c r="H617" s="20"/>
    </row>
    <row r="618" ht="15.75" customHeight="1">
      <c r="D618" s="20"/>
      <c r="G618" s="26"/>
      <c r="H618" s="20"/>
    </row>
    <row r="619" ht="15.75" customHeight="1">
      <c r="D619" s="20"/>
      <c r="G619" s="26"/>
      <c r="H619" s="20"/>
    </row>
    <row r="620" ht="15.75" customHeight="1">
      <c r="D620" s="20"/>
      <c r="G620" s="26"/>
      <c r="H620" s="20"/>
    </row>
    <row r="621" ht="15.75" customHeight="1">
      <c r="D621" s="20"/>
      <c r="G621" s="26"/>
      <c r="H621" s="20"/>
    </row>
    <row r="622" ht="15.75" customHeight="1">
      <c r="D622" s="20"/>
      <c r="G622" s="26"/>
      <c r="H622" s="20"/>
    </row>
    <row r="623" ht="15.75" customHeight="1">
      <c r="D623" s="20"/>
      <c r="G623" s="26"/>
      <c r="H623" s="20"/>
    </row>
    <row r="624" ht="15.75" customHeight="1">
      <c r="D624" s="20"/>
      <c r="G624" s="26"/>
      <c r="H624" s="20"/>
    </row>
    <row r="625" ht="15.75" customHeight="1">
      <c r="D625" s="20"/>
      <c r="G625" s="26"/>
      <c r="H625" s="20"/>
    </row>
    <row r="626" ht="15.75" customHeight="1">
      <c r="D626" s="20"/>
      <c r="G626" s="26"/>
      <c r="H626" s="20"/>
    </row>
    <row r="627" ht="15.75" customHeight="1">
      <c r="D627" s="20"/>
      <c r="G627" s="26"/>
      <c r="H627" s="20"/>
    </row>
    <row r="628" ht="15.75" customHeight="1">
      <c r="D628" s="20"/>
      <c r="G628" s="26"/>
      <c r="H628" s="20"/>
    </row>
    <row r="629" ht="15.75" customHeight="1">
      <c r="D629" s="20"/>
      <c r="G629" s="26"/>
      <c r="H629" s="20"/>
    </row>
    <row r="630" ht="15.75" customHeight="1">
      <c r="D630" s="20"/>
      <c r="G630" s="26"/>
      <c r="H630" s="20"/>
    </row>
    <row r="631" ht="15.75" customHeight="1">
      <c r="D631" s="20"/>
      <c r="G631" s="26"/>
      <c r="H631" s="20"/>
    </row>
    <row r="632" ht="15.75" customHeight="1">
      <c r="D632" s="20"/>
      <c r="G632" s="26"/>
      <c r="H632" s="20"/>
    </row>
    <row r="633" ht="15.75" customHeight="1">
      <c r="D633" s="20"/>
      <c r="G633" s="26"/>
      <c r="H633" s="20"/>
    </row>
    <row r="634" ht="15.75" customHeight="1">
      <c r="D634" s="20"/>
      <c r="G634" s="26"/>
      <c r="H634" s="20"/>
    </row>
    <row r="635" ht="15.75" customHeight="1">
      <c r="D635" s="20"/>
      <c r="G635" s="26"/>
      <c r="H635" s="20"/>
    </row>
    <row r="636" ht="15.75" customHeight="1">
      <c r="D636" s="20"/>
      <c r="G636" s="26"/>
      <c r="H636" s="20"/>
    </row>
    <row r="637" ht="15.75" customHeight="1">
      <c r="D637" s="20"/>
      <c r="G637" s="26"/>
      <c r="H637" s="20"/>
    </row>
    <row r="638" ht="15.75" customHeight="1">
      <c r="D638" s="20"/>
      <c r="G638" s="26"/>
      <c r="H638" s="20"/>
    </row>
    <row r="639" ht="15.75" customHeight="1">
      <c r="D639" s="20"/>
      <c r="G639" s="26"/>
      <c r="H639" s="20"/>
    </row>
    <row r="640" ht="15.75" customHeight="1">
      <c r="D640" s="20"/>
      <c r="G640" s="26"/>
      <c r="H640" s="20"/>
    </row>
    <row r="641" ht="15.75" customHeight="1">
      <c r="D641" s="20"/>
      <c r="G641" s="26"/>
      <c r="H641" s="20"/>
    </row>
    <row r="642" ht="15.75" customHeight="1">
      <c r="D642" s="20"/>
      <c r="G642" s="26"/>
      <c r="H642" s="20"/>
    </row>
    <row r="643" ht="15.75" customHeight="1">
      <c r="D643" s="20"/>
      <c r="G643" s="26"/>
      <c r="H643" s="20"/>
    </row>
    <row r="644" ht="15.75" customHeight="1">
      <c r="D644" s="20"/>
      <c r="G644" s="26"/>
      <c r="H644" s="20"/>
    </row>
    <row r="645" ht="15.75" customHeight="1">
      <c r="D645" s="20"/>
      <c r="G645" s="26"/>
      <c r="H645" s="20"/>
    </row>
    <row r="646" ht="15.75" customHeight="1">
      <c r="D646" s="20"/>
      <c r="G646" s="26"/>
      <c r="H646" s="20"/>
    </row>
    <row r="647" ht="15.75" customHeight="1">
      <c r="D647" s="20"/>
      <c r="G647" s="26"/>
      <c r="H647" s="20"/>
    </row>
    <row r="648" ht="15.75" customHeight="1">
      <c r="D648" s="20"/>
      <c r="G648" s="26"/>
      <c r="H648" s="20"/>
    </row>
    <row r="649" ht="15.75" customHeight="1">
      <c r="D649" s="20"/>
      <c r="G649" s="26"/>
      <c r="H649" s="20"/>
    </row>
    <row r="650" ht="15.75" customHeight="1">
      <c r="D650" s="20"/>
      <c r="G650" s="26"/>
      <c r="H650" s="20"/>
    </row>
    <row r="651" ht="15.75" customHeight="1">
      <c r="D651" s="20"/>
      <c r="G651" s="26"/>
      <c r="H651" s="20"/>
    </row>
    <row r="652" ht="15.75" customHeight="1">
      <c r="D652" s="20"/>
      <c r="G652" s="26"/>
      <c r="H652" s="20"/>
    </row>
    <row r="653" ht="15.75" customHeight="1">
      <c r="D653" s="20"/>
      <c r="G653" s="26"/>
      <c r="H653" s="20"/>
    </row>
    <row r="654" ht="15.75" customHeight="1">
      <c r="D654" s="20"/>
      <c r="G654" s="26"/>
      <c r="H654" s="20"/>
    </row>
    <row r="655" ht="15.75" customHeight="1">
      <c r="D655" s="20"/>
      <c r="G655" s="26"/>
      <c r="H655" s="20"/>
    </row>
    <row r="656" ht="15.75" customHeight="1">
      <c r="D656" s="20"/>
      <c r="G656" s="26"/>
      <c r="H656" s="20"/>
    </row>
    <row r="657" ht="15.75" customHeight="1">
      <c r="D657" s="20"/>
      <c r="G657" s="26"/>
      <c r="H657" s="20"/>
    </row>
    <row r="658" ht="15.75" customHeight="1">
      <c r="D658" s="20"/>
      <c r="G658" s="26"/>
      <c r="H658" s="20"/>
    </row>
    <row r="659" ht="15.75" customHeight="1">
      <c r="D659" s="20"/>
      <c r="G659" s="26"/>
      <c r="H659" s="20"/>
    </row>
    <row r="660" ht="15.75" customHeight="1">
      <c r="D660" s="20"/>
      <c r="G660" s="26"/>
      <c r="H660" s="20"/>
    </row>
    <row r="661" ht="15.75" customHeight="1">
      <c r="D661" s="20"/>
      <c r="G661" s="26"/>
      <c r="H661" s="20"/>
    </row>
    <row r="662" ht="15.75" customHeight="1">
      <c r="D662" s="20"/>
      <c r="G662" s="26"/>
      <c r="H662" s="20"/>
    </row>
    <row r="663" ht="15.75" customHeight="1">
      <c r="D663" s="20"/>
      <c r="G663" s="26"/>
      <c r="H663" s="20"/>
    </row>
    <row r="664" ht="15.75" customHeight="1">
      <c r="D664" s="20"/>
      <c r="G664" s="26"/>
      <c r="H664" s="20"/>
    </row>
    <row r="665" ht="15.75" customHeight="1">
      <c r="D665" s="20"/>
      <c r="G665" s="26"/>
      <c r="H665" s="20"/>
    </row>
    <row r="666" ht="15.75" customHeight="1">
      <c r="D666" s="20"/>
      <c r="G666" s="26"/>
      <c r="H666" s="20"/>
    </row>
    <row r="667" ht="15.75" customHeight="1">
      <c r="D667" s="20"/>
      <c r="G667" s="26"/>
      <c r="H667" s="20"/>
    </row>
    <row r="668" ht="15.75" customHeight="1">
      <c r="D668" s="20"/>
      <c r="G668" s="26"/>
      <c r="H668" s="20"/>
    </row>
    <row r="669" ht="15.75" customHeight="1">
      <c r="D669" s="20"/>
      <c r="G669" s="26"/>
      <c r="H669" s="20"/>
    </row>
    <row r="670" ht="15.75" customHeight="1">
      <c r="D670" s="20"/>
      <c r="G670" s="26"/>
      <c r="H670" s="20"/>
    </row>
    <row r="671" ht="15.75" customHeight="1">
      <c r="D671" s="20"/>
      <c r="G671" s="26"/>
      <c r="H671" s="20"/>
    </row>
    <row r="672" ht="15.75" customHeight="1">
      <c r="D672" s="20"/>
      <c r="G672" s="26"/>
      <c r="H672" s="20"/>
    </row>
    <row r="673" ht="15.75" customHeight="1">
      <c r="D673" s="20"/>
      <c r="G673" s="26"/>
      <c r="H673" s="20"/>
    </row>
    <row r="674" ht="15.75" customHeight="1">
      <c r="D674" s="20"/>
      <c r="G674" s="26"/>
      <c r="H674" s="20"/>
    </row>
    <row r="675" ht="15.75" customHeight="1">
      <c r="D675" s="20"/>
      <c r="G675" s="26"/>
      <c r="H675" s="20"/>
    </row>
    <row r="676" ht="15.75" customHeight="1">
      <c r="D676" s="20"/>
      <c r="G676" s="26"/>
      <c r="H676" s="20"/>
    </row>
    <row r="677" ht="15.75" customHeight="1">
      <c r="D677" s="20"/>
      <c r="G677" s="26"/>
      <c r="H677" s="20"/>
    </row>
    <row r="678" ht="15.75" customHeight="1">
      <c r="D678" s="20"/>
      <c r="G678" s="26"/>
      <c r="H678" s="20"/>
    </row>
    <row r="679" ht="15.75" customHeight="1">
      <c r="D679" s="20"/>
      <c r="G679" s="26"/>
      <c r="H679" s="20"/>
    </row>
    <row r="680" ht="15.75" customHeight="1">
      <c r="D680" s="20"/>
      <c r="G680" s="26"/>
      <c r="H680" s="20"/>
    </row>
    <row r="681" ht="15.75" customHeight="1">
      <c r="D681" s="20"/>
      <c r="G681" s="26"/>
      <c r="H681" s="20"/>
    </row>
    <row r="682" ht="15.75" customHeight="1">
      <c r="D682" s="20"/>
      <c r="G682" s="26"/>
      <c r="H682" s="20"/>
    </row>
    <row r="683" ht="15.75" customHeight="1">
      <c r="D683" s="20"/>
      <c r="G683" s="26"/>
      <c r="H683" s="20"/>
    </row>
    <row r="684" ht="15.75" customHeight="1">
      <c r="D684" s="20"/>
      <c r="G684" s="26"/>
      <c r="H684" s="20"/>
    </row>
    <row r="685" ht="15.75" customHeight="1">
      <c r="D685" s="20"/>
      <c r="G685" s="26"/>
      <c r="H685" s="20"/>
    </row>
    <row r="686" ht="15.75" customHeight="1">
      <c r="D686" s="20"/>
      <c r="G686" s="26"/>
      <c r="H686" s="20"/>
    </row>
    <row r="687" ht="15.75" customHeight="1">
      <c r="D687" s="20"/>
      <c r="G687" s="26"/>
      <c r="H687" s="20"/>
    </row>
    <row r="688" ht="15.75" customHeight="1">
      <c r="D688" s="20"/>
      <c r="G688" s="26"/>
      <c r="H688" s="20"/>
    </row>
    <row r="689" ht="15.75" customHeight="1">
      <c r="D689" s="20"/>
      <c r="G689" s="26"/>
      <c r="H689" s="20"/>
    </row>
    <row r="690" ht="15.75" customHeight="1">
      <c r="D690" s="20"/>
      <c r="G690" s="26"/>
      <c r="H690" s="20"/>
    </row>
    <row r="691" ht="15.75" customHeight="1">
      <c r="D691" s="20"/>
      <c r="G691" s="26"/>
      <c r="H691" s="20"/>
    </row>
    <row r="692" ht="15.75" customHeight="1">
      <c r="D692" s="20"/>
      <c r="G692" s="26"/>
      <c r="H692" s="20"/>
    </row>
    <row r="693" ht="15.75" customHeight="1">
      <c r="D693" s="20"/>
      <c r="G693" s="26"/>
      <c r="H693" s="20"/>
    </row>
    <row r="694" ht="15.75" customHeight="1">
      <c r="D694" s="20"/>
      <c r="G694" s="26"/>
      <c r="H694" s="20"/>
    </row>
    <row r="695" ht="15.75" customHeight="1">
      <c r="D695" s="20"/>
      <c r="G695" s="26"/>
      <c r="H695" s="20"/>
    </row>
    <row r="696" ht="15.75" customHeight="1">
      <c r="D696" s="20"/>
      <c r="G696" s="26"/>
      <c r="H696" s="20"/>
    </row>
    <row r="697" ht="15.75" customHeight="1">
      <c r="D697" s="20"/>
      <c r="G697" s="26"/>
      <c r="H697" s="20"/>
    </row>
    <row r="698" ht="15.75" customHeight="1">
      <c r="D698" s="20"/>
      <c r="G698" s="26"/>
      <c r="H698" s="20"/>
    </row>
    <row r="699" ht="15.75" customHeight="1">
      <c r="D699" s="20"/>
      <c r="G699" s="26"/>
      <c r="H699" s="20"/>
    </row>
    <row r="700" ht="15.75" customHeight="1">
      <c r="D700" s="20"/>
      <c r="G700" s="26"/>
      <c r="H700" s="20"/>
    </row>
    <row r="701" ht="15.75" customHeight="1">
      <c r="D701" s="20"/>
      <c r="G701" s="26"/>
      <c r="H701" s="20"/>
    </row>
    <row r="702" ht="15.75" customHeight="1">
      <c r="D702" s="20"/>
      <c r="G702" s="26"/>
      <c r="H702" s="20"/>
    </row>
    <row r="703" ht="15.75" customHeight="1">
      <c r="D703" s="20"/>
      <c r="G703" s="26"/>
      <c r="H703" s="20"/>
    </row>
    <row r="704" ht="15.75" customHeight="1">
      <c r="D704" s="20"/>
      <c r="G704" s="26"/>
      <c r="H704" s="20"/>
    </row>
    <row r="705" ht="15.75" customHeight="1">
      <c r="D705" s="20"/>
      <c r="G705" s="26"/>
      <c r="H705" s="20"/>
    </row>
    <row r="706" ht="15.75" customHeight="1">
      <c r="D706" s="20"/>
      <c r="G706" s="26"/>
      <c r="H706" s="20"/>
    </row>
    <row r="707" ht="15.75" customHeight="1">
      <c r="D707" s="20"/>
      <c r="G707" s="26"/>
      <c r="H707" s="20"/>
    </row>
    <row r="708" ht="15.75" customHeight="1">
      <c r="D708" s="20"/>
      <c r="G708" s="26"/>
      <c r="H708" s="20"/>
    </row>
    <row r="709" ht="15.75" customHeight="1">
      <c r="D709" s="20"/>
      <c r="G709" s="26"/>
      <c r="H709" s="20"/>
    </row>
    <row r="710" ht="15.75" customHeight="1">
      <c r="D710" s="20"/>
      <c r="G710" s="26"/>
      <c r="H710" s="20"/>
    </row>
    <row r="711" ht="15.75" customHeight="1">
      <c r="D711" s="20"/>
      <c r="G711" s="26"/>
      <c r="H711" s="20"/>
    </row>
    <row r="712" ht="15.75" customHeight="1">
      <c r="D712" s="20"/>
      <c r="G712" s="26"/>
      <c r="H712" s="20"/>
    </row>
    <row r="713" ht="15.75" customHeight="1">
      <c r="D713" s="20"/>
      <c r="G713" s="26"/>
      <c r="H713" s="20"/>
    </row>
    <row r="714" ht="15.75" customHeight="1">
      <c r="D714" s="20"/>
      <c r="G714" s="26"/>
      <c r="H714" s="20"/>
    </row>
    <row r="715" ht="15.75" customHeight="1">
      <c r="D715" s="20"/>
      <c r="G715" s="26"/>
      <c r="H715" s="20"/>
    </row>
    <row r="716" ht="15.75" customHeight="1">
      <c r="D716" s="20"/>
      <c r="G716" s="26"/>
      <c r="H716" s="20"/>
    </row>
    <row r="717" ht="15.75" customHeight="1">
      <c r="D717" s="20"/>
      <c r="G717" s="26"/>
      <c r="H717" s="20"/>
    </row>
    <row r="718" ht="15.75" customHeight="1">
      <c r="D718" s="20"/>
      <c r="G718" s="26"/>
      <c r="H718" s="20"/>
    </row>
    <row r="719" ht="15.75" customHeight="1">
      <c r="D719" s="20"/>
      <c r="G719" s="26"/>
      <c r="H719" s="20"/>
    </row>
    <row r="720" ht="15.75" customHeight="1">
      <c r="D720" s="20"/>
      <c r="G720" s="26"/>
      <c r="H720" s="20"/>
    </row>
    <row r="721" ht="15.75" customHeight="1">
      <c r="D721" s="20"/>
      <c r="G721" s="26"/>
      <c r="H721" s="20"/>
    </row>
    <row r="722" ht="15.75" customHeight="1">
      <c r="D722" s="20"/>
      <c r="G722" s="26"/>
      <c r="H722" s="20"/>
    </row>
    <row r="723" ht="15.75" customHeight="1">
      <c r="D723" s="20"/>
      <c r="G723" s="26"/>
      <c r="H723" s="20"/>
    </row>
    <row r="724" ht="15.75" customHeight="1">
      <c r="D724" s="20"/>
      <c r="G724" s="26"/>
      <c r="H724" s="20"/>
    </row>
    <row r="725" ht="15.75" customHeight="1">
      <c r="D725" s="20"/>
      <c r="G725" s="26"/>
      <c r="H725" s="20"/>
    </row>
    <row r="726" ht="15.75" customHeight="1">
      <c r="D726" s="20"/>
      <c r="G726" s="26"/>
      <c r="H726" s="20"/>
    </row>
    <row r="727" ht="15.75" customHeight="1">
      <c r="D727" s="20"/>
      <c r="G727" s="26"/>
      <c r="H727" s="20"/>
    </row>
    <row r="728" ht="15.75" customHeight="1">
      <c r="D728" s="20"/>
      <c r="G728" s="26"/>
      <c r="H728" s="20"/>
    </row>
    <row r="729" ht="15.75" customHeight="1">
      <c r="D729" s="20"/>
      <c r="G729" s="26"/>
      <c r="H729" s="20"/>
    </row>
    <row r="730" ht="15.75" customHeight="1">
      <c r="D730" s="20"/>
      <c r="G730" s="26"/>
      <c r="H730" s="20"/>
    </row>
    <row r="731" ht="15.75" customHeight="1">
      <c r="D731" s="20"/>
      <c r="G731" s="26"/>
      <c r="H731" s="20"/>
    </row>
    <row r="732" ht="15.75" customHeight="1">
      <c r="D732" s="20"/>
      <c r="G732" s="26"/>
      <c r="H732" s="20"/>
    </row>
    <row r="733" ht="15.75" customHeight="1">
      <c r="D733" s="20"/>
      <c r="G733" s="26"/>
      <c r="H733" s="20"/>
    </row>
    <row r="734" ht="15.75" customHeight="1">
      <c r="D734" s="20"/>
      <c r="G734" s="26"/>
      <c r="H734" s="20"/>
    </row>
    <row r="735" ht="15.75" customHeight="1">
      <c r="D735" s="20"/>
      <c r="G735" s="26"/>
      <c r="H735" s="20"/>
    </row>
    <row r="736" ht="15.75" customHeight="1">
      <c r="D736" s="20"/>
      <c r="G736" s="26"/>
      <c r="H736" s="20"/>
    </row>
    <row r="737" ht="15.75" customHeight="1">
      <c r="D737" s="20"/>
      <c r="G737" s="26"/>
      <c r="H737" s="20"/>
    </row>
    <row r="738" ht="15.75" customHeight="1">
      <c r="D738" s="20"/>
      <c r="G738" s="26"/>
      <c r="H738" s="20"/>
    </row>
    <row r="739" ht="15.75" customHeight="1">
      <c r="D739" s="20"/>
      <c r="G739" s="26"/>
      <c r="H739" s="20"/>
    </row>
    <row r="740" ht="15.75" customHeight="1">
      <c r="D740" s="20"/>
      <c r="G740" s="26"/>
      <c r="H740" s="20"/>
    </row>
    <row r="741" ht="15.75" customHeight="1">
      <c r="D741" s="20"/>
      <c r="G741" s="26"/>
      <c r="H741" s="20"/>
    </row>
    <row r="742" ht="15.75" customHeight="1">
      <c r="D742" s="20"/>
      <c r="G742" s="26"/>
      <c r="H742" s="20"/>
    </row>
    <row r="743" ht="15.75" customHeight="1">
      <c r="D743" s="20"/>
      <c r="G743" s="26"/>
      <c r="H743" s="20"/>
    </row>
    <row r="744" ht="15.75" customHeight="1">
      <c r="D744" s="20"/>
      <c r="G744" s="26"/>
      <c r="H744" s="20"/>
    </row>
    <row r="745" ht="15.75" customHeight="1">
      <c r="D745" s="20"/>
      <c r="G745" s="26"/>
      <c r="H745" s="20"/>
    </row>
    <row r="746" ht="15.75" customHeight="1">
      <c r="D746" s="20"/>
      <c r="G746" s="26"/>
      <c r="H746" s="20"/>
    </row>
    <row r="747" ht="15.75" customHeight="1">
      <c r="D747" s="20"/>
      <c r="G747" s="26"/>
      <c r="H747" s="20"/>
    </row>
    <row r="748" ht="15.75" customHeight="1">
      <c r="D748" s="20"/>
      <c r="G748" s="26"/>
      <c r="H748" s="20"/>
    </row>
    <row r="749" ht="15.75" customHeight="1">
      <c r="D749" s="20"/>
      <c r="G749" s="26"/>
      <c r="H749" s="20"/>
    </row>
    <row r="750" ht="15.75" customHeight="1">
      <c r="D750" s="20"/>
      <c r="G750" s="26"/>
      <c r="H750" s="20"/>
    </row>
    <row r="751" ht="15.75" customHeight="1">
      <c r="D751" s="20"/>
      <c r="G751" s="26"/>
      <c r="H751" s="20"/>
    </row>
    <row r="752" ht="15.75" customHeight="1">
      <c r="D752" s="20"/>
      <c r="G752" s="26"/>
      <c r="H752" s="20"/>
    </row>
    <row r="753" ht="15.75" customHeight="1">
      <c r="D753" s="20"/>
      <c r="G753" s="26"/>
      <c r="H753" s="20"/>
    </row>
    <row r="754" ht="15.75" customHeight="1">
      <c r="D754" s="20"/>
      <c r="G754" s="26"/>
      <c r="H754" s="20"/>
    </row>
    <row r="755" ht="15.75" customHeight="1">
      <c r="D755" s="20"/>
      <c r="G755" s="26"/>
      <c r="H755" s="20"/>
    </row>
    <row r="756" ht="15.75" customHeight="1">
      <c r="D756" s="20"/>
      <c r="G756" s="26"/>
      <c r="H756" s="20"/>
    </row>
    <row r="757" ht="15.75" customHeight="1">
      <c r="D757" s="20"/>
      <c r="G757" s="26"/>
      <c r="H757" s="20"/>
    </row>
    <row r="758" ht="15.75" customHeight="1">
      <c r="D758" s="20"/>
      <c r="G758" s="26"/>
      <c r="H758" s="20"/>
    </row>
    <row r="759" ht="15.75" customHeight="1">
      <c r="D759" s="20"/>
      <c r="G759" s="26"/>
      <c r="H759" s="20"/>
    </row>
    <row r="760" ht="15.75" customHeight="1">
      <c r="D760" s="20"/>
      <c r="G760" s="26"/>
      <c r="H760" s="20"/>
    </row>
    <row r="761" ht="15.75" customHeight="1">
      <c r="D761" s="20"/>
      <c r="G761" s="26"/>
      <c r="H761" s="20"/>
    </row>
    <row r="762" ht="15.75" customHeight="1">
      <c r="D762" s="20"/>
      <c r="G762" s="26"/>
      <c r="H762" s="20"/>
    </row>
    <row r="763" ht="15.75" customHeight="1">
      <c r="D763" s="20"/>
      <c r="G763" s="26"/>
      <c r="H763" s="20"/>
    </row>
    <row r="764" ht="15.75" customHeight="1">
      <c r="D764" s="20"/>
      <c r="G764" s="26"/>
      <c r="H764" s="20"/>
    </row>
    <row r="765" ht="15.75" customHeight="1">
      <c r="D765" s="20"/>
      <c r="G765" s="26"/>
      <c r="H765" s="20"/>
    </row>
    <row r="766" ht="15.75" customHeight="1">
      <c r="D766" s="20"/>
      <c r="G766" s="26"/>
      <c r="H766" s="20"/>
    </row>
    <row r="767" ht="15.75" customHeight="1">
      <c r="D767" s="20"/>
      <c r="G767" s="26"/>
      <c r="H767" s="20"/>
    </row>
    <row r="768" ht="15.75" customHeight="1">
      <c r="D768" s="20"/>
      <c r="G768" s="26"/>
      <c r="H768" s="20"/>
    </row>
    <row r="769" ht="15.75" customHeight="1">
      <c r="D769" s="20"/>
      <c r="G769" s="26"/>
      <c r="H769" s="20"/>
    </row>
    <row r="770" ht="15.75" customHeight="1">
      <c r="D770" s="20"/>
      <c r="G770" s="26"/>
      <c r="H770" s="20"/>
    </row>
    <row r="771" ht="15.75" customHeight="1">
      <c r="D771" s="20"/>
      <c r="G771" s="26"/>
      <c r="H771" s="20"/>
    </row>
    <row r="772" ht="15.75" customHeight="1">
      <c r="D772" s="20"/>
      <c r="G772" s="26"/>
      <c r="H772" s="20"/>
    </row>
    <row r="773" ht="15.75" customHeight="1">
      <c r="D773" s="20"/>
      <c r="G773" s="26"/>
      <c r="H773" s="20"/>
    </row>
    <row r="774" ht="15.75" customHeight="1">
      <c r="D774" s="20"/>
      <c r="G774" s="26"/>
      <c r="H774" s="20"/>
    </row>
    <row r="775" ht="15.75" customHeight="1">
      <c r="D775" s="20"/>
      <c r="G775" s="26"/>
      <c r="H775" s="20"/>
    </row>
    <row r="776" ht="15.75" customHeight="1">
      <c r="D776" s="20"/>
      <c r="G776" s="26"/>
      <c r="H776" s="20"/>
    </row>
    <row r="777" ht="15.75" customHeight="1">
      <c r="D777" s="20"/>
      <c r="G777" s="26"/>
      <c r="H777" s="20"/>
    </row>
    <row r="778" ht="15.75" customHeight="1">
      <c r="D778" s="20"/>
      <c r="G778" s="26"/>
      <c r="H778" s="20"/>
    </row>
    <row r="779" ht="15.75" customHeight="1">
      <c r="D779" s="20"/>
      <c r="G779" s="26"/>
      <c r="H779" s="20"/>
    </row>
    <row r="780" ht="15.75" customHeight="1">
      <c r="D780" s="20"/>
      <c r="G780" s="26"/>
      <c r="H780" s="20"/>
    </row>
    <row r="781" ht="15.75" customHeight="1">
      <c r="D781" s="20"/>
      <c r="G781" s="26"/>
      <c r="H781" s="20"/>
    </row>
    <row r="782" ht="15.75" customHeight="1">
      <c r="D782" s="20"/>
      <c r="G782" s="26"/>
      <c r="H782" s="20"/>
    </row>
    <row r="783" ht="15.75" customHeight="1">
      <c r="D783" s="20"/>
      <c r="G783" s="26"/>
      <c r="H783" s="20"/>
    </row>
    <row r="784" ht="15.75" customHeight="1">
      <c r="D784" s="20"/>
      <c r="G784" s="26"/>
      <c r="H784" s="20"/>
    </row>
    <row r="785" ht="15.75" customHeight="1">
      <c r="D785" s="20"/>
      <c r="G785" s="26"/>
      <c r="H785" s="20"/>
    </row>
    <row r="786" ht="15.75" customHeight="1">
      <c r="D786" s="20"/>
      <c r="G786" s="26"/>
      <c r="H786" s="20"/>
    </row>
    <row r="787" ht="15.75" customHeight="1">
      <c r="D787" s="20"/>
      <c r="G787" s="26"/>
      <c r="H787" s="20"/>
    </row>
    <row r="788" ht="15.75" customHeight="1">
      <c r="D788" s="20"/>
      <c r="G788" s="26"/>
      <c r="H788" s="20"/>
    </row>
    <row r="789" ht="15.75" customHeight="1">
      <c r="D789" s="20"/>
      <c r="G789" s="26"/>
      <c r="H789" s="20"/>
    </row>
    <row r="790" ht="15.75" customHeight="1">
      <c r="D790" s="20"/>
      <c r="G790" s="26"/>
      <c r="H790" s="20"/>
    </row>
    <row r="791" ht="15.75" customHeight="1">
      <c r="D791" s="20"/>
      <c r="G791" s="26"/>
      <c r="H791" s="20"/>
    </row>
    <row r="792" ht="15.75" customHeight="1">
      <c r="D792" s="20"/>
      <c r="G792" s="26"/>
      <c r="H792" s="20"/>
    </row>
    <row r="793" ht="15.75" customHeight="1">
      <c r="D793" s="20"/>
      <c r="G793" s="26"/>
      <c r="H793" s="20"/>
    </row>
    <row r="794" ht="15.75" customHeight="1">
      <c r="D794" s="20"/>
      <c r="G794" s="26"/>
      <c r="H794" s="20"/>
    </row>
    <row r="795" ht="15.75" customHeight="1">
      <c r="D795" s="20"/>
      <c r="G795" s="26"/>
      <c r="H795" s="20"/>
    </row>
    <row r="796" ht="15.75" customHeight="1">
      <c r="D796" s="20"/>
      <c r="G796" s="26"/>
      <c r="H796" s="20"/>
    </row>
    <row r="797" ht="15.75" customHeight="1">
      <c r="D797" s="20"/>
      <c r="G797" s="26"/>
      <c r="H797" s="20"/>
    </row>
    <row r="798" ht="15.75" customHeight="1">
      <c r="D798" s="20"/>
      <c r="G798" s="26"/>
      <c r="H798" s="20"/>
    </row>
    <row r="799" ht="15.75" customHeight="1">
      <c r="D799" s="20"/>
      <c r="G799" s="26"/>
      <c r="H799" s="20"/>
    </row>
    <row r="800" ht="15.75" customHeight="1">
      <c r="D800" s="20"/>
      <c r="G800" s="26"/>
      <c r="H800" s="20"/>
    </row>
    <row r="801" ht="15.75" customHeight="1">
      <c r="D801" s="20"/>
      <c r="G801" s="26"/>
      <c r="H801" s="20"/>
    </row>
    <row r="802" ht="15.75" customHeight="1">
      <c r="D802" s="20"/>
      <c r="G802" s="26"/>
      <c r="H802" s="20"/>
    </row>
    <row r="803" ht="15.75" customHeight="1">
      <c r="D803" s="20"/>
      <c r="G803" s="26"/>
      <c r="H803" s="20"/>
    </row>
    <row r="804" ht="15.75" customHeight="1">
      <c r="D804" s="20"/>
      <c r="G804" s="26"/>
      <c r="H804" s="20"/>
    </row>
    <row r="805" ht="15.75" customHeight="1">
      <c r="D805" s="20"/>
      <c r="G805" s="26"/>
      <c r="H805" s="20"/>
    </row>
    <row r="806" ht="15.75" customHeight="1">
      <c r="D806" s="20"/>
      <c r="G806" s="26"/>
      <c r="H806" s="20"/>
    </row>
    <row r="807" ht="15.75" customHeight="1">
      <c r="D807" s="20"/>
      <c r="G807" s="26"/>
      <c r="H807" s="20"/>
    </row>
    <row r="808" ht="15.75" customHeight="1">
      <c r="D808" s="20"/>
      <c r="G808" s="26"/>
      <c r="H808" s="20"/>
    </row>
    <row r="809" ht="15.75" customHeight="1">
      <c r="D809" s="20"/>
      <c r="G809" s="26"/>
      <c r="H809" s="20"/>
    </row>
    <row r="810" ht="15.75" customHeight="1">
      <c r="D810" s="20"/>
      <c r="G810" s="26"/>
      <c r="H810" s="20"/>
    </row>
    <row r="811" ht="15.75" customHeight="1">
      <c r="D811" s="20"/>
      <c r="G811" s="26"/>
      <c r="H811" s="20"/>
    </row>
    <row r="812" ht="15.75" customHeight="1">
      <c r="D812" s="20"/>
      <c r="G812" s="26"/>
      <c r="H812" s="20"/>
    </row>
    <row r="813" ht="15.75" customHeight="1">
      <c r="D813" s="20"/>
      <c r="G813" s="26"/>
      <c r="H813" s="20"/>
    </row>
    <row r="814" ht="15.75" customHeight="1">
      <c r="D814" s="20"/>
      <c r="G814" s="26"/>
      <c r="H814" s="20"/>
    </row>
    <row r="815" ht="15.75" customHeight="1">
      <c r="D815" s="20"/>
      <c r="G815" s="26"/>
      <c r="H815" s="20"/>
    </row>
    <row r="816" ht="15.75" customHeight="1">
      <c r="D816" s="20"/>
      <c r="G816" s="26"/>
      <c r="H816" s="20"/>
    </row>
    <row r="817" ht="15.75" customHeight="1">
      <c r="D817" s="20"/>
      <c r="G817" s="26"/>
      <c r="H817" s="20"/>
    </row>
    <row r="818" ht="15.75" customHeight="1">
      <c r="D818" s="20"/>
      <c r="G818" s="26"/>
      <c r="H818" s="20"/>
    </row>
    <row r="819" ht="15.75" customHeight="1">
      <c r="D819" s="20"/>
      <c r="G819" s="26"/>
      <c r="H819" s="20"/>
    </row>
    <row r="820" ht="15.75" customHeight="1">
      <c r="D820" s="20"/>
      <c r="G820" s="26"/>
      <c r="H820" s="20"/>
    </row>
    <row r="821" ht="15.75" customHeight="1">
      <c r="D821" s="20"/>
      <c r="G821" s="26"/>
      <c r="H821" s="20"/>
    </row>
    <row r="822" ht="15.75" customHeight="1">
      <c r="D822" s="20"/>
      <c r="G822" s="26"/>
      <c r="H822" s="20"/>
    </row>
    <row r="823" ht="15.75" customHeight="1">
      <c r="D823" s="20"/>
      <c r="G823" s="26"/>
      <c r="H823" s="20"/>
    </row>
    <row r="824" ht="15.75" customHeight="1">
      <c r="D824" s="20"/>
      <c r="G824" s="26"/>
      <c r="H824" s="20"/>
    </row>
    <row r="825" ht="15.75" customHeight="1">
      <c r="D825" s="20"/>
      <c r="G825" s="26"/>
      <c r="H825" s="20"/>
    </row>
    <row r="826" ht="15.75" customHeight="1">
      <c r="D826" s="20"/>
      <c r="G826" s="26"/>
      <c r="H826" s="20"/>
    </row>
    <row r="827" ht="15.75" customHeight="1">
      <c r="D827" s="20"/>
      <c r="G827" s="26"/>
      <c r="H827" s="20"/>
    </row>
    <row r="828" ht="15.75" customHeight="1">
      <c r="D828" s="20"/>
      <c r="G828" s="26"/>
      <c r="H828" s="20"/>
    </row>
    <row r="829" ht="15.75" customHeight="1">
      <c r="D829" s="20"/>
      <c r="G829" s="26"/>
      <c r="H829" s="20"/>
    </row>
    <row r="830" ht="15.75" customHeight="1">
      <c r="D830" s="20"/>
      <c r="G830" s="26"/>
      <c r="H830" s="20"/>
    </row>
    <row r="831" ht="15.75" customHeight="1">
      <c r="D831" s="20"/>
      <c r="G831" s="26"/>
      <c r="H831" s="20"/>
    </row>
    <row r="832" ht="15.75" customHeight="1">
      <c r="D832" s="20"/>
      <c r="G832" s="26"/>
      <c r="H832" s="20"/>
    </row>
    <row r="833" ht="15.75" customHeight="1">
      <c r="D833" s="20"/>
      <c r="G833" s="26"/>
      <c r="H833" s="20"/>
    </row>
    <row r="834" ht="15.75" customHeight="1">
      <c r="D834" s="20"/>
      <c r="G834" s="26"/>
      <c r="H834" s="20"/>
    </row>
    <row r="835" ht="15.75" customHeight="1">
      <c r="D835" s="20"/>
      <c r="G835" s="26"/>
      <c r="H835" s="20"/>
    </row>
    <row r="836" ht="15.75" customHeight="1">
      <c r="D836" s="20"/>
      <c r="G836" s="26"/>
      <c r="H836" s="20"/>
    </row>
    <row r="837" ht="15.75" customHeight="1">
      <c r="D837" s="20"/>
      <c r="G837" s="26"/>
      <c r="H837" s="20"/>
    </row>
    <row r="838" ht="15.75" customHeight="1">
      <c r="D838" s="20"/>
      <c r="G838" s="26"/>
      <c r="H838" s="20"/>
    </row>
    <row r="839" ht="15.75" customHeight="1">
      <c r="D839" s="20"/>
      <c r="G839" s="26"/>
      <c r="H839" s="20"/>
    </row>
    <row r="840" ht="15.75" customHeight="1">
      <c r="D840" s="20"/>
      <c r="G840" s="26"/>
      <c r="H840" s="20"/>
    </row>
    <row r="841" ht="15.75" customHeight="1">
      <c r="D841" s="20"/>
      <c r="G841" s="26"/>
      <c r="H841" s="20"/>
    </row>
    <row r="842" ht="15.75" customHeight="1">
      <c r="D842" s="20"/>
      <c r="G842" s="26"/>
      <c r="H842" s="20"/>
    </row>
    <row r="843" ht="15.75" customHeight="1">
      <c r="D843" s="20"/>
      <c r="G843" s="26"/>
      <c r="H843" s="20"/>
    </row>
    <row r="844" ht="15.75" customHeight="1">
      <c r="D844" s="20"/>
      <c r="G844" s="26"/>
      <c r="H844" s="20"/>
    </row>
    <row r="845" ht="15.75" customHeight="1">
      <c r="D845" s="20"/>
      <c r="G845" s="26"/>
      <c r="H845" s="20"/>
    </row>
    <row r="846" ht="15.75" customHeight="1">
      <c r="D846" s="20"/>
      <c r="G846" s="26"/>
      <c r="H846" s="20"/>
    </row>
    <row r="847" ht="15.75" customHeight="1">
      <c r="D847" s="20"/>
      <c r="G847" s="26"/>
      <c r="H847" s="20"/>
    </row>
    <row r="848" ht="15.75" customHeight="1">
      <c r="D848" s="20"/>
      <c r="G848" s="26"/>
      <c r="H848" s="20"/>
    </row>
    <row r="849" ht="15.75" customHeight="1">
      <c r="D849" s="20"/>
      <c r="G849" s="26"/>
      <c r="H849" s="20"/>
    </row>
    <row r="850" ht="15.75" customHeight="1">
      <c r="D850" s="20"/>
      <c r="G850" s="26"/>
      <c r="H850" s="20"/>
    </row>
    <row r="851" ht="15.75" customHeight="1">
      <c r="D851" s="20"/>
      <c r="G851" s="26"/>
      <c r="H851" s="20"/>
    </row>
    <row r="852" ht="15.75" customHeight="1">
      <c r="D852" s="20"/>
      <c r="G852" s="26"/>
      <c r="H852" s="20"/>
    </row>
    <row r="853" ht="15.75" customHeight="1">
      <c r="D853" s="20"/>
      <c r="G853" s="26"/>
      <c r="H853" s="20"/>
    </row>
    <row r="854" ht="15.75" customHeight="1">
      <c r="D854" s="20"/>
      <c r="G854" s="26"/>
      <c r="H854" s="20"/>
    </row>
    <row r="855" ht="15.75" customHeight="1">
      <c r="D855" s="20"/>
      <c r="G855" s="26"/>
      <c r="H855" s="20"/>
    </row>
    <row r="856" ht="15.75" customHeight="1">
      <c r="D856" s="20"/>
      <c r="G856" s="26"/>
      <c r="H856" s="20"/>
    </row>
    <row r="857" ht="15.75" customHeight="1">
      <c r="D857" s="20"/>
      <c r="G857" s="26"/>
      <c r="H857" s="20"/>
    </row>
    <row r="858" ht="15.75" customHeight="1">
      <c r="D858" s="20"/>
      <c r="G858" s="26"/>
      <c r="H858" s="20"/>
    </row>
    <row r="859" ht="15.75" customHeight="1">
      <c r="D859" s="20"/>
      <c r="G859" s="26"/>
      <c r="H859" s="20"/>
    </row>
    <row r="860" ht="15.75" customHeight="1">
      <c r="D860" s="20"/>
      <c r="G860" s="26"/>
      <c r="H860" s="20"/>
    </row>
    <row r="861" ht="15.75" customHeight="1">
      <c r="D861" s="20"/>
      <c r="G861" s="26"/>
      <c r="H861" s="20"/>
    </row>
    <row r="862" ht="15.75" customHeight="1">
      <c r="D862" s="20"/>
      <c r="G862" s="26"/>
      <c r="H862" s="20"/>
    </row>
    <row r="863" ht="15.75" customHeight="1">
      <c r="D863" s="20"/>
      <c r="G863" s="26"/>
      <c r="H863" s="20"/>
    </row>
    <row r="864" ht="15.75" customHeight="1">
      <c r="D864" s="20"/>
      <c r="G864" s="26"/>
      <c r="H864" s="20"/>
    </row>
    <row r="865" ht="15.75" customHeight="1">
      <c r="D865" s="20"/>
      <c r="G865" s="26"/>
      <c r="H865" s="20"/>
    </row>
    <row r="866" ht="15.75" customHeight="1">
      <c r="D866" s="20"/>
      <c r="G866" s="26"/>
      <c r="H866" s="20"/>
    </row>
    <row r="867" ht="15.75" customHeight="1">
      <c r="D867" s="20"/>
      <c r="G867" s="26"/>
      <c r="H867" s="20"/>
    </row>
    <row r="868" ht="15.75" customHeight="1">
      <c r="D868" s="20"/>
      <c r="G868" s="26"/>
      <c r="H868" s="20"/>
    </row>
    <row r="869" ht="15.75" customHeight="1">
      <c r="D869" s="20"/>
      <c r="G869" s="26"/>
      <c r="H869" s="20"/>
    </row>
    <row r="870" ht="15.75" customHeight="1">
      <c r="D870" s="20"/>
      <c r="G870" s="26"/>
      <c r="H870" s="20"/>
    </row>
    <row r="871" ht="15.75" customHeight="1">
      <c r="D871" s="20"/>
      <c r="G871" s="26"/>
      <c r="H871" s="20"/>
    </row>
    <row r="872" ht="15.75" customHeight="1">
      <c r="D872" s="20"/>
      <c r="G872" s="26"/>
      <c r="H872" s="20"/>
    </row>
    <row r="873" ht="15.75" customHeight="1">
      <c r="D873" s="20"/>
      <c r="G873" s="26"/>
      <c r="H873" s="20"/>
    </row>
    <row r="874" ht="15.75" customHeight="1">
      <c r="D874" s="20"/>
      <c r="G874" s="26"/>
      <c r="H874" s="20"/>
    </row>
    <row r="875" ht="15.75" customHeight="1">
      <c r="D875" s="20"/>
      <c r="G875" s="26"/>
      <c r="H875" s="20"/>
    </row>
    <row r="876" ht="15.75" customHeight="1">
      <c r="D876" s="20"/>
      <c r="G876" s="26"/>
      <c r="H876" s="20"/>
    </row>
    <row r="877" ht="15.75" customHeight="1">
      <c r="D877" s="20"/>
      <c r="G877" s="26"/>
      <c r="H877" s="20"/>
    </row>
    <row r="878" ht="15.75" customHeight="1">
      <c r="D878" s="20"/>
      <c r="G878" s="26"/>
      <c r="H878" s="20"/>
    </row>
    <row r="879" ht="15.75" customHeight="1">
      <c r="D879" s="20"/>
      <c r="G879" s="26"/>
      <c r="H879" s="20"/>
    </row>
    <row r="880" ht="15.75" customHeight="1">
      <c r="D880" s="20"/>
      <c r="G880" s="26"/>
      <c r="H880" s="20"/>
    </row>
    <row r="881" ht="15.75" customHeight="1">
      <c r="D881" s="20"/>
      <c r="G881" s="26"/>
      <c r="H881" s="20"/>
    </row>
    <row r="882" ht="15.75" customHeight="1">
      <c r="D882" s="20"/>
      <c r="G882" s="26"/>
      <c r="H882" s="20"/>
    </row>
    <row r="883" ht="15.75" customHeight="1">
      <c r="D883" s="20"/>
      <c r="G883" s="26"/>
      <c r="H883" s="20"/>
    </row>
    <row r="884" ht="15.75" customHeight="1">
      <c r="D884" s="20"/>
      <c r="G884" s="26"/>
      <c r="H884" s="20"/>
    </row>
    <row r="885" ht="15.75" customHeight="1">
      <c r="D885" s="20"/>
      <c r="G885" s="26"/>
      <c r="H885" s="20"/>
    </row>
    <row r="886" ht="15.75" customHeight="1">
      <c r="D886" s="20"/>
      <c r="G886" s="26"/>
      <c r="H886" s="20"/>
    </row>
    <row r="887" ht="15.75" customHeight="1">
      <c r="D887" s="20"/>
      <c r="G887" s="26"/>
      <c r="H887" s="20"/>
    </row>
    <row r="888" ht="15.75" customHeight="1">
      <c r="D888" s="20"/>
      <c r="G888" s="26"/>
      <c r="H888" s="20"/>
    </row>
    <row r="889" ht="15.75" customHeight="1">
      <c r="D889" s="20"/>
      <c r="G889" s="26"/>
      <c r="H889" s="20"/>
    </row>
    <row r="890" ht="15.75" customHeight="1">
      <c r="D890" s="20"/>
      <c r="G890" s="26"/>
      <c r="H890" s="20"/>
    </row>
    <row r="891" ht="15.75" customHeight="1">
      <c r="D891" s="20"/>
      <c r="G891" s="26"/>
      <c r="H891" s="20"/>
    </row>
    <row r="892" ht="15.75" customHeight="1">
      <c r="D892" s="20"/>
      <c r="G892" s="26"/>
      <c r="H892" s="20"/>
    </row>
    <row r="893" ht="15.75" customHeight="1">
      <c r="D893" s="20"/>
      <c r="G893" s="26"/>
      <c r="H893" s="20"/>
    </row>
    <row r="894" ht="15.75" customHeight="1">
      <c r="D894" s="20"/>
      <c r="G894" s="26"/>
      <c r="H894" s="20"/>
    </row>
    <row r="895" ht="15.75" customHeight="1">
      <c r="D895" s="20"/>
      <c r="G895" s="26"/>
      <c r="H895" s="20"/>
    </row>
    <row r="896" ht="15.75" customHeight="1">
      <c r="D896" s="20"/>
      <c r="G896" s="26"/>
      <c r="H896" s="20"/>
    </row>
    <row r="897" ht="15.75" customHeight="1">
      <c r="D897" s="20"/>
      <c r="G897" s="26"/>
      <c r="H897" s="20"/>
    </row>
    <row r="898" ht="15.75" customHeight="1">
      <c r="D898" s="20"/>
      <c r="G898" s="26"/>
      <c r="H898" s="20"/>
    </row>
    <row r="899" ht="15.75" customHeight="1">
      <c r="D899" s="20"/>
      <c r="G899" s="26"/>
      <c r="H899" s="20"/>
    </row>
    <row r="900" ht="15.75" customHeight="1">
      <c r="D900" s="20"/>
      <c r="G900" s="26"/>
      <c r="H900" s="20"/>
    </row>
    <row r="901" ht="15.75" customHeight="1">
      <c r="D901" s="20"/>
      <c r="G901" s="26"/>
      <c r="H901" s="20"/>
    </row>
    <row r="902" ht="15.75" customHeight="1">
      <c r="D902" s="20"/>
      <c r="G902" s="26"/>
      <c r="H902" s="20"/>
    </row>
    <row r="903" ht="15.75" customHeight="1">
      <c r="D903" s="20"/>
      <c r="G903" s="26"/>
      <c r="H903" s="20"/>
    </row>
    <row r="904" ht="15.75" customHeight="1">
      <c r="D904" s="20"/>
      <c r="G904" s="26"/>
      <c r="H904" s="20"/>
    </row>
    <row r="905" ht="15.75" customHeight="1">
      <c r="D905" s="20"/>
      <c r="G905" s="26"/>
      <c r="H905" s="20"/>
    </row>
    <row r="906" ht="15.75" customHeight="1">
      <c r="D906" s="20"/>
      <c r="G906" s="26"/>
      <c r="H906" s="20"/>
    </row>
    <row r="907" ht="15.75" customHeight="1">
      <c r="D907" s="20"/>
      <c r="G907" s="26"/>
      <c r="H907" s="20"/>
    </row>
    <row r="908" ht="15.75" customHeight="1">
      <c r="D908" s="20"/>
      <c r="G908" s="26"/>
      <c r="H908" s="20"/>
    </row>
    <row r="909" ht="15.75" customHeight="1">
      <c r="D909" s="20"/>
      <c r="G909" s="26"/>
      <c r="H909" s="20"/>
    </row>
    <row r="910" ht="15.75" customHeight="1">
      <c r="D910" s="20"/>
      <c r="G910" s="26"/>
      <c r="H910" s="20"/>
    </row>
    <row r="911" ht="15.75" customHeight="1">
      <c r="D911" s="20"/>
      <c r="G911" s="26"/>
      <c r="H911" s="20"/>
    </row>
    <row r="912" ht="15.75" customHeight="1">
      <c r="D912" s="20"/>
      <c r="G912" s="26"/>
      <c r="H912" s="20"/>
    </row>
    <row r="913" ht="15.75" customHeight="1">
      <c r="D913" s="20"/>
      <c r="G913" s="26"/>
      <c r="H913" s="20"/>
    </row>
    <row r="914" ht="15.75" customHeight="1">
      <c r="D914" s="20"/>
      <c r="G914" s="26"/>
      <c r="H914" s="20"/>
    </row>
    <row r="915" ht="15.75" customHeight="1">
      <c r="D915" s="20"/>
      <c r="G915" s="26"/>
      <c r="H915" s="20"/>
    </row>
    <row r="916" ht="15.75" customHeight="1">
      <c r="D916" s="20"/>
      <c r="G916" s="26"/>
      <c r="H916" s="20"/>
    </row>
    <row r="917" ht="15.75" customHeight="1">
      <c r="D917" s="20"/>
      <c r="G917" s="26"/>
      <c r="H917" s="20"/>
    </row>
    <row r="918" ht="15.75" customHeight="1">
      <c r="D918" s="20"/>
      <c r="G918" s="26"/>
      <c r="H918" s="20"/>
    </row>
    <row r="919" ht="15.75" customHeight="1">
      <c r="D919" s="20"/>
      <c r="G919" s="26"/>
      <c r="H919" s="20"/>
    </row>
    <row r="920" ht="15.75" customHeight="1">
      <c r="D920" s="20"/>
      <c r="G920" s="26"/>
      <c r="H920" s="20"/>
    </row>
    <row r="921" ht="15.75" customHeight="1">
      <c r="D921" s="20"/>
      <c r="G921" s="26"/>
      <c r="H921" s="20"/>
    </row>
    <row r="922" ht="15.75" customHeight="1">
      <c r="D922" s="20"/>
      <c r="G922" s="26"/>
      <c r="H922" s="20"/>
    </row>
    <row r="923" ht="15.75" customHeight="1">
      <c r="D923" s="20"/>
      <c r="G923" s="26"/>
      <c r="H923" s="20"/>
    </row>
    <row r="924" ht="15.75" customHeight="1">
      <c r="D924" s="20"/>
      <c r="G924" s="26"/>
      <c r="H924" s="20"/>
    </row>
    <row r="925" ht="15.75" customHeight="1">
      <c r="D925" s="20"/>
      <c r="G925" s="26"/>
      <c r="H925" s="20"/>
    </row>
    <row r="926" ht="15.75" customHeight="1">
      <c r="D926" s="20"/>
      <c r="G926" s="26"/>
      <c r="H926" s="20"/>
    </row>
    <row r="927" ht="15.75" customHeight="1">
      <c r="D927" s="20"/>
      <c r="G927" s="26"/>
      <c r="H927" s="20"/>
    </row>
    <row r="928" ht="15.75" customHeight="1">
      <c r="D928" s="20"/>
      <c r="G928" s="26"/>
      <c r="H928" s="20"/>
    </row>
    <row r="929" ht="15.75" customHeight="1">
      <c r="D929" s="20"/>
      <c r="G929" s="26"/>
      <c r="H929" s="20"/>
    </row>
    <row r="930" ht="15.75" customHeight="1">
      <c r="D930" s="20"/>
      <c r="G930" s="26"/>
      <c r="H930" s="20"/>
    </row>
    <row r="931" ht="15.75" customHeight="1">
      <c r="D931" s="20"/>
      <c r="G931" s="26"/>
      <c r="H931" s="20"/>
    </row>
    <row r="932" ht="15.75" customHeight="1">
      <c r="D932" s="20"/>
      <c r="G932" s="26"/>
      <c r="H932" s="20"/>
    </row>
    <row r="933" ht="15.75" customHeight="1">
      <c r="D933" s="20"/>
      <c r="G933" s="26"/>
      <c r="H933" s="20"/>
    </row>
    <row r="934" ht="15.75" customHeight="1">
      <c r="D934" s="20"/>
      <c r="G934" s="26"/>
      <c r="H934" s="20"/>
    </row>
    <row r="935" ht="15.75" customHeight="1">
      <c r="D935" s="20"/>
      <c r="G935" s="26"/>
      <c r="H935" s="20"/>
    </row>
    <row r="936" ht="15.75" customHeight="1">
      <c r="D936" s="20"/>
      <c r="G936" s="26"/>
      <c r="H936" s="20"/>
    </row>
    <row r="937" ht="15.75" customHeight="1">
      <c r="D937" s="20"/>
      <c r="G937" s="26"/>
      <c r="H937" s="20"/>
    </row>
    <row r="938" ht="15.75" customHeight="1">
      <c r="D938" s="20"/>
      <c r="G938" s="26"/>
      <c r="H938" s="20"/>
    </row>
    <row r="939" ht="15.75" customHeight="1">
      <c r="D939" s="20"/>
      <c r="G939" s="26"/>
      <c r="H939" s="20"/>
    </row>
    <row r="940" ht="15.75" customHeight="1">
      <c r="D940" s="20"/>
      <c r="G940" s="26"/>
      <c r="H940" s="20"/>
    </row>
    <row r="941" ht="15.75" customHeight="1">
      <c r="D941" s="20"/>
      <c r="G941" s="26"/>
      <c r="H941" s="20"/>
    </row>
    <row r="942" ht="15.75" customHeight="1">
      <c r="D942" s="20"/>
      <c r="G942" s="26"/>
      <c r="H942" s="20"/>
    </row>
    <row r="943" ht="15.75" customHeight="1">
      <c r="D943" s="20"/>
      <c r="G943" s="26"/>
      <c r="H943" s="20"/>
    </row>
    <row r="944" ht="15.75" customHeight="1">
      <c r="D944" s="20"/>
      <c r="G944" s="26"/>
      <c r="H944" s="20"/>
    </row>
    <row r="945" ht="15.75" customHeight="1">
      <c r="D945" s="20"/>
      <c r="G945" s="26"/>
      <c r="H945" s="20"/>
    </row>
    <row r="946" ht="15.75" customHeight="1">
      <c r="D946" s="20"/>
      <c r="G946" s="26"/>
      <c r="H946" s="20"/>
    </row>
    <row r="947" ht="15.75" customHeight="1">
      <c r="D947" s="20"/>
      <c r="G947" s="26"/>
      <c r="H947" s="20"/>
    </row>
    <row r="948" ht="15.75" customHeight="1">
      <c r="D948" s="20"/>
      <c r="G948" s="26"/>
      <c r="H948" s="20"/>
    </row>
    <row r="949" ht="15.75" customHeight="1">
      <c r="D949" s="20"/>
      <c r="G949" s="26"/>
      <c r="H949" s="20"/>
    </row>
    <row r="950" ht="15.75" customHeight="1">
      <c r="D950" s="20"/>
      <c r="G950" s="26"/>
      <c r="H950" s="20"/>
    </row>
    <row r="951" ht="15.75" customHeight="1">
      <c r="D951" s="20"/>
      <c r="G951" s="26"/>
      <c r="H951" s="20"/>
    </row>
    <row r="952" ht="15.75" customHeight="1">
      <c r="D952" s="20"/>
      <c r="G952" s="26"/>
      <c r="H952" s="20"/>
    </row>
    <row r="953" ht="15.75" customHeight="1">
      <c r="D953" s="20"/>
      <c r="G953" s="26"/>
      <c r="H953" s="20"/>
    </row>
    <row r="954" ht="15.75" customHeight="1">
      <c r="D954" s="20"/>
      <c r="G954" s="26"/>
      <c r="H954" s="20"/>
    </row>
    <row r="955" ht="15.75" customHeight="1">
      <c r="D955" s="20"/>
      <c r="G955" s="26"/>
      <c r="H955" s="20"/>
    </row>
    <row r="956" ht="15.75" customHeight="1">
      <c r="D956" s="20"/>
      <c r="G956" s="26"/>
      <c r="H956" s="20"/>
    </row>
    <row r="957" ht="15.75" customHeight="1">
      <c r="D957" s="20"/>
      <c r="G957" s="26"/>
      <c r="H957" s="20"/>
    </row>
    <row r="958" ht="15.75" customHeight="1">
      <c r="D958" s="20"/>
      <c r="G958" s="26"/>
      <c r="H958" s="20"/>
    </row>
    <row r="959" ht="15.75" customHeight="1">
      <c r="D959" s="20"/>
      <c r="G959" s="26"/>
      <c r="H959" s="20"/>
    </row>
    <row r="960" ht="15.75" customHeight="1">
      <c r="D960" s="20"/>
      <c r="G960" s="26"/>
      <c r="H960" s="20"/>
    </row>
    <row r="961" ht="15.75" customHeight="1">
      <c r="D961" s="20"/>
      <c r="G961" s="26"/>
      <c r="H961" s="20"/>
    </row>
    <row r="962" ht="15.75" customHeight="1">
      <c r="D962" s="20"/>
      <c r="G962" s="26"/>
      <c r="H962" s="20"/>
    </row>
    <row r="963" ht="15.75" customHeight="1">
      <c r="D963" s="20"/>
      <c r="G963" s="26"/>
      <c r="H963" s="20"/>
    </row>
    <row r="964" ht="15.75" customHeight="1">
      <c r="D964" s="20"/>
      <c r="G964" s="26"/>
      <c r="H964" s="20"/>
    </row>
    <row r="965" ht="15.75" customHeight="1">
      <c r="D965" s="20"/>
      <c r="G965" s="26"/>
      <c r="H965" s="20"/>
    </row>
    <row r="966" ht="15.75" customHeight="1">
      <c r="D966" s="20"/>
      <c r="G966" s="26"/>
      <c r="H966" s="20"/>
    </row>
    <row r="967" ht="15.75" customHeight="1">
      <c r="D967" s="20"/>
      <c r="G967" s="26"/>
      <c r="H967" s="20"/>
    </row>
    <row r="968" ht="15.75" customHeight="1">
      <c r="D968" s="20"/>
      <c r="G968" s="26"/>
      <c r="H968" s="20"/>
    </row>
    <row r="969" ht="15.75" customHeight="1">
      <c r="D969" s="20"/>
      <c r="G969" s="26"/>
      <c r="H969" s="20"/>
    </row>
    <row r="970" ht="15.75" customHeight="1">
      <c r="D970" s="20"/>
      <c r="G970" s="26"/>
      <c r="H970" s="20"/>
    </row>
    <row r="971" ht="15.75" customHeight="1">
      <c r="D971" s="20"/>
      <c r="G971" s="26"/>
      <c r="H971" s="20"/>
    </row>
    <row r="972" ht="15.75" customHeight="1">
      <c r="D972" s="20"/>
      <c r="G972" s="26"/>
      <c r="H972" s="20"/>
    </row>
    <row r="973" ht="15.75" customHeight="1">
      <c r="D973" s="20"/>
      <c r="G973" s="26"/>
      <c r="H973" s="20"/>
    </row>
    <row r="974" ht="15.75" customHeight="1">
      <c r="D974" s="20"/>
      <c r="G974" s="26"/>
      <c r="H974" s="20"/>
    </row>
    <row r="975" ht="15.75" customHeight="1">
      <c r="D975" s="20"/>
      <c r="G975" s="26"/>
      <c r="H975" s="20"/>
    </row>
    <row r="976" ht="15.75" customHeight="1">
      <c r="D976" s="20"/>
      <c r="G976" s="26"/>
      <c r="H976" s="20"/>
    </row>
    <row r="977" ht="15.75" customHeight="1">
      <c r="D977" s="20"/>
      <c r="G977" s="26"/>
      <c r="H977" s="20"/>
    </row>
    <row r="978" ht="15.75" customHeight="1">
      <c r="D978" s="20"/>
      <c r="G978" s="26"/>
      <c r="H978" s="20"/>
    </row>
    <row r="979" ht="15.75" customHeight="1">
      <c r="D979" s="20"/>
      <c r="G979" s="26"/>
      <c r="H979" s="20"/>
    </row>
    <row r="980" ht="15.75" customHeight="1">
      <c r="D980" s="20"/>
      <c r="G980" s="26"/>
      <c r="H980" s="20"/>
    </row>
    <row r="981" ht="15.75" customHeight="1">
      <c r="D981" s="20"/>
      <c r="G981" s="26"/>
      <c r="H981" s="20"/>
    </row>
    <row r="982" ht="15.75" customHeight="1">
      <c r="D982" s="20"/>
      <c r="G982" s="26"/>
      <c r="H982" s="20"/>
    </row>
    <row r="983" ht="15.75" customHeight="1">
      <c r="D983" s="20"/>
      <c r="G983" s="26"/>
      <c r="H983" s="20"/>
    </row>
    <row r="984" ht="15.75" customHeight="1">
      <c r="D984" s="20"/>
      <c r="G984" s="26"/>
      <c r="H984" s="20"/>
    </row>
    <row r="985" ht="15.75" customHeight="1">
      <c r="D985" s="20"/>
      <c r="G985" s="26"/>
      <c r="H985" s="20"/>
    </row>
    <row r="986" ht="15.75" customHeight="1">
      <c r="D986" s="20"/>
      <c r="G986" s="26"/>
      <c r="H986" s="20"/>
    </row>
    <row r="987" ht="15.75" customHeight="1">
      <c r="D987" s="20"/>
      <c r="G987" s="26"/>
      <c r="H987" s="20"/>
    </row>
    <row r="988" ht="15.75" customHeight="1">
      <c r="D988" s="20"/>
      <c r="G988" s="26"/>
      <c r="H988" s="20"/>
    </row>
    <row r="989" ht="15.75" customHeight="1">
      <c r="D989" s="20"/>
      <c r="G989" s="26"/>
      <c r="H989" s="20"/>
    </row>
    <row r="990" ht="15.75" customHeight="1">
      <c r="D990" s="20"/>
      <c r="G990" s="26"/>
      <c r="H990" s="20"/>
    </row>
    <row r="991" ht="15.75" customHeight="1">
      <c r="D991" s="20"/>
      <c r="G991" s="26"/>
      <c r="H991" s="20"/>
    </row>
    <row r="992" ht="15.75" customHeight="1">
      <c r="D992" s="20"/>
      <c r="G992" s="26"/>
      <c r="H992" s="20"/>
    </row>
    <row r="993" ht="15.75" customHeight="1">
      <c r="D993" s="20"/>
      <c r="G993" s="26"/>
      <c r="H993" s="20"/>
    </row>
    <row r="994" ht="15.75" customHeight="1">
      <c r="D994" s="20"/>
      <c r="G994" s="26"/>
      <c r="H994" s="20"/>
    </row>
    <row r="995" ht="15.75" customHeight="1">
      <c r="D995" s="20"/>
      <c r="G995" s="26"/>
      <c r="H995" s="20"/>
    </row>
    <row r="996" ht="15.75" customHeight="1">
      <c r="D996" s="20"/>
      <c r="G996" s="26"/>
      <c r="H996" s="20"/>
    </row>
    <row r="997" ht="15.75" customHeight="1">
      <c r="D997" s="20"/>
      <c r="G997" s="26"/>
      <c r="H997" s="20"/>
    </row>
    <row r="998" ht="15.75" customHeight="1">
      <c r="D998" s="20"/>
      <c r="G998" s="26"/>
      <c r="H998" s="20"/>
    </row>
    <row r="999" ht="15.75" customHeight="1">
      <c r="D999" s="20"/>
      <c r="G999" s="26"/>
      <c r="H999" s="20"/>
    </row>
    <row r="1000" ht="15.75" customHeight="1">
      <c r="D1000" s="20"/>
      <c r="G1000" s="26"/>
      <c r="H1000" s="20"/>
    </row>
  </sheetData>
  <mergeCells count="1">
    <mergeCell ref="A1:H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 customWidth="1" min="9" max="26" width="8.63"/>
  </cols>
  <sheetData>
    <row r="1" ht="27.75" customHeight="1">
      <c r="A1" s="52" t="s">
        <v>169</v>
      </c>
    </row>
    <row r="2">
      <c r="A2" s="53" t="s">
        <v>47</v>
      </c>
      <c r="B2" s="54">
        <f>IFERROR(SUM(E5:E1000)/SUM(F5:F1000),0)</f>
        <v>0.3775510204</v>
      </c>
      <c r="C2" s="16"/>
      <c r="D2" s="55" t="s">
        <v>48</v>
      </c>
      <c r="E2" s="56">
        <f>Settings!B3</f>
        <v>46266</v>
      </c>
      <c r="F2" s="16"/>
      <c r="G2" s="57"/>
      <c r="H2" s="56"/>
    </row>
    <row r="3">
      <c r="A3" s="16"/>
      <c r="B3" s="16"/>
      <c r="C3" s="16"/>
      <c r="D3" s="56"/>
      <c r="E3" s="16"/>
      <c r="F3" s="16"/>
      <c r="G3" s="57"/>
      <c r="H3" s="56"/>
    </row>
    <row r="4">
      <c r="A4" s="58" t="s">
        <v>50</v>
      </c>
      <c r="B4" s="58" t="s">
        <v>51</v>
      </c>
      <c r="C4" s="58" t="s">
        <v>36</v>
      </c>
      <c r="D4" s="59" t="s">
        <v>52</v>
      </c>
      <c r="E4" s="58" t="s">
        <v>39</v>
      </c>
      <c r="F4" s="58" t="s">
        <v>53</v>
      </c>
      <c r="G4" s="60" t="s">
        <v>54</v>
      </c>
      <c r="H4" s="59" t="s">
        <v>55</v>
      </c>
    </row>
    <row r="5">
      <c r="A5" s="63">
        <v>2.026E128</v>
      </c>
      <c r="B5" s="19" t="s">
        <v>61</v>
      </c>
      <c r="C5" s="19" t="s">
        <v>42</v>
      </c>
      <c r="D5" s="29">
        <v>46236.33333333333</v>
      </c>
      <c r="E5" s="64">
        <f>IF($A5="","",SUMPRODUCT((AttendanceLog!$E$2:$E$5000=$A5)*(AttendanceLog!$C$2:$C$5000&gt;=MAX($D5,Settings!$B$3))*((AttendanceLog!$I$2:$I$5000="")+(IFERROR(SEARCH(","&amp;$C5&amp;",",","&amp;AttendanceLog!$I$2:$I$5000&amp;","),0)&gt;0))))</f>
        <v>0</v>
      </c>
      <c r="F5" s="16">
        <f>IF($A5="","",SUMPRODUCT((EventLog!$C$2:$C$5000&gt;=MAX($D5,Settings!$B$3))*(EventLog!$C$2:$C$5000&lt;=TODAY())*((EventLog!$F$2:$F$5000="")+(IFERROR(SEARCH(","&amp;$C5&amp;",",","&amp;EventLog!$F$2:$F$5000&amp;","),0)&gt;0))))</f>
        <v>4</v>
      </c>
      <c r="G5" s="57">
        <f t="shared" ref="G5:G53" si="1">IFERROR(E5/F5,0)</f>
        <v>0</v>
      </c>
      <c r="H5" s="56" t="str">
        <f>IFERROR(__xludf.DUMMYFUNCTION("IFERROR(MAX(FILTER(AttendanceLog!$C:$C,AttendanceLog!$E:$E=$A5,(AttendanceLog!$I:$I="""")+(IFERROR(SEARCH("",""&amp;$C5&amp;"","","",""&amp;AttendanceLog!$I:$I&amp;"",""),0)&gt;0))),"""")"),"")</f>
        <v/>
      </c>
    </row>
    <row r="6">
      <c r="A6" s="53" t="s">
        <v>170</v>
      </c>
      <c r="B6" s="19" t="s">
        <v>61</v>
      </c>
      <c r="C6" s="19" t="s">
        <v>42</v>
      </c>
      <c r="D6" s="29">
        <v>46235.33333333333</v>
      </c>
      <c r="E6" s="53">
        <f>IF($A6="","",SUMPRODUCT((AttendanceLog!$E$2:$E$5000=$A6)*(AttendanceLog!$C$2:$C$5000&gt;=MAX($D6,Settings!$B$3))*((AttendanceLog!$I$2:$I$5000="")+(IFERROR(SEARCH(","&amp;$C6&amp;",",","&amp;AttendanceLog!$I$2:$I$5000&amp;","),0)&gt;0))))</f>
        <v>0</v>
      </c>
      <c r="F6" s="53">
        <f>IF($A6="","",SUMPRODUCT((EventLog!$C$2:$C$5000&gt;=MAX($D6,Settings!$B$3))*(EventLog!$C$2:$C$5000&lt;=TODAY())*((EventLog!$F$2:$F$5000="")+(IFERROR(SEARCH(","&amp;$C6&amp;",",","&amp;EventLog!$F$2:$F$5000&amp;","),0)&gt;0))))</f>
        <v>4</v>
      </c>
      <c r="G6" s="65">
        <f t="shared" si="1"/>
        <v>0</v>
      </c>
      <c r="H6" s="56" t="str">
        <f>IFERROR(__xludf.DUMMYFUNCTION("IFERROR(MAX(FILTER(AttendanceLog!$C:$C,AttendanceLog!$E:$E=$A6,(AttendanceLog!$I:$I="""")+(IFERROR(SEARCH("",""&amp;$C6&amp;"","","",""&amp;AttendanceLog!$I:$I&amp;"",""),0)&gt;0))),"""")"),"")</f>
        <v/>
      </c>
    </row>
    <row r="7">
      <c r="A7" s="53" t="s">
        <v>171</v>
      </c>
      <c r="B7" s="19" t="s">
        <v>61</v>
      </c>
      <c r="C7" s="19" t="s">
        <v>42</v>
      </c>
      <c r="D7" s="29">
        <v>46235.33333333333</v>
      </c>
      <c r="E7" s="16">
        <f>IF($A7="","",SUMPRODUCT((AttendanceLog!$E$2:$E$5000=$A7)*(AttendanceLog!$C$2:$C$5000&gt;=MAX($D7,Settings!$B$3))*((AttendanceLog!$I$2:$I$5000="")+(IFERROR(SEARCH(","&amp;$C7&amp;",",","&amp;AttendanceLog!$I$2:$I$5000&amp;","),0)&gt;0))))</f>
        <v>0</v>
      </c>
      <c r="F7" s="16">
        <f>IF($A7="","",SUMPRODUCT((EventLog!$C$2:$C$5000&gt;=MAX($D7,Settings!$B$3))*(EventLog!$C$2:$C$5000&lt;=TODAY())*((EventLog!$F$2:$F$5000="")+(IFERROR(SEARCH(","&amp;$C7&amp;",",","&amp;EventLog!$F$2:$F$5000&amp;","),0)&gt;0))))</f>
        <v>4</v>
      </c>
      <c r="G7" s="57">
        <f t="shared" si="1"/>
        <v>0</v>
      </c>
      <c r="H7" s="56" t="str">
        <f>IFERROR(__xludf.DUMMYFUNCTION("IFERROR(MAX(FILTER(AttendanceLog!$C:$C,AttendanceLog!$E:$E=$A7,(AttendanceLog!$I:$I="""")+(IFERROR(SEARCH("",""&amp;$C7&amp;"","","",""&amp;AttendanceLog!$I:$I&amp;"",""),0)&gt;0))),"""")"),"")</f>
        <v/>
      </c>
    </row>
    <row r="8">
      <c r="A8" s="53" t="s">
        <v>172</v>
      </c>
      <c r="B8" s="19" t="s">
        <v>61</v>
      </c>
      <c r="C8" s="19" t="s">
        <v>42</v>
      </c>
      <c r="D8" s="29">
        <v>46235.33333333333</v>
      </c>
      <c r="E8" s="16">
        <f>IF($A8="","",SUMPRODUCT((AttendanceLog!$E$2:$E$5000=$A8)*(AttendanceLog!$C$2:$C$5000&gt;=MAX($D8,Settings!$B$3))*((AttendanceLog!$I$2:$I$5000="")+(IFERROR(SEARCH(","&amp;$C8&amp;",",","&amp;AttendanceLog!$I$2:$I$5000&amp;","),0)&gt;0))))</f>
        <v>0</v>
      </c>
      <c r="F8" s="16">
        <f>IF($A8="","",SUMPRODUCT((EventLog!$C$2:$C$5000&gt;=MAX($D8,Settings!$B$3))*(EventLog!$C$2:$C$5000&lt;=TODAY())*((EventLog!$F$2:$F$5000="")+(IFERROR(SEARCH(","&amp;$C8&amp;",",","&amp;EventLog!$F$2:$F$5000&amp;","),0)&gt;0))))</f>
        <v>4</v>
      </c>
      <c r="G8" s="57">
        <f t="shared" si="1"/>
        <v>0</v>
      </c>
      <c r="H8" s="56" t="str">
        <f>IFERROR(__xludf.DUMMYFUNCTION("IFERROR(MAX(FILTER(AttendanceLog!$C:$C,AttendanceLog!$E:$E=$A8,(AttendanceLog!$I:$I="""")+(IFERROR(SEARCH("",""&amp;$C8&amp;"","","",""&amp;AttendanceLog!$I:$I&amp;"",""),0)&gt;0))),"""")"),"")</f>
        <v/>
      </c>
    </row>
    <row r="9">
      <c r="A9" s="53" t="s">
        <v>173</v>
      </c>
      <c r="B9" s="19" t="s">
        <v>61</v>
      </c>
      <c r="C9" s="19" t="s">
        <v>42</v>
      </c>
      <c r="D9" s="29">
        <v>46239.33333333333</v>
      </c>
      <c r="E9" s="16">
        <f>IF($A9="","",SUMPRODUCT((AttendanceLog!$E$2:$E$5000=$A9)*(AttendanceLog!$C$2:$C$5000&gt;=MAX($D9,Settings!$B$3))*((AttendanceLog!$I$2:$I$5000="")+(IFERROR(SEARCH(","&amp;$C9&amp;",",","&amp;AttendanceLog!$I$2:$I$5000&amp;","),0)&gt;0))))</f>
        <v>0</v>
      </c>
      <c r="F9" s="16">
        <f>IF($A9="","",SUMPRODUCT((EventLog!$C$2:$C$5000&gt;=MAX($D9,Settings!$B$3))*(EventLog!$C$2:$C$5000&lt;=TODAY())*((EventLog!$F$2:$F$5000="")+(IFERROR(SEARCH(","&amp;$C9&amp;",",","&amp;EventLog!$F$2:$F$5000&amp;","),0)&gt;0))))</f>
        <v>4</v>
      </c>
      <c r="G9" s="57">
        <f t="shared" si="1"/>
        <v>0</v>
      </c>
      <c r="H9" s="56" t="str">
        <f>IFERROR(__xludf.DUMMYFUNCTION("IFERROR(MAX(FILTER(AttendanceLog!$C:$C,AttendanceLog!$E:$E=$A9,(AttendanceLog!$I:$I="""")+(IFERROR(SEARCH("",""&amp;$C9&amp;"","","",""&amp;AttendanceLog!$I:$I&amp;"",""),0)&gt;0))),"""")"),"")</f>
        <v/>
      </c>
    </row>
    <row r="10">
      <c r="A10" s="53" t="s">
        <v>174</v>
      </c>
      <c r="B10" s="19" t="s">
        <v>61</v>
      </c>
      <c r="C10" s="19" t="s">
        <v>42</v>
      </c>
      <c r="D10" s="29">
        <v>46235.33333333333</v>
      </c>
      <c r="E10" s="16">
        <f>IF($A10="","",SUMPRODUCT((AttendanceLog!$E$2:$E$5000=$A10)*(AttendanceLog!$C$2:$C$5000&gt;=MAX($D10,Settings!$B$3))*((AttendanceLog!$I$2:$I$5000="")+(IFERROR(SEARCH(","&amp;$C10&amp;",",","&amp;AttendanceLog!$I$2:$I$5000&amp;","),0)&gt;0))))</f>
        <v>0</v>
      </c>
      <c r="F10" s="16">
        <f>IF($A10="","",SUMPRODUCT((EventLog!$C$2:$C$5000&gt;=MAX($D10,Settings!$B$3))*(EventLog!$C$2:$C$5000&lt;=TODAY())*((EventLog!$F$2:$F$5000="")+(IFERROR(SEARCH(","&amp;$C10&amp;",",","&amp;EventLog!$F$2:$F$5000&amp;","),0)&gt;0))))</f>
        <v>4</v>
      </c>
      <c r="G10" s="57">
        <f t="shared" si="1"/>
        <v>0</v>
      </c>
      <c r="H10" s="56" t="str">
        <f>IFERROR(__xludf.DUMMYFUNCTION("IFERROR(MAX(FILTER(AttendanceLog!$C:$C,AttendanceLog!$E:$E=$A10,(AttendanceLog!$I:$I="""")+(IFERROR(SEARCH("",""&amp;$C10&amp;"","","",""&amp;AttendanceLog!$I:$I&amp;"",""),0)&gt;0))),"""")"),"")</f>
        <v/>
      </c>
    </row>
    <row r="11">
      <c r="A11" s="53" t="s">
        <v>175</v>
      </c>
      <c r="B11" s="19" t="s">
        <v>61</v>
      </c>
      <c r="C11" s="19" t="s">
        <v>42</v>
      </c>
      <c r="D11" s="29">
        <v>46235.33333333333</v>
      </c>
      <c r="E11" s="16">
        <f>IF($A11="","",SUMPRODUCT((AttendanceLog!$E$2:$E$5000=$A11)*(AttendanceLog!$C$2:$C$5000&gt;=MAX($D11,Settings!$B$3))*((AttendanceLog!$I$2:$I$5000="")+(IFERROR(SEARCH(","&amp;$C11&amp;",",","&amp;AttendanceLog!$I$2:$I$5000&amp;","),0)&gt;0))))</f>
        <v>0</v>
      </c>
      <c r="F11" s="16">
        <f>IF($A11="","",SUMPRODUCT((EventLog!$C$2:$C$5000&gt;=MAX($D11,Settings!$B$3))*(EventLog!$C$2:$C$5000&lt;=TODAY())*((EventLog!$F$2:$F$5000="")+(IFERROR(SEARCH(","&amp;$C11&amp;",",","&amp;EventLog!$F$2:$F$5000&amp;","),0)&gt;0))))</f>
        <v>4</v>
      </c>
      <c r="G11" s="57">
        <f t="shared" si="1"/>
        <v>0</v>
      </c>
      <c r="H11" s="56" t="str">
        <f>IFERROR(__xludf.DUMMYFUNCTION("IFERROR(MAX(FILTER(AttendanceLog!$C:$C,AttendanceLog!$E:$E=$A11,(AttendanceLog!$I:$I="""")+(IFERROR(SEARCH("",""&amp;$C11&amp;"","","",""&amp;AttendanceLog!$I:$I&amp;"",""),0)&gt;0))),"""")"),"")</f>
        <v/>
      </c>
    </row>
    <row r="12">
      <c r="A12" s="53" t="s">
        <v>176</v>
      </c>
      <c r="B12" s="19" t="s">
        <v>61</v>
      </c>
      <c r="C12" s="19" t="s">
        <v>42</v>
      </c>
      <c r="D12" s="29">
        <v>46251.33333333333</v>
      </c>
      <c r="E12" s="16">
        <f>IF($A12="","",SUMPRODUCT((AttendanceLog!$E$2:$E$5000=$A12)*(AttendanceLog!$C$2:$C$5000&gt;=MAX($D12,Settings!$B$3))*((AttendanceLog!$I$2:$I$5000="")+(IFERROR(SEARCH(","&amp;$C12&amp;",",","&amp;AttendanceLog!$I$2:$I$5000&amp;","),0)&gt;0))))</f>
        <v>0</v>
      </c>
      <c r="F12" s="16">
        <f>IF($A12="","",SUMPRODUCT((EventLog!$C$2:$C$5000&gt;=MAX($D12,Settings!$B$3))*(EventLog!$C$2:$C$5000&lt;=TODAY())*((EventLog!$F$2:$F$5000="")+(IFERROR(SEARCH(","&amp;$C12&amp;",",","&amp;EventLog!$F$2:$F$5000&amp;","),0)&gt;0))))</f>
        <v>4</v>
      </c>
      <c r="G12" s="57">
        <f t="shared" si="1"/>
        <v>0</v>
      </c>
      <c r="H12" s="56" t="str">
        <f>IFERROR(__xludf.DUMMYFUNCTION("IFERROR(MAX(FILTER(AttendanceLog!$C:$C,AttendanceLog!$E:$E=$A12,(AttendanceLog!$I:$I="""")+(IFERROR(SEARCH("",""&amp;$C12&amp;"","","",""&amp;AttendanceLog!$I:$I&amp;"",""),0)&gt;0))),"""")"),"")</f>
        <v/>
      </c>
    </row>
    <row r="13">
      <c r="A13" s="53" t="s">
        <v>177</v>
      </c>
      <c r="B13" s="19" t="s">
        <v>61</v>
      </c>
      <c r="C13" s="19" t="s">
        <v>42</v>
      </c>
      <c r="D13" s="29">
        <v>46234.33333333333</v>
      </c>
      <c r="E13" s="16">
        <f>IF($A13="","",SUMPRODUCT((AttendanceLog!$E$2:$E$5000=$A13)*(AttendanceLog!$C$2:$C$5000&gt;=MAX($D13,Settings!$B$3))*((AttendanceLog!$I$2:$I$5000="")+(IFERROR(SEARCH(","&amp;$C13&amp;",",","&amp;AttendanceLog!$I$2:$I$5000&amp;","),0)&gt;0))))</f>
        <v>0</v>
      </c>
      <c r="F13" s="16">
        <f>IF($A13="","",SUMPRODUCT((EventLog!$C$2:$C$5000&gt;=MAX($D13,Settings!$B$3))*(EventLog!$C$2:$C$5000&lt;=TODAY())*((EventLog!$F$2:$F$5000="")+(IFERROR(SEARCH(","&amp;$C13&amp;",",","&amp;EventLog!$F$2:$F$5000&amp;","),0)&gt;0))))</f>
        <v>4</v>
      </c>
      <c r="G13" s="57">
        <f t="shared" si="1"/>
        <v>0</v>
      </c>
      <c r="H13" s="56" t="str">
        <f>IFERROR(__xludf.DUMMYFUNCTION("IFERROR(MAX(FILTER(AttendanceLog!$C:$C,AttendanceLog!$E:$E=$A13,(AttendanceLog!$I:$I="""")+(IFERROR(SEARCH("",""&amp;$C13&amp;"","","",""&amp;AttendanceLog!$I:$I&amp;"",""),0)&gt;0))),"""")"),"")</f>
        <v/>
      </c>
    </row>
    <row r="14">
      <c r="A14" s="53" t="s">
        <v>178</v>
      </c>
      <c r="B14" s="19" t="s">
        <v>61</v>
      </c>
      <c r="C14" s="19" t="s">
        <v>42</v>
      </c>
      <c r="D14" s="29">
        <v>46235.33333333333</v>
      </c>
      <c r="E14" s="16">
        <f>IF($A14="","",SUMPRODUCT((AttendanceLog!$E$2:$E$5000=$A14)*(AttendanceLog!$C$2:$C$5000&gt;=MAX($D14,Settings!$B$3))*((AttendanceLog!$I$2:$I$5000="")+(IFERROR(SEARCH(","&amp;$C14&amp;",",","&amp;AttendanceLog!$I$2:$I$5000&amp;","),0)&gt;0))))</f>
        <v>1</v>
      </c>
      <c r="F14" s="16">
        <f>IF($A14="","",SUMPRODUCT((EventLog!$C$2:$C$5000&gt;=MAX($D14,Settings!$B$3))*(EventLog!$C$2:$C$5000&lt;=TODAY())*((EventLog!$F$2:$F$5000="")+(IFERROR(SEARCH(","&amp;$C14&amp;",",","&amp;EventLog!$F$2:$F$5000&amp;","),0)&gt;0))))</f>
        <v>4</v>
      </c>
      <c r="G14" s="57">
        <f t="shared" si="1"/>
        <v>0.25</v>
      </c>
      <c r="H14" s="56">
        <f>IFERROR(__xludf.DUMMYFUNCTION("IFERROR(MAX(FILTER(AttendanceLog!$C:$C,AttendanceLog!$E:$E=$A14,(AttendanceLog!$I:$I="""")+(IFERROR(SEARCH("",""&amp;$C14&amp;"","","",""&amp;AttendanceLog!$I:$I&amp;"",""),0)&gt;0))),"""")"),46304.0)</f>
        <v>46304</v>
      </c>
    </row>
    <row r="15">
      <c r="A15" s="53" t="s">
        <v>179</v>
      </c>
      <c r="B15" s="19" t="s">
        <v>61</v>
      </c>
      <c r="C15" s="19" t="s">
        <v>42</v>
      </c>
      <c r="D15" s="29">
        <v>46238.33333333333</v>
      </c>
      <c r="E15" s="16">
        <f>IF($A15="","",SUMPRODUCT((AttendanceLog!$E$2:$E$5000=$A15)*(AttendanceLog!$C$2:$C$5000&gt;=MAX($D15,Settings!$B$3))*((AttendanceLog!$I$2:$I$5000="")+(IFERROR(SEARCH(","&amp;$C15&amp;",",","&amp;AttendanceLog!$I$2:$I$5000&amp;","),0)&gt;0))))</f>
        <v>0</v>
      </c>
      <c r="F15" s="16">
        <f>IF($A15="","",SUMPRODUCT((EventLog!$C$2:$C$5000&gt;=MAX($D15,Settings!$B$3))*(EventLog!$C$2:$C$5000&lt;=TODAY())*((EventLog!$F$2:$F$5000="")+(IFERROR(SEARCH(","&amp;$C15&amp;",",","&amp;EventLog!$F$2:$F$5000&amp;","),0)&gt;0))))</f>
        <v>4</v>
      </c>
      <c r="G15" s="57">
        <f t="shared" si="1"/>
        <v>0</v>
      </c>
      <c r="H15" s="56" t="str">
        <f>IFERROR(__xludf.DUMMYFUNCTION("IFERROR(MAX(FILTER(AttendanceLog!$C:$C,AttendanceLog!$E:$E=$A15,(AttendanceLog!$I:$I="""")+(IFERROR(SEARCH("",""&amp;$C15&amp;"","","",""&amp;AttendanceLog!$I:$I&amp;"",""),0)&gt;0))),"""")"),"")</f>
        <v/>
      </c>
    </row>
    <row r="16">
      <c r="A16" s="53" t="s">
        <v>180</v>
      </c>
      <c r="B16" s="19" t="s">
        <v>61</v>
      </c>
      <c r="C16" s="19" t="s">
        <v>42</v>
      </c>
      <c r="D16" s="29">
        <v>46235.33333333333</v>
      </c>
      <c r="E16" s="16">
        <f>IF($A16="","",SUMPRODUCT((AttendanceLog!$E$2:$E$5000=$A16)*(AttendanceLog!$C$2:$C$5000&gt;=MAX($D16,Settings!$B$3))*((AttendanceLog!$I$2:$I$5000="")+(IFERROR(SEARCH(","&amp;$C16&amp;",",","&amp;AttendanceLog!$I$2:$I$5000&amp;","),0)&gt;0))))</f>
        <v>0</v>
      </c>
      <c r="F16" s="16">
        <f>IF($A16="","",SUMPRODUCT((EventLog!$C$2:$C$5000&gt;=MAX($D16,Settings!$B$3))*(EventLog!$C$2:$C$5000&lt;=TODAY())*((EventLog!$F$2:$F$5000="")+(IFERROR(SEARCH(","&amp;$C16&amp;",",","&amp;EventLog!$F$2:$F$5000&amp;","),0)&gt;0))))</f>
        <v>4</v>
      </c>
      <c r="G16" s="57">
        <f t="shared" si="1"/>
        <v>0</v>
      </c>
      <c r="H16" s="56" t="str">
        <f>IFERROR(__xludf.DUMMYFUNCTION("IFERROR(MAX(FILTER(AttendanceLog!$C:$C,AttendanceLog!$E:$E=$A16,(AttendanceLog!$I:$I="""")+(IFERROR(SEARCH("",""&amp;$C16&amp;"","","",""&amp;AttendanceLog!$I:$I&amp;"",""),0)&gt;0))),"""")"),"")</f>
        <v/>
      </c>
    </row>
    <row r="17">
      <c r="A17" s="53" t="s">
        <v>181</v>
      </c>
      <c r="B17" s="19" t="s">
        <v>61</v>
      </c>
      <c r="C17" s="19" t="s">
        <v>42</v>
      </c>
      <c r="D17" s="29">
        <v>46246.33333333333</v>
      </c>
      <c r="E17" s="16">
        <f>IF($A17="","",SUMPRODUCT((AttendanceLog!$E$2:$E$5000=$A17)*(AttendanceLog!$C$2:$C$5000&gt;=MAX($D17,Settings!$B$3))*((AttendanceLog!$I$2:$I$5000="")+(IFERROR(SEARCH(","&amp;$C17&amp;",",","&amp;AttendanceLog!$I$2:$I$5000&amp;","),0)&gt;0))))</f>
        <v>0</v>
      </c>
      <c r="F17" s="16">
        <f>IF($A17="","",SUMPRODUCT((EventLog!$C$2:$C$5000&gt;=MAX($D17,Settings!$B$3))*(EventLog!$C$2:$C$5000&lt;=TODAY())*((EventLog!$F$2:$F$5000="")+(IFERROR(SEARCH(","&amp;$C17&amp;",",","&amp;EventLog!$F$2:$F$5000&amp;","),0)&gt;0))))</f>
        <v>4</v>
      </c>
      <c r="G17" s="57">
        <f t="shared" si="1"/>
        <v>0</v>
      </c>
      <c r="H17" s="56" t="str">
        <f>IFERROR(__xludf.DUMMYFUNCTION("IFERROR(MAX(FILTER(AttendanceLog!$C:$C,AttendanceLog!$E:$E=$A17,(AttendanceLog!$I:$I="""")+(IFERROR(SEARCH("",""&amp;$C17&amp;"","","",""&amp;AttendanceLog!$I:$I&amp;"",""),0)&gt;0))),"""")"),"")</f>
        <v/>
      </c>
    </row>
    <row r="18">
      <c r="A18" s="53" t="s">
        <v>182</v>
      </c>
      <c r="B18" s="19" t="s">
        <v>61</v>
      </c>
      <c r="C18" s="19" t="s">
        <v>42</v>
      </c>
      <c r="D18" s="29">
        <v>46252.33333333333</v>
      </c>
      <c r="E18" s="16">
        <f>IF($A18="","",SUMPRODUCT((AttendanceLog!$E$2:$E$5000=$A18)*(AttendanceLog!$C$2:$C$5000&gt;=MAX($D18,Settings!$B$3))*((AttendanceLog!$I$2:$I$5000="")+(IFERROR(SEARCH(","&amp;$C18&amp;",",","&amp;AttendanceLog!$I$2:$I$5000&amp;","),0)&gt;0))))</f>
        <v>0</v>
      </c>
      <c r="F18" s="16">
        <f>IF($A18="","",SUMPRODUCT((EventLog!$C$2:$C$5000&gt;=MAX($D18,Settings!$B$3))*(EventLog!$C$2:$C$5000&lt;=TODAY())*((EventLog!$F$2:$F$5000="")+(IFERROR(SEARCH(","&amp;$C18&amp;",",","&amp;EventLog!$F$2:$F$5000&amp;","),0)&gt;0))))</f>
        <v>4</v>
      </c>
      <c r="G18" s="57">
        <f t="shared" si="1"/>
        <v>0</v>
      </c>
      <c r="H18" s="56" t="str">
        <f>IFERROR(__xludf.DUMMYFUNCTION("IFERROR(MAX(FILTER(AttendanceLog!$C:$C,AttendanceLog!$E:$E=$A18,(AttendanceLog!$I:$I="""")+(IFERROR(SEARCH("",""&amp;$C18&amp;"","","",""&amp;AttendanceLog!$I:$I&amp;"",""),0)&gt;0))),"""")"),"")</f>
        <v/>
      </c>
    </row>
    <row r="19">
      <c r="A19" s="53" t="s">
        <v>183</v>
      </c>
      <c r="B19" s="19" t="s">
        <v>61</v>
      </c>
      <c r="C19" s="19" t="s">
        <v>42</v>
      </c>
      <c r="D19" s="29">
        <v>46245.33333333333</v>
      </c>
      <c r="E19" s="16">
        <f>IF($A19="","",SUMPRODUCT((AttendanceLog!$E$2:$E$5000=$A19)*(AttendanceLog!$C$2:$C$5000&gt;=MAX($D19,Settings!$B$3))*((AttendanceLog!$I$2:$I$5000="")+(IFERROR(SEARCH(","&amp;$C19&amp;",",","&amp;AttendanceLog!$I$2:$I$5000&amp;","),0)&gt;0))))</f>
        <v>1</v>
      </c>
      <c r="F19" s="16">
        <f>IF($A19="","",SUMPRODUCT((EventLog!$C$2:$C$5000&gt;=MAX($D19,Settings!$B$3))*(EventLog!$C$2:$C$5000&lt;=TODAY())*((EventLog!$F$2:$F$5000="")+(IFERROR(SEARCH(","&amp;$C19&amp;",",","&amp;EventLog!$F$2:$F$5000&amp;","),0)&gt;0))))</f>
        <v>4</v>
      </c>
      <c r="G19" s="57">
        <f t="shared" si="1"/>
        <v>0.25</v>
      </c>
      <c r="H19" s="56">
        <f>IFERROR(__xludf.DUMMYFUNCTION("IFERROR(MAX(FILTER(AttendanceLog!$C:$C,AttendanceLog!$E:$E=$A19,(AttendanceLog!$I:$I="""")+(IFERROR(SEARCH("",""&amp;$C19&amp;"","","",""&amp;AttendanceLog!$I:$I&amp;"",""),0)&gt;0))),"""")"),46305.33333333333)</f>
        <v>46305.33333</v>
      </c>
    </row>
    <row r="20">
      <c r="A20" s="53" t="s">
        <v>184</v>
      </c>
      <c r="B20" s="19" t="s">
        <v>61</v>
      </c>
      <c r="C20" s="19" t="s">
        <v>42</v>
      </c>
      <c r="D20" s="29">
        <v>46248.33333333333</v>
      </c>
      <c r="E20" s="16">
        <f>IF($A20="","",SUMPRODUCT((AttendanceLog!$E$2:$E$5000=$A20)*(AttendanceLog!$C$2:$C$5000&gt;=MAX($D20,Settings!$B$3))*((AttendanceLog!$I$2:$I$5000="")+(IFERROR(SEARCH(","&amp;$C20&amp;",",","&amp;AttendanceLog!$I$2:$I$5000&amp;","),0)&gt;0))))</f>
        <v>4</v>
      </c>
      <c r="F20" s="16">
        <f>IF($A20="","",SUMPRODUCT((EventLog!$C$2:$C$5000&gt;=MAX($D20,Settings!$B$3))*(EventLog!$C$2:$C$5000&lt;=TODAY())*((EventLog!$F$2:$F$5000="")+(IFERROR(SEARCH(","&amp;$C20&amp;",",","&amp;EventLog!$F$2:$F$5000&amp;","),0)&gt;0))))</f>
        <v>4</v>
      </c>
      <c r="G20" s="57">
        <f t="shared" si="1"/>
        <v>1</v>
      </c>
      <c r="H20" s="56">
        <f>IFERROR(__xludf.DUMMYFUNCTION("IFERROR(MAX(FILTER(AttendanceLog!$C:$C,AttendanceLog!$E:$E=$A20,(AttendanceLog!$I:$I="""")+(IFERROR(SEARCH("",""&amp;$C20&amp;"","","",""&amp;AttendanceLog!$I:$I&amp;"",""),0)&gt;0))),"""")"),46306.0)</f>
        <v>46306</v>
      </c>
    </row>
    <row r="21" ht="15.75" customHeight="1">
      <c r="A21" s="53" t="s">
        <v>185</v>
      </c>
      <c r="B21" s="19" t="s">
        <v>61</v>
      </c>
      <c r="C21" s="19" t="s">
        <v>42</v>
      </c>
      <c r="D21" s="29">
        <v>46250.33333333333</v>
      </c>
      <c r="E21" s="16">
        <f>IF($A21="","",SUMPRODUCT((AttendanceLog!$E$2:$E$5000=$A21)*(AttendanceLog!$C$2:$C$5000&gt;=MAX($D21,Settings!$B$3))*((AttendanceLog!$I$2:$I$5000="")+(IFERROR(SEARCH(","&amp;$C21&amp;",",","&amp;AttendanceLog!$I$2:$I$5000&amp;","),0)&gt;0))))</f>
        <v>2</v>
      </c>
      <c r="F21" s="16">
        <f>IF($A21="","",SUMPRODUCT((EventLog!$C$2:$C$5000&gt;=MAX($D21,Settings!$B$3))*(EventLog!$C$2:$C$5000&lt;=TODAY())*((EventLog!$F$2:$F$5000="")+(IFERROR(SEARCH(","&amp;$C21&amp;",",","&amp;EventLog!$F$2:$F$5000&amp;","),0)&gt;0))))</f>
        <v>4</v>
      </c>
      <c r="G21" s="57">
        <f t="shared" si="1"/>
        <v>0.5</v>
      </c>
      <c r="H21" s="56">
        <f>IFERROR(__xludf.DUMMYFUNCTION("IFERROR(MAX(FILTER(AttendanceLog!$C:$C,AttendanceLog!$E:$E=$A21,(AttendanceLog!$I:$I="""")+(IFERROR(SEARCH("",""&amp;$C21&amp;"","","",""&amp;AttendanceLog!$I:$I&amp;"",""),0)&gt;0))),"""")"),46304.0)</f>
        <v>46304</v>
      </c>
    </row>
    <row r="22" ht="15.75" customHeight="1">
      <c r="A22" s="53" t="s">
        <v>186</v>
      </c>
      <c r="B22" s="19" t="s">
        <v>61</v>
      </c>
      <c r="C22" s="19" t="s">
        <v>42</v>
      </c>
      <c r="D22" s="29">
        <v>46235.33333333333</v>
      </c>
      <c r="E22" s="16">
        <f>IF($A22="","",SUMPRODUCT((AttendanceLog!$E$2:$E$5000=$A22)*(AttendanceLog!$C$2:$C$5000&gt;=MAX($D22,Settings!$B$3))*((AttendanceLog!$I$2:$I$5000="")+(IFERROR(SEARCH(","&amp;$C22&amp;",",","&amp;AttendanceLog!$I$2:$I$5000&amp;","),0)&gt;0))))</f>
        <v>0</v>
      </c>
      <c r="F22" s="16">
        <f>IF($A22="","",SUMPRODUCT((EventLog!$C$2:$C$5000&gt;=MAX($D22,Settings!$B$3))*(EventLog!$C$2:$C$5000&lt;=TODAY())*((EventLog!$F$2:$F$5000="")+(IFERROR(SEARCH(","&amp;$C22&amp;",",","&amp;EventLog!$F$2:$F$5000&amp;","),0)&gt;0))))</f>
        <v>4</v>
      </c>
      <c r="G22" s="57">
        <f t="shared" si="1"/>
        <v>0</v>
      </c>
      <c r="H22" s="56" t="str">
        <f>IFERROR(__xludf.DUMMYFUNCTION("IFERROR(MAX(FILTER(AttendanceLog!$C:$C,AttendanceLog!$E:$E=$A22,(AttendanceLog!$I:$I="""")+(IFERROR(SEARCH("",""&amp;$C22&amp;"","","",""&amp;AttendanceLog!$I:$I&amp;"",""),0)&gt;0))),"""")"),"")</f>
        <v/>
      </c>
    </row>
    <row r="23" ht="15.75" customHeight="1">
      <c r="A23" s="53" t="s">
        <v>187</v>
      </c>
      <c r="B23" s="19" t="s">
        <v>61</v>
      </c>
      <c r="C23" s="19" t="s">
        <v>42</v>
      </c>
      <c r="D23" s="29">
        <v>46235.33333333333</v>
      </c>
      <c r="E23" s="16">
        <f>IF($A23="","",SUMPRODUCT((AttendanceLog!$E$2:$E$5000=$A23)*(AttendanceLog!$C$2:$C$5000&gt;=MAX($D23,Settings!$B$3))*((AttendanceLog!$I$2:$I$5000="")+(IFERROR(SEARCH(","&amp;$C23&amp;",",","&amp;AttendanceLog!$I$2:$I$5000&amp;","),0)&gt;0))))</f>
        <v>2</v>
      </c>
      <c r="F23" s="16">
        <f>IF($A23="","",SUMPRODUCT((EventLog!$C$2:$C$5000&gt;=MAX($D23,Settings!$B$3))*(EventLog!$C$2:$C$5000&lt;=TODAY())*((EventLog!$F$2:$F$5000="")+(IFERROR(SEARCH(","&amp;$C23&amp;",",","&amp;EventLog!$F$2:$F$5000&amp;","),0)&gt;0))))</f>
        <v>4</v>
      </c>
      <c r="G23" s="57">
        <f t="shared" si="1"/>
        <v>0.5</v>
      </c>
      <c r="H23" s="56">
        <f>IFERROR(__xludf.DUMMYFUNCTION("IFERROR(MAX(FILTER(AttendanceLog!$C:$C,AttendanceLog!$E:$E=$A23,(AttendanceLog!$I:$I="""")+(IFERROR(SEARCH("",""&amp;$C23&amp;"","","",""&amp;AttendanceLog!$I:$I&amp;"",""),0)&gt;0))),"""")"),46305.33333333333)</f>
        <v>46305.33333</v>
      </c>
    </row>
    <row r="24" ht="15.75" customHeight="1">
      <c r="A24" s="53" t="s">
        <v>188</v>
      </c>
      <c r="B24" s="53" t="s">
        <v>61</v>
      </c>
      <c r="C24" s="53" t="s">
        <v>42</v>
      </c>
      <c r="D24" s="55">
        <v>46242.33333333333</v>
      </c>
      <c r="E24" s="16">
        <f>IF($A24="","",SUMPRODUCT((AttendanceLog!$E$2:$E$5000=$A24)*(AttendanceLog!$C$2:$C$5000&gt;=MAX($D24,Settings!$B$3))*((AttendanceLog!$I$2:$I$5000="")+(IFERROR(SEARCH(","&amp;$C24&amp;",",","&amp;AttendanceLog!$I$2:$I$5000&amp;","),0)&gt;0))))</f>
        <v>1</v>
      </c>
      <c r="F24" s="16">
        <f>IF($A24="","",SUMPRODUCT((EventLog!$C$2:$C$5000&gt;=MAX($D24,Settings!$B$3))*(EventLog!$C$2:$C$5000&lt;=TODAY())*((EventLog!$F$2:$F$5000="")+(IFERROR(SEARCH(","&amp;$C24&amp;",",","&amp;EventLog!$F$2:$F$5000&amp;","),0)&gt;0))))</f>
        <v>4</v>
      </c>
      <c r="G24" s="57">
        <f t="shared" si="1"/>
        <v>0.25</v>
      </c>
      <c r="H24" s="56">
        <f>IFERROR(__xludf.DUMMYFUNCTION("IFERROR(MAX(FILTER(AttendanceLog!$C:$C,AttendanceLog!$E:$E=$A24,(AttendanceLog!$I:$I="""")+(IFERROR(SEARCH("",""&amp;$C24&amp;"","","",""&amp;AttendanceLog!$I:$I&amp;"",""),0)&gt;0))),"""")"),46304.0)</f>
        <v>46304</v>
      </c>
    </row>
    <row r="25" ht="15.75" customHeight="1">
      <c r="A25" s="53" t="s">
        <v>189</v>
      </c>
      <c r="B25" s="53" t="s">
        <v>61</v>
      </c>
      <c r="C25" s="53" t="s">
        <v>42</v>
      </c>
      <c r="D25" s="55">
        <v>46235.33333333333</v>
      </c>
      <c r="E25" s="16">
        <f>IF($A25="","",SUMPRODUCT((AttendanceLog!$E$2:$E$5000=$A25)*(AttendanceLog!$C$2:$C$5000&gt;=MAX($D25,Settings!$B$3))*((AttendanceLog!$I$2:$I$5000="")+(IFERROR(SEARCH(","&amp;$C25&amp;",",","&amp;AttendanceLog!$I$2:$I$5000&amp;","),0)&gt;0))))</f>
        <v>4</v>
      </c>
      <c r="F25" s="16">
        <f>IF($A25="","",SUMPRODUCT((EventLog!$C$2:$C$5000&gt;=MAX($D25,Settings!$B$3))*(EventLog!$C$2:$C$5000&lt;=TODAY())*((EventLog!$F$2:$F$5000="")+(IFERROR(SEARCH(","&amp;$C25&amp;",",","&amp;EventLog!$F$2:$F$5000&amp;","),0)&gt;0))))</f>
        <v>4</v>
      </c>
      <c r="G25" s="57">
        <f t="shared" si="1"/>
        <v>1</v>
      </c>
      <c r="H25" s="56">
        <f>IFERROR(__xludf.DUMMYFUNCTION("IFERROR(MAX(FILTER(AttendanceLog!$C:$C,AttendanceLog!$E:$E=$A25,(AttendanceLog!$I:$I="""")+(IFERROR(SEARCH("",""&amp;$C25&amp;"","","",""&amp;AttendanceLog!$I:$I&amp;"",""),0)&gt;0))),"""")"),46306.0)</f>
        <v>46306</v>
      </c>
    </row>
    <row r="26" ht="15.75" customHeight="1">
      <c r="A26" s="53" t="s">
        <v>190</v>
      </c>
      <c r="B26" s="53" t="s">
        <v>61</v>
      </c>
      <c r="C26" s="53" t="s">
        <v>42</v>
      </c>
      <c r="D26" s="55">
        <v>46235.33333333333</v>
      </c>
      <c r="E26" s="16">
        <f>IF($A26="","",SUMPRODUCT((AttendanceLog!$E$2:$E$5000=$A26)*(AttendanceLog!$C$2:$C$5000&gt;=MAX($D26,Settings!$B$3))*((AttendanceLog!$I$2:$I$5000="")+(IFERROR(SEARCH(","&amp;$C26&amp;",",","&amp;AttendanceLog!$I$2:$I$5000&amp;","),0)&gt;0))))</f>
        <v>3</v>
      </c>
      <c r="F26" s="16">
        <f>IF($A26="","",SUMPRODUCT((EventLog!$C$2:$C$5000&gt;=MAX($D26,Settings!$B$3))*(EventLog!$C$2:$C$5000&lt;=TODAY())*((EventLog!$F$2:$F$5000="")+(IFERROR(SEARCH(","&amp;$C26&amp;",",","&amp;EventLog!$F$2:$F$5000&amp;","),0)&gt;0))))</f>
        <v>4</v>
      </c>
      <c r="G26" s="57">
        <f t="shared" si="1"/>
        <v>0.75</v>
      </c>
      <c r="H26" s="56">
        <f>IFERROR(__xludf.DUMMYFUNCTION("IFERROR(MAX(FILTER(AttendanceLog!$C:$C,AttendanceLog!$E:$E=$A26,(AttendanceLog!$I:$I="""")+(IFERROR(SEARCH("",""&amp;$C26&amp;"","","",""&amp;AttendanceLog!$I:$I&amp;"",""),0)&gt;0))),"""")"),46306.0)</f>
        <v>46306</v>
      </c>
    </row>
    <row r="27" ht="15.75" customHeight="1">
      <c r="A27" s="53" t="s">
        <v>191</v>
      </c>
      <c r="B27" s="53" t="s">
        <v>61</v>
      </c>
      <c r="C27" s="53" t="s">
        <v>42</v>
      </c>
      <c r="D27" s="55">
        <v>46235.33333333333</v>
      </c>
      <c r="E27" s="16">
        <f>IF($A27="","",SUMPRODUCT((AttendanceLog!$E$2:$E$5000=$A27)*(AttendanceLog!$C$2:$C$5000&gt;=MAX($D27,Settings!$B$3))*((AttendanceLog!$I$2:$I$5000="")+(IFERROR(SEARCH(","&amp;$C27&amp;",",","&amp;AttendanceLog!$I$2:$I$5000&amp;","),0)&gt;0))))</f>
        <v>3</v>
      </c>
      <c r="F27" s="16">
        <f>IF($A27="","",SUMPRODUCT((EventLog!$C$2:$C$5000&gt;=MAX($D27,Settings!$B$3))*(EventLog!$C$2:$C$5000&lt;=TODAY())*((EventLog!$F$2:$F$5000="")+(IFERROR(SEARCH(","&amp;$C27&amp;",",","&amp;EventLog!$F$2:$F$5000&amp;","),0)&gt;0))))</f>
        <v>4</v>
      </c>
      <c r="G27" s="57">
        <f t="shared" si="1"/>
        <v>0.75</v>
      </c>
      <c r="H27" s="56">
        <f>IFERROR(__xludf.DUMMYFUNCTION("IFERROR(MAX(FILTER(AttendanceLog!$C:$C,AttendanceLog!$E:$E=$A27,(AttendanceLog!$I:$I="""")+(IFERROR(SEARCH("",""&amp;$C27&amp;"","","",""&amp;AttendanceLog!$I:$I&amp;"",""),0)&gt;0))),"""")"),46305.33333333333)</f>
        <v>46305.33333</v>
      </c>
    </row>
    <row r="28" ht="15.75" customHeight="1">
      <c r="A28" s="53" t="s">
        <v>192</v>
      </c>
      <c r="B28" s="53" t="s">
        <v>61</v>
      </c>
      <c r="C28" s="53" t="s">
        <v>42</v>
      </c>
      <c r="D28" s="55">
        <v>46235.33333333333</v>
      </c>
      <c r="E28" s="16">
        <f>IF($A28="","",SUMPRODUCT((AttendanceLog!$E$2:$E$5000=$A28)*(AttendanceLog!$C$2:$C$5000&gt;=MAX($D28,Settings!$B$3))*((AttendanceLog!$I$2:$I$5000="")+(IFERROR(SEARCH(","&amp;$C28&amp;",",","&amp;AttendanceLog!$I$2:$I$5000&amp;","),0)&gt;0))))</f>
        <v>0</v>
      </c>
      <c r="F28" s="16">
        <f>IF($A28="","",SUMPRODUCT((EventLog!$C$2:$C$5000&gt;=MAX($D28,Settings!$B$3))*(EventLog!$C$2:$C$5000&lt;=TODAY())*((EventLog!$F$2:$F$5000="")+(IFERROR(SEARCH(","&amp;$C28&amp;",",","&amp;EventLog!$F$2:$F$5000&amp;","),0)&gt;0))))</f>
        <v>4</v>
      </c>
      <c r="G28" s="57">
        <f t="shared" si="1"/>
        <v>0</v>
      </c>
      <c r="H28" s="56" t="str">
        <f>IFERROR(__xludf.DUMMYFUNCTION("IFERROR(MAX(FILTER(AttendanceLog!$C:$C,AttendanceLog!$E:$E=$A28,(AttendanceLog!$I:$I="""")+(IFERROR(SEARCH("",""&amp;$C28&amp;"","","",""&amp;AttendanceLog!$I:$I&amp;"",""),0)&gt;0))),"""")"),"")</f>
        <v/>
      </c>
    </row>
    <row r="29" ht="15.75" customHeight="1">
      <c r="A29" s="53" t="s">
        <v>193</v>
      </c>
      <c r="B29" s="53" t="s">
        <v>61</v>
      </c>
      <c r="C29" s="53" t="s">
        <v>42</v>
      </c>
      <c r="D29" s="55">
        <v>46235.33333333333</v>
      </c>
      <c r="E29" s="16">
        <f>IF($A29="","",SUMPRODUCT((AttendanceLog!$E$2:$E$5000=$A29)*(AttendanceLog!$C$2:$C$5000&gt;=MAX($D29,Settings!$B$3))*((AttendanceLog!$I$2:$I$5000="")+(IFERROR(SEARCH(","&amp;$C29&amp;",",","&amp;AttendanceLog!$I$2:$I$5000&amp;","),0)&gt;0))))</f>
        <v>3</v>
      </c>
      <c r="F29" s="16">
        <f>IF($A29="","",SUMPRODUCT((EventLog!$C$2:$C$5000&gt;=MAX($D29,Settings!$B$3))*(EventLog!$C$2:$C$5000&lt;=TODAY())*((EventLog!$F$2:$F$5000="")+(IFERROR(SEARCH(","&amp;$C29&amp;",",","&amp;EventLog!$F$2:$F$5000&amp;","),0)&gt;0))))</f>
        <v>4</v>
      </c>
      <c r="G29" s="57">
        <f t="shared" si="1"/>
        <v>0.75</v>
      </c>
      <c r="H29" s="56">
        <f>IFERROR(__xludf.DUMMYFUNCTION("IFERROR(MAX(FILTER(AttendanceLog!$C:$C,AttendanceLog!$E:$E=$A29,(AttendanceLog!$I:$I="""")+(IFERROR(SEARCH("",""&amp;$C29&amp;"","","",""&amp;AttendanceLog!$I:$I&amp;"",""),0)&gt;0))),"""")"),46306.0)</f>
        <v>46306</v>
      </c>
    </row>
    <row r="30" ht="15.75" customHeight="1">
      <c r="A30" s="53" t="s">
        <v>194</v>
      </c>
      <c r="B30" s="53" t="s">
        <v>61</v>
      </c>
      <c r="C30" s="53" t="s">
        <v>42</v>
      </c>
      <c r="D30" s="55">
        <v>46235.33333333333</v>
      </c>
      <c r="E30" s="16">
        <f>IF($A30="","",SUMPRODUCT((AttendanceLog!$E$2:$E$5000=$A30)*(AttendanceLog!$C$2:$C$5000&gt;=MAX($D30,Settings!$B$3))*((AttendanceLog!$I$2:$I$5000="")+(IFERROR(SEARCH(","&amp;$C30&amp;",",","&amp;AttendanceLog!$I$2:$I$5000&amp;","),0)&gt;0))))</f>
        <v>2</v>
      </c>
      <c r="F30" s="16">
        <f>IF($A30="","",SUMPRODUCT((EventLog!$C$2:$C$5000&gt;=MAX($D30,Settings!$B$3))*(EventLog!$C$2:$C$5000&lt;=TODAY())*((EventLog!$F$2:$F$5000="")+(IFERROR(SEARCH(","&amp;$C30&amp;",",","&amp;EventLog!$F$2:$F$5000&amp;","),0)&gt;0))))</f>
        <v>4</v>
      </c>
      <c r="G30" s="57">
        <f t="shared" si="1"/>
        <v>0.5</v>
      </c>
      <c r="H30" s="56">
        <f>IFERROR(__xludf.DUMMYFUNCTION("IFERROR(MAX(FILTER(AttendanceLog!$C:$C,AttendanceLog!$E:$E=$A30,(AttendanceLog!$I:$I="""")+(IFERROR(SEARCH("",""&amp;$C30&amp;"","","",""&amp;AttendanceLog!$I:$I&amp;"",""),0)&gt;0))),"""")"),46305.33333333333)</f>
        <v>46305.33333</v>
      </c>
    </row>
    <row r="31" ht="15.75" customHeight="1">
      <c r="A31" s="53" t="s">
        <v>195</v>
      </c>
      <c r="B31" s="53" t="s">
        <v>61</v>
      </c>
      <c r="C31" s="53" t="s">
        <v>42</v>
      </c>
      <c r="D31" s="55">
        <v>46235.33333333333</v>
      </c>
      <c r="E31" s="16">
        <f>IF($A31="","",SUMPRODUCT((AttendanceLog!$E$2:$E$5000=$A31)*(AttendanceLog!$C$2:$C$5000&gt;=MAX($D31,Settings!$B$3))*((AttendanceLog!$I$2:$I$5000="")+(IFERROR(SEARCH(","&amp;$C31&amp;",",","&amp;AttendanceLog!$I$2:$I$5000&amp;","),0)&gt;0))))</f>
        <v>2</v>
      </c>
      <c r="F31" s="16">
        <f>IF($A31="","",SUMPRODUCT((EventLog!$C$2:$C$5000&gt;=MAX($D31,Settings!$B$3))*(EventLog!$C$2:$C$5000&lt;=TODAY())*((EventLog!$F$2:$F$5000="")+(IFERROR(SEARCH(","&amp;$C31&amp;",",","&amp;EventLog!$F$2:$F$5000&amp;","),0)&gt;0))))</f>
        <v>4</v>
      </c>
      <c r="G31" s="57">
        <f t="shared" si="1"/>
        <v>0.5</v>
      </c>
      <c r="H31" s="56">
        <f>IFERROR(__xludf.DUMMYFUNCTION("IFERROR(MAX(FILTER(AttendanceLog!$C:$C,AttendanceLog!$E:$E=$A31,(AttendanceLog!$I:$I="""")+(IFERROR(SEARCH("",""&amp;$C31&amp;"","","",""&amp;AttendanceLog!$I:$I&amp;"",""),0)&gt;0))),"""")"),46305.33333333333)</f>
        <v>46305.33333</v>
      </c>
    </row>
    <row r="32" ht="15.75" customHeight="1">
      <c r="A32" s="53" t="s">
        <v>196</v>
      </c>
      <c r="B32" s="53" t="s">
        <v>61</v>
      </c>
      <c r="C32" s="53" t="s">
        <v>42</v>
      </c>
      <c r="D32" s="55">
        <v>46243.33333333333</v>
      </c>
      <c r="E32" s="16">
        <f>IF($A32="","",SUMPRODUCT((AttendanceLog!$E$2:$E$5000=$A32)*(AttendanceLog!$C$2:$C$5000&gt;=MAX($D32,Settings!$B$3))*((AttendanceLog!$I$2:$I$5000="")+(IFERROR(SEARCH(","&amp;$C32&amp;",",","&amp;AttendanceLog!$I$2:$I$5000&amp;","),0)&gt;0))))</f>
        <v>3</v>
      </c>
      <c r="F32" s="16">
        <f>IF($A32="","",SUMPRODUCT((EventLog!$C$2:$C$5000&gt;=MAX($D32,Settings!$B$3))*(EventLog!$C$2:$C$5000&lt;=TODAY())*((EventLog!$F$2:$F$5000="")+(IFERROR(SEARCH(","&amp;$C32&amp;",",","&amp;EventLog!$F$2:$F$5000&amp;","),0)&gt;0))))</f>
        <v>4</v>
      </c>
      <c r="G32" s="57">
        <f t="shared" si="1"/>
        <v>0.75</v>
      </c>
      <c r="H32" s="56">
        <f>IFERROR(__xludf.DUMMYFUNCTION("IFERROR(MAX(FILTER(AttendanceLog!$C:$C,AttendanceLog!$E:$E=$A32,(AttendanceLog!$I:$I="""")+(IFERROR(SEARCH("",""&amp;$C32&amp;"","","",""&amp;AttendanceLog!$I:$I&amp;"",""),0)&gt;0))),"""")"),46306.0)</f>
        <v>46306</v>
      </c>
    </row>
    <row r="33" ht="15.75" customHeight="1">
      <c r="A33" s="53" t="s">
        <v>197</v>
      </c>
      <c r="B33" s="53" t="s">
        <v>61</v>
      </c>
      <c r="C33" s="53" t="s">
        <v>42</v>
      </c>
      <c r="D33" s="55">
        <v>46235.33333333333</v>
      </c>
      <c r="E33" s="16">
        <f>IF($A33="","",SUMPRODUCT((AttendanceLog!$E$2:$E$5000=$A33)*(AttendanceLog!$C$2:$C$5000&gt;=MAX($D33,Settings!$B$3))*((AttendanceLog!$I$2:$I$5000="")+(IFERROR(SEARCH(","&amp;$C33&amp;",",","&amp;AttendanceLog!$I$2:$I$5000&amp;","),0)&gt;0))))</f>
        <v>0</v>
      </c>
      <c r="F33" s="16">
        <f>IF($A33="","",SUMPRODUCT((EventLog!$C$2:$C$5000&gt;=MAX($D33,Settings!$B$3))*(EventLog!$C$2:$C$5000&lt;=TODAY())*((EventLog!$F$2:$F$5000="")+(IFERROR(SEARCH(","&amp;$C33&amp;",",","&amp;EventLog!$F$2:$F$5000&amp;","),0)&gt;0))))</f>
        <v>4</v>
      </c>
      <c r="G33" s="57">
        <f t="shared" si="1"/>
        <v>0</v>
      </c>
      <c r="H33" s="56" t="str">
        <f>IFERROR(__xludf.DUMMYFUNCTION("IFERROR(MAX(FILTER(AttendanceLog!$C:$C,AttendanceLog!$E:$E=$A33,(AttendanceLog!$I:$I="""")+(IFERROR(SEARCH("",""&amp;$C33&amp;"","","",""&amp;AttendanceLog!$I:$I&amp;"",""),0)&gt;0))),"""")"),"")</f>
        <v/>
      </c>
    </row>
    <row r="34" ht="15.75" customHeight="1">
      <c r="A34" s="53" t="s">
        <v>198</v>
      </c>
      <c r="B34" s="53" t="s">
        <v>61</v>
      </c>
      <c r="C34" s="53" t="s">
        <v>42</v>
      </c>
      <c r="D34" s="55">
        <v>46241.33333333333</v>
      </c>
      <c r="E34" s="16">
        <f>IF($A34="","",SUMPRODUCT((AttendanceLog!$E$2:$E$5000=$A34)*(AttendanceLog!$C$2:$C$5000&gt;=MAX($D34,Settings!$B$3))*((AttendanceLog!$I$2:$I$5000="")+(IFERROR(SEARCH(","&amp;$C34&amp;",",","&amp;AttendanceLog!$I$2:$I$5000&amp;","),0)&gt;0))))</f>
        <v>4</v>
      </c>
      <c r="F34" s="16">
        <f>IF($A34="","",SUMPRODUCT((EventLog!$C$2:$C$5000&gt;=MAX($D34,Settings!$B$3))*(EventLog!$C$2:$C$5000&lt;=TODAY())*((EventLog!$F$2:$F$5000="")+(IFERROR(SEARCH(","&amp;$C34&amp;",",","&amp;EventLog!$F$2:$F$5000&amp;","),0)&gt;0))))</f>
        <v>4</v>
      </c>
      <c r="G34" s="57">
        <f t="shared" si="1"/>
        <v>1</v>
      </c>
      <c r="H34" s="56">
        <f>IFERROR(__xludf.DUMMYFUNCTION("IFERROR(MAX(FILTER(AttendanceLog!$C:$C,AttendanceLog!$E:$E=$A34,(AttendanceLog!$I:$I="""")+(IFERROR(SEARCH("",""&amp;$C34&amp;"","","",""&amp;AttendanceLog!$I:$I&amp;"",""),0)&gt;0))),"""")"),46306.0)</f>
        <v>46306</v>
      </c>
    </row>
    <row r="35" ht="15.75" customHeight="1">
      <c r="A35" s="53" t="s">
        <v>199</v>
      </c>
      <c r="B35" s="53" t="s">
        <v>61</v>
      </c>
      <c r="C35" s="53" t="s">
        <v>42</v>
      </c>
      <c r="D35" s="55">
        <v>46237.33333333333</v>
      </c>
      <c r="E35" s="16">
        <f>IF($A35="","",SUMPRODUCT((AttendanceLog!$E$2:$E$5000=$A35)*(AttendanceLog!$C$2:$C$5000&gt;=MAX($D35,Settings!$B$3))*((AttendanceLog!$I$2:$I$5000="")+(IFERROR(SEARCH(","&amp;$C35&amp;",",","&amp;AttendanceLog!$I$2:$I$5000&amp;","),0)&gt;0))))</f>
        <v>2</v>
      </c>
      <c r="F35" s="16">
        <f>IF($A35="","",SUMPRODUCT((EventLog!$C$2:$C$5000&gt;=MAX($D35,Settings!$B$3))*(EventLog!$C$2:$C$5000&lt;=TODAY())*((EventLog!$F$2:$F$5000="")+(IFERROR(SEARCH(","&amp;$C35&amp;",",","&amp;EventLog!$F$2:$F$5000&amp;","),0)&gt;0))))</f>
        <v>4</v>
      </c>
      <c r="G35" s="57">
        <f t="shared" si="1"/>
        <v>0.5</v>
      </c>
      <c r="H35" s="56">
        <f>IFERROR(__xludf.DUMMYFUNCTION("IFERROR(MAX(FILTER(AttendanceLog!$C:$C,AttendanceLog!$E:$E=$A35,(AttendanceLog!$I:$I="""")+(IFERROR(SEARCH("",""&amp;$C35&amp;"","","",""&amp;AttendanceLog!$I:$I&amp;"",""),0)&gt;0))),"""")"),46305.33333333333)</f>
        <v>46305.33333</v>
      </c>
    </row>
    <row r="36" ht="15.75" customHeight="1">
      <c r="A36" s="53" t="s">
        <v>200</v>
      </c>
      <c r="B36" s="53" t="s">
        <v>61</v>
      </c>
      <c r="C36" s="53" t="s">
        <v>42</v>
      </c>
      <c r="D36" s="55">
        <v>46249.33333333333</v>
      </c>
      <c r="E36" s="16">
        <f>IF($A36="","",SUMPRODUCT((AttendanceLog!$E$2:$E$5000=$A36)*(AttendanceLog!$C$2:$C$5000&gt;=MAX($D36,Settings!$B$3))*((AttendanceLog!$I$2:$I$5000="")+(IFERROR(SEARCH(","&amp;$C36&amp;",",","&amp;AttendanceLog!$I$2:$I$5000&amp;","),0)&gt;0))))</f>
        <v>2</v>
      </c>
      <c r="F36" s="16">
        <f>IF($A36="","",SUMPRODUCT((EventLog!$C$2:$C$5000&gt;=MAX($D36,Settings!$B$3))*(EventLog!$C$2:$C$5000&lt;=TODAY())*((EventLog!$F$2:$F$5000="")+(IFERROR(SEARCH(","&amp;$C36&amp;",",","&amp;EventLog!$F$2:$F$5000&amp;","),0)&gt;0))))</f>
        <v>4</v>
      </c>
      <c r="G36" s="57">
        <f t="shared" si="1"/>
        <v>0.5</v>
      </c>
      <c r="H36" s="56">
        <f>IFERROR(__xludf.DUMMYFUNCTION("IFERROR(MAX(FILTER(AttendanceLog!$C:$C,AttendanceLog!$E:$E=$A36,(AttendanceLog!$I:$I="""")+(IFERROR(SEARCH("",""&amp;$C36&amp;"","","",""&amp;AttendanceLog!$I:$I&amp;"",""),0)&gt;0))),"""")"),46305.33333333333)</f>
        <v>46305.33333</v>
      </c>
    </row>
    <row r="37" ht="15.75" customHeight="1">
      <c r="A37" s="53" t="s">
        <v>201</v>
      </c>
      <c r="B37" s="53" t="s">
        <v>61</v>
      </c>
      <c r="C37" s="53" t="s">
        <v>42</v>
      </c>
      <c r="D37" s="55">
        <v>46235.33333333333</v>
      </c>
      <c r="E37" s="16">
        <f>IF($A37="","",SUMPRODUCT((AttendanceLog!$E$2:$E$5000=$A37)*(AttendanceLog!$C$2:$C$5000&gt;=MAX($D37,Settings!$B$3))*((AttendanceLog!$I$2:$I$5000="")+(IFERROR(SEARCH(","&amp;$C37&amp;",",","&amp;AttendanceLog!$I$2:$I$5000&amp;","),0)&gt;0))))</f>
        <v>1</v>
      </c>
      <c r="F37" s="16">
        <f>IF($A37="","",SUMPRODUCT((EventLog!$C$2:$C$5000&gt;=MAX($D37,Settings!$B$3))*(EventLog!$C$2:$C$5000&lt;=TODAY())*((EventLog!$F$2:$F$5000="")+(IFERROR(SEARCH(","&amp;$C37&amp;",",","&amp;EventLog!$F$2:$F$5000&amp;","),0)&gt;0))))</f>
        <v>4</v>
      </c>
      <c r="G37" s="57">
        <f t="shared" si="1"/>
        <v>0.25</v>
      </c>
      <c r="H37" s="56">
        <f>IFERROR(__xludf.DUMMYFUNCTION("IFERROR(MAX(FILTER(AttendanceLog!$C:$C,AttendanceLog!$E:$E=$A37,(AttendanceLog!$I:$I="""")+(IFERROR(SEARCH("",""&amp;$C37&amp;"","","",""&amp;AttendanceLog!$I:$I&amp;"",""),0)&gt;0))),"""")"),46305.33333333333)</f>
        <v>46305.33333</v>
      </c>
    </row>
    <row r="38" ht="15.75" customHeight="1">
      <c r="A38" s="53" t="s">
        <v>202</v>
      </c>
      <c r="B38" s="53" t="s">
        <v>61</v>
      </c>
      <c r="C38" s="53" t="s">
        <v>42</v>
      </c>
      <c r="D38" s="55">
        <v>46235.33333333333</v>
      </c>
      <c r="E38" s="16">
        <f>IF($A38="","",SUMPRODUCT((AttendanceLog!$E$2:$E$5000=$A38)*(AttendanceLog!$C$2:$C$5000&gt;=MAX($D38,Settings!$B$3))*((AttendanceLog!$I$2:$I$5000="")+(IFERROR(SEARCH(","&amp;$C38&amp;",",","&amp;AttendanceLog!$I$2:$I$5000&amp;","),0)&gt;0))))</f>
        <v>4</v>
      </c>
      <c r="F38" s="16">
        <f>IF($A38="","",SUMPRODUCT((EventLog!$C$2:$C$5000&gt;=MAX($D38,Settings!$B$3))*(EventLog!$C$2:$C$5000&lt;=TODAY())*((EventLog!$F$2:$F$5000="")+(IFERROR(SEARCH(","&amp;$C38&amp;",",","&amp;EventLog!$F$2:$F$5000&amp;","),0)&gt;0))))</f>
        <v>4</v>
      </c>
      <c r="G38" s="57">
        <f t="shared" si="1"/>
        <v>1</v>
      </c>
      <c r="H38" s="56">
        <f>IFERROR(__xludf.DUMMYFUNCTION("IFERROR(MAX(FILTER(AttendanceLog!$C:$C,AttendanceLog!$E:$E=$A38,(AttendanceLog!$I:$I="""")+(IFERROR(SEARCH("",""&amp;$C38&amp;"","","",""&amp;AttendanceLog!$I:$I&amp;"",""),0)&gt;0))),"""")"),46306.0)</f>
        <v>46306</v>
      </c>
    </row>
    <row r="39" ht="15.75" customHeight="1">
      <c r="A39" s="53" t="s">
        <v>203</v>
      </c>
      <c r="B39" s="53" t="s">
        <v>61</v>
      </c>
      <c r="C39" s="53" t="s">
        <v>42</v>
      </c>
      <c r="D39" s="55">
        <v>46235.33333333333</v>
      </c>
      <c r="E39" s="16">
        <f>IF($A39="","",SUMPRODUCT((AttendanceLog!$E$2:$E$5000=$A39)*(AttendanceLog!$C$2:$C$5000&gt;=MAX($D39,Settings!$B$3))*((AttendanceLog!$I$2:$I$5000="")+(IFERROR(SEARCH(","&amp;$C39&amp;",",","&amp;AttendanceLog!$I$2:$I$5000&amp;","),0)&gt;0))))</f>
        <v>1</v>
      </c>
      <c r="F39" s="16">
        <f>IF($A39="","",SUMPRODUCT((EventLog!$C$2:$C$5000&gt;=MAX($D39,Settings!$B$3))*(EventLog!$C$2:$C$5000&lt;=TODAY())*((EventLog!$F$2:$F$5000="")+(IFERROR(SEARCH(","&amp;$C39&amp;",",","&amp;EventLog!$F$2:$F$5000&amp;","),0)&gt;0))))</f>
        <v>4</v>
      </c>
      <c r="G39" s="57">
        <f t="shared" si="1"/>
        <v>0.25</v>
      </c>
      <c r="H39" s="56">
        <f>IFERROR(__xludf.DUMMYFUNCTION("IFERROR(MAX(FILTER(AttendanceLog!$C:$C,AttendanceLog!$E:$E=$A39,(AttendanceLog!$I:$I="""")+(IFERROR(SEARCH("",""&amp;$C39&amp;"","","",""&amp;AttendanceLog!$I:$I&amp;"",""),0)&gt;0))),"""")"),46304.0)</f>
        <v>46304</v>
      </c>
    </row>
    <row r="40" ht="15.75" customHeight="1">
      <c r="A40" s="53" t="s">
        <v>204</v>
      </c>
      <c r="B40" s="53" t="s">
        <v>61</v>
      </c>
      <c r="C40" s="53" t="s">
        <v>42</v>
      </c>
      <c r="D40" s="55">
        <v>46235.33333333333</v>
      </c>
      <c r="E40" s="16">
        <f>IF($A40="","",SUMPRODUCT((AttendanceLog!$E$2:$E$5000=$A40)*(AttendanceLog!$C$2:$C$5000&gt;=MAX($D40,Settings!$B$3))*((AttendanceLog!$I$2:$I$5000="")+(IFERROR(SEARCH(","&amp;$C40&amp;",",","&amp;AttendanceLog!$I$2:$I$5000&amp;","),0)&gt;0))))</f>
        <v>3</v>
      </c>
      <c r="F40" s="16">
        <f>IF($A40="","",SUMPRODUCT((EventLog!$C$2:$C$5000&gt;=MAX($D40,Settings!$B$3))*(EventLog!$C$2:$C$5000&lt;=TODAY())*((EventLog!$F$2:$F$5000="")+(IFERROR(SEARCH(","&amp;$C40&amp;",",","&amp;EventLog!$F$2:$F$5000&amp;","),0)&gt;0))))</f>
        <v>4</v>
      </c>
      <c r="G40" s="57">
        <f t="shared" si="1"/>
        <v>0.75</v>
      </c>
      <c r="H40" s="56">
        <f>IFERROR(__xludf.DUMMYFUNCTION("IFERROR(MAX(FILTER(AttendanceLog!$C:$C,AttendanceLog!$E:$E=$A40,(AttendanceLog!$I:$I="""")+(IFERROR(SEARCH("",""&amp;$C40&amp;"","","",""&amp;AttendanceLog!$I:$I&amp;"",""),0)&gt;0))),"""")"),46305.33333333333)</f>
        <v>46305.33333</v>
      </c>
    </row>
    <row r="41" ht="15.75" customHeight="1">
      <c r="A41" s="53" t="s">
        <v>205</v>
      </c>
      <c r="B41" s="53" t="s">
        <v>61</v>
      </c>
      <c r="C41" s="53" t="s">
        <v>42</v>
      </c>
      <c r="D41" s="55">
        <v>46235.33333333333</v>
      </c>
      <c r="E41" s="16">
        <f>IF($A41="","",SUMPRODUCT((AttendanceLog!$E$2:$E$5000=$A41)*(AttendanceLog!$C$2:$C$5000&gt;=MAX($D41,Settings!$B$3))*((AttendanceLog!$I$2:$I$5000="")+(IFERROR(SEARCH(","&amp;$C41&amp;",",","&amp;AttendanceLog!$I$2:$I$5000&amp;","),0)&gt;0))))</f>
        <v>1</v>
      </c>
      <c r="F41" s="16">
        <f>IF($A41="","",SUMPRODUCT((EventLog!$C$2:$C$5000&gt;=MAX($D41,Settings!$B$3))*(EventLog!$C$2:$C$5000&lt;=TODAY())*((EventLog!$F$2:$F$5000="")+(IFERROR(SEARCH(","&amp;$C41&amp;",",","&amp;EventLog!$F$2:$F$5000&amp;","),0)&gt;0))))</f>
        <v>4</v>
      </c>
      <c r="G41" s="57">
        <f t="shared" si="1"/>
        <v>0.25</v>
      </c>
      <c r="H41" s="56">
        <f>IFERROR(__xludf.DUMMYFUNCTION("IFERROR(MAX(FILTER(AttendanceLog!$C:$C,AttendanceLog!$E:$E=$A41,(AttendanceLog!$I:$I="""")+(IFERROR(SEARCH("",""&amp;$C41&amp;"","","",""&amp;AttendanceLog!$I:$I&amp;"",""),0)&gt;0))),"""")"),46276.0)</f>
        <v>46276</v>
      </c>
    </row>
    <row r="42" ht="15.75" customHeight="1">
      <c r="A42" s="53" t="s">
        <v>206</v>
      </c>
      <c r="B42" s="53" t="s">
        <v>61</v>
      </c>
      <c r="C42" s="53" t="s">
        <v>42</v>
      </c>
      <c r="D42" s="55">
        <v>46235.33333333333</v>
      </c>
      <c r="E42" s="16">
        <f>IF($A42="","",SUMPRODUCT((AttendanceLog!$E$2:$E$5000=$A42)*(AttendanceLog!$C$2:$C$5000&gt;=MAX($D42,Settings!$B$3))*((AttendanceLog!$I$2:$I$5000="")+(IFERROR(SEARCH(","&amp;$C42&amp;",",","&amp;AttendanceLog!$I$2:$I$5000&amp;","),0)&gt;0))))</f>
        <v>3</v>
      </c>
      <c r="F42" s="16">
        <f>IF($A42="","",SUMPRODUCT((EventLog!$C$2:$C$5000&gt;=MAX($D42,Settings!$B$3))*(EventLog!$C$2:$C$5000&lt;=TODAY())*((EventLog!$F$2:$F$5000="")+(IFERROR(SEARCH(","&amp;$C42&amp;",",","&amp;EventLog!$F$2:$F$5000&amp;","),0)&gt;0))))</f>
        <v>4</v>
      </c>
      <c r="G42" s="57">
        <f t="shared" si="1"/>
        <v>0.75</v>
      </c>
      <c r="H42" s="56">
        <f>IFERROR(__xludf.DUMMYFUNCTION("IFERROR(MAX(FILTER(AttendanceLog!$C:$C,AttendanceLog!$E:$E=$A42,(AttendanceLog!$I:$I="""")+(IFERROR(SEARCH("",""&amp;$C42&amp;"","","",""&amp;AttendanceLog!$I:$I&amp;"",""),0)&gt;0))),"""")"),46305.33333333333)</f>
        <v>46305.33333</v>
      </c>
    </row>
    <row r="43" ht="15.75" customHeight="1">
      <c r="A43" s="53" t="s">
        <v>207</v>
      </c>
      <c r="B43" s="53" t="s">
        <v>61</v>
      </c>
      <c r="C43" s="53" t="s">
        <v>42</v>
      </c>
      <c r="D43" s="55">
        <v>46240.33333333333</v>
      </c>
      <c r="E43" s="16">
        <f>IF($A43="","",SUMPRODUCT((AttendanceLog!$E$2:$E$5000=$A43)*(AttendanceLog!$C$2:$C$5000&gt;=MAX($D43,Settings!$B$3))*((AttendanceLog!$I$2:$I$5000="")+(IFERROR(SEARCH(","&amp;$C43&amp;",",","&amp;AttendanceLog!$I$2:$I$5000&amp;","),0)&gt;0))))</f>
        <v>3</v>
      </c>
      <c r="F43" s="16">
        <f>IF($A43="","",SUMPRODUCT((EventLog!$C$2:$C$5000&gt;=MAX($D43,Settings!$B$3))*(EventLog!$C$2:$C$5000&lt;=TODAY())*((EventLog!$F$2:$F$5000="")+(IFERROR(SEARCH(","&amp;$C43&amp;",",","&amp;EventLog!$F$2:$F$5000&amp;","),0)&gt;0))))</f>
        <v>4</v>
      </c>
      <c r="G43" s="57">
        <f t="shared" si="1"/>
        <v>0.75</v>
      </c>
      <c r="H43" s="56">
        <f>IFERROR(__xludf.DUMMYFUNCTION("IFERROR(MAX(FILTER(AttendanceLog!$C:$C,AttendanceLog!$E:$E=$A43,(AttendanceLog!$I:$I="""")+(IFERROR(SEARCH("",""&amp;$C43&amp;"","","",""&amp;AttendanceLog!$I:$I&amp;"",""),0)&gt;0))),"""")"),46305.33333333333)</f>
        <v>46305.33333</v>
      </c>
    </row>
    <row r="44" ht="15.75" customHeight="1">
      <c r="A44" s="53" t="s">
        <v>208</v>
      </c>
      <c r="B44" s="53" t="s">
        <v>61</v>
      </c>
      <c r="C44" s="53" t="s">
        <v>42</v>
      </c>
      <c r="D44" s="55">
        <v>46235.33333333333</v>
      </c>
      <c r="E44" s="16">
        <f>IF($A44="","",SUMPRODUCT((AttendanceLog!$E$2:$E$5000=$A44)*(AttendanceLog!$C$2:$C$5000&gt;=MAX($D44,Settings!$B$3))*((AttendanceLog!$I$2:$I$5000="")+(IFERROR(SEARCH(","&amp;$C44&amp;",",","&amp;AttendanceLog!$I$2:$I$5000&amp;","),0)&gt;0))))</f>
        <v>3</v>
      </c>
      <c r="F44" s="16">
        <f>IF($A44="","",SUMPRODUCT((EventLog!$C$2:$C$5000&gt;=MAX($D44,Settings!$B$3))*(EventLog!$C$2:$C$5000&lt;=TODAY())*((EventLog!$F$2:$F$5000="")+(IFERROR(SEARCH(","&amp;$C44&amp;",",","&amp;EventLog!$F$2:$F$5000&amp;","),0)&gt;0))))</f>
        <v>4</v>
      </c>
      <c r="G44" s="57">
        <f t="shared" si="1"/>
        <v>0.75</v>
      </c>
      <c r="H44" s="56">
        <f>IFERROR(__xludf.DUMMYFUNCTION("IFERROR(MAX(FILTER(AttendanceLog!$C:$C,AttendanceLog!$E:$E=$A44,(AttendanceLog!$I:$I="""")+(IFERROR(SEARCH("",""&amp;$C44&amp;"","","",""&amp;AttendanceLog!$I:$I&amp;"",""),0)&gt;0))),"""")"),46306.0)</f>
        <v>46306</v>
      </c>
    </row>
    <row r="45" ht="15.75" customHeight="1">
      <c r="A45" s="53" t="s">
        <v>209</v>
      </c>
      <c r="B45" s="53" t="s">
        <v>61</v>
      </c>
      <c r="C45" s="53" t="s">
        <v>42</v>
      </c>
      <c r="D45" s="55">
        <v>46235.33333333333</v>
      </c>
      <c r="E45" s="16">
        <f>IF($A45="","",SUMPRODUCT((AttendanceLog!$E$2:$E$5000=$A45)*(AttendanceLog!$C$2:$C$5000&gt;=MAX($D45,Settings!$B$3))*((AttendanceLog!$I$2:$I$5000="")+(IFERROR(SEARCH(","&amp;$C45&amp;",",","&amp;AttendanceLog!$I$2:$I$5000&amp;","),0)&gt;0))))</f>
        <v>0</v>
      </c>
      <c r="F45" s="16">
        <f>IF($A45="","",SUMPRODUCT((EventLog!$C$2:$C$5000&gt;=MAX($D45,Settings!$B$3))*(EventLog!$C$2:$C$5000&lt;=TODAY())*((EventLog!$F$2:$F$5000="")+(IFERROR(SEARCH(","&amp;$C45&amp;",",","&amp;EventLog!$F$2:$F$5000&amp;","),0)&gt;0))))</f>
        <v>4</v>
      </c>
      <c r="G45" s="57">
        <f t="shared" si="1"/>
        <v>0</v>
      </c>
      <c r="H45" s="56" t="str">
        <f>IFERROR(__xludf.DUMMYFUNCTION("IFERROR(MAX(FILTER(AttendanceLog!$C:$C,AttendanceLog!$E:$E=$A45,(AttendanceLog!$I:$I="""")+(IFERROR(SEARCH("",""&amp;$C45&amp;"","","",""&amp;AttendanceLog!$I:$I&amp;"",""),0)&gt;0))),"""")"),"")</f>
        <v/>
      </c>
    </row>
    <row r="46" ht="15.75" customHeight="1">
      <c r="A46" s="53" t="s">
        <v>210</v>
      </c>
      <c r="B46" s="53" t="s">
        <v>61</v>
      </c>
      <c r="C46" s="53" t="s">
        <v>42</v>
      </c>
      <c r="D46" s="55">
        <v>46235.33333333333</v>
      </c>
      <c r="E46" s="16">
        <f>IF($A46="","",SUMPRODUCT((AttendanceLog!$E$2:$E$5000=$A46)*(AttendanceLog!$C$2:$C$5000&gt;=MAX($D46,Settings!$B$3))*((AttendanceLog!$I$2:$I$5000="")+(IFERROR(SEARCH(","&amp;$C46&amp;",",","&amp;AttendanceLog!$I$2:$I$5000&amp;","),0)&gt;0))))</f>
        <v>4</v>
      </c>
      <c r="F46" s="16">
        <f>IF($A46="","",SUMPRODUCT((EventLog!$C$2:$C$5000&gt;=MAX($D46,Settings!$B$3))*(EventLog!$C$2:$C$5000&lt;=TODAY())*((EventLog!$F$2:$F$5000="")+(IFERROR(SEARCH(","&amp;$C46&amp;",",","&amp;EventLog!$F$2:$F$5000&amp;","),0)&gt;0))))</f>
        <v>4</v>
      </c>
      <c r="G46" s="57">
        <f t="shared" si="1"/>
        <v>1</v>
      </c>
      <c r="H46" s="56">
        <f>IFERROR(__xludf.DUMMYFUNCTION("IFERROR(MAX(FILTER(AttendanceLog!$C:$C,AttendanceLog!$E:$E=$A46,(AttendanceLog!$I:$I="""")+(IFERROR(SEARCH("",""&amp;$C46&amp;"","","",""&amp;AttendanceLog!$I:$I&amp;"",""),0)&gt;0))),"""")"),46306.0)</f>
        <v>46306</v>
      </c>
    </row>
    <row r="47" ht="15.75" customHeight="1">
      <c r="A47" s="53" t="s">
        <v>211</v>
      </c>
      <c r="B47" s="53" t="s">
        <v>61</v>
      </c>
      <c r="C47" s="53" t="s">
        <v>42</v>
      </c>
      <c r="D47" s="55">
        <v>46235.33333333333</v>
      </c>
      <c r="E47" s="16">
        <f>IF($A47="","",SUMPRODUCT((AttendanceLog!$E$2:$E$5000=$A47)*(AttendanceLog!$C$2:$C$5000&gt;=MAX($D47,Settings!$B$3))*((AttendanceLog!$I$2:$I$5000="")+(IFERROR(SEARCH(","&amp;$C47&amp;",",","&amp;AttendanceLog!$I$2:$I$5000&amp;","),0)&gt;0))))</f>
        <v>2</v>
      </c>
      <c r="F47" s="16">
        <f>IF($A47="","",SUMPRODUCT((EventLog!$C$2:$C$5000&gt;=MAX($D47,Settings!$B$3))*(EventLog!$C$2:$C$5000&lt;=TODAY())*((EventLog!$F$2:$F$5000="")+(IFERROR(SEARCH(","&amp;$C47&amp;",",","&amp;EventLog!$F$2:$F$5000&amp;","),0)&gt;0))))</f>
        <v>4</v>
      </c>
      <c r="G47" s="57">
        <f t="shared" si="1"/>
        <v>0.5</v>
      </c>
      <c r="H47" s="56">
        <f>IFERROR(__xludf.DUMMYFUNCTION("IFERROR(MAX(FILTER(AttendanceLog!$C:$C,AttendanceLog!$E:$E=$A47,(AttendanceLog!$I:$I="""")+(IFERROR(SEARCH("",""&amp;$C47&amp;"","","",""&amp;AttendanceLog!$I:$I&amp;"",""),0)&gt;0))),"""")"),46306.0)</f>
        <v>46306</v>
      </c>
    </row>
    <row r="48" ht="15.75" customHeight="1">
      <c r="A48" s="53" t="s">
        <v>212</v>
      </c>
      <c r="B48" s="53" t="s">
        <v>61</v>
      </c>
      <c r="C48" s="53" t="s">
        <v>42</v>
      </c>
      <c r="D48" s="55">
        <v>46235.33333333333</v>
      </c>
      <c r="E48" s="16">
        <f>IF($A48="","",SUMPRODUCT((AttendanceLog!$E$2:$E$5000=$A48)*(AttendanceLog!$C$2:$C$5000&gt;=MAX($D48,Settings!$B$3))*((AttendanceLog!$I$2:$I$5000="")+(IFERROR(SEARCH(","&amp;$C48&amp;",",","&amp;AttendanceLog!$I$2:$I$5000&amp;","),0)&gt;0))))</f>
        <v>2</v>
      </c>
      <c r="F48" s="16">
        <f>IF($A48="","",SUMPRODUCT((EventLog!$C$2:$C$5000&gt;=MAX($D48,Settings!$B$3))*(EventLog!$C$2:$C$5000&lt;=TODAY())*((EventLog!$F$2:$F$5000="")+(IFERROR(SEARCH(","&amp;$C48&amp;",",","&amp;EventLog!$F$2:$F$5000&amp;","),0)&gt;0))))</f>
        <v>4</v>
      </c>
      <c r="G48" s="57">
        <f t="shared" si="1"/>
        <v>0.5</v>
      </c>
      <c r="H48" s="56">
        <f>IFERROR(__xludf.DUMMYFUNCTION("IFERROR(MAX(FILTER(AttendanceLog!$C:$C,AttendanceLog!$E:$E=$A48,(AttendanceLog!$I:$I="""")+(IFERROR(SEARCH("",""&amp;$C48&amp;"","","",""&amp;AttendanceLog!$I:$I&amp;"",""),0)&gt;0))),"""")"),46305.33333333333)</f>
        <v>46305.33333</v>
      </c>
    </row>
    <row r="49" ht="15.75" customHeight="1">
      <c r="A49" s="53" t="s">
        <v>213</v>
      </c>
      <c r="B49" s="53" t="s">
        <v>61</v>
      </c>
      <c r="C49" s="53" t="s">
        <v>42</v>
      </c>
      <c r="D49" s="55">
        <v>46235.33333333333</v>
      </c>
      <c r="E49" s="16">
        <f>IF($A49="","",SUMPRODUCT((AttendanceLog!$E$2:$E$5000=$A49)*(AttendanceLog!$C$2:$C$5000&gt;=MAX($D49,Settings!$B$3))*((AttendanceLog!$I$2:$I$5000="")+(IFERROR(SEARCH(","&amp;$C49&amp;",",","&amp;AttendanceLog!$I$2:$I$5000&amp;","),0)&gt;0))))</f>
        <v>0</v>
      </c>
      <c r="F49" s="16">
        <f>IF($A49="","",SUMPRODUCT((EventLog!$C$2:$C$5000&gt;=MAX($D49,Settings!$B$3))*(EventLog!$C$2:$C$5000&lt;=TODAY())*((EventLog!$F$2:$F$5000="")+(IFERROR(SEARCH(","&amp;$C49&amp;",",","&amp;EventLog!$F$2:$F$5000&amp;","),0)&gt;0))))</f>
        <v>4</v>
      </c>
      <c r="G49" s="57">
        <f t="shared" si="1"/>
        <v>0</v>
      </c>
      <c r="H49" s="56" t="str">
        <f>IFERROR(__xludf.DUMMYFUNCTION("IFERROR(MAX(FILTER(AttendanceLog!$C:$C,AttendanceLog!$E:$E=$A49,(AttendanceLog!$I:$I="""")+(IFERROR(SEARCH("",""&amp;$C49&amp;"","","",""&amp;AttendanceLog!$I:$I&amp;"",""),0)&gt;0))),"""")"),"")</f>
        <v/>
      </c>
    </row>
    <row r="50" ht="15.75" customHeight="1">
      <c r="A50" s="53" t="s">
        <v>214</v>
      </c>
      <c r="B50" s="53" t="s">
        <v>61</v>
      </c>
      <c r="C50" s="53" t="s">
        <v>42</v>
      </c>
      <c r="D50" s="55">
        <v>46235.33333333333</v>
      </c>
      <c r="E50" s="16">
        <f>IF($A50="","",SUMPRODUCT((AttendanceLog!$E$2:$E$5000=$A50)*(AttendanceLog!$C$2:$C$5000&gt;=MAX($D50,Settings!$B$3))*((AttendanceLog!$I$2:$I$5000="")+(IFERROR(SEARCH(","&amp;$C50&amp;",",","&amp;AttendanceLog!$I$2:$I$5000&amp;","),0)&gt;0))))</f>
        <v>4</v>
      </c>
      <c r="F50" s="16">
        <f>IF($A50="","",SUMPRODUCT((EventLog!$C$2:$C$5000&gt;=MAX($D50,Settings!$B$3))*(EventLog!$C$2:$C$5000&lt;=TODAY())*((EventLog!$F$2:$F$5000="")+(IFERROR(SEARCH(","&amp;$C50&amp;",",","&amp;EventLog!$F$2:$F$5000&amp;","),0)&gt;0))))</f>
        <v>4</v>
      </c>
      <c r="G50" s="57">
        <f t="shared" si="1"/>
        <v>1</v>
      </c>
      <c r="H50" s="56">
        <f>IFERROR(__xludf.DUMMYFUNCTION("IFERROR(MAX(FILTER(AttendanceLog!$C:$C,AttendanceLog!$E:$E=$A50,(AttendanceLog!$I:$I="""")+(IFERROR(SEARCH("",""&amp;$C50&amp;"","","",""&amp;AttendanceLog!$I:$I&amp;"",""),0)&gt;0))),"""")"),46306.0)</f>
        <v>46306</v>
      </c>
    </row>
    <row r="51" ht="15.75" customHeight="1">
      <c r="A51" s="53" t="s">
        <v>215</v>
      </c>
      <c r="B51" s="53" t="s">
        <v>61</v>
      </c>
      <c r="C51" s="53" t="s">
        <v>42</v>
      </c>
      <c r="D51" s="55">
        <v>46247.33333333333</v>
      </c>
      <c r="E51" s="16">
        <f>IF($A51="","",SUMPRODUCT((AttendanceLog!$E$2:$E$5000=$A51)*(AttendanceLog!$C$2:$C$5000&gt;=MAX($D51,Settings!$B$3))*((AttendanceLog!$I$2:$I$5000="")+(IFERROR(SEARCH(","&amp;$C51&amp;",",","&amp;AttendanceLog!$I$2:$I$5000&amp;","),0)&gt;0))))</f>
        <v>0</v>
      </c>
      <c r="F51" s="16">
        <f>IF($A51="","",SUMPRODUCT((EventLog!$C$2:$C$5000&gt;=MAX($D51,Settings!$B$3))*(EventLog!$C$2:$C$5000&lt;=TODAY())*((EventLog!$F$2:$F$5000="")+(IFERROR(SEARCH(","&amp;$C51&amp;",",","&amp;EventLog!$F$2:$F$5000&amp;","),0)&gt;0))))</f>
        <v>4</v>
      </c>
      <c r="G51" s="57">
        <f t="shared" si="1"/>
        <v>0</v>
      </c>
      <c r="H51" s="56" t="str">
        <f>IFERROR(__xludf.DUMMYFUNCTION("IFERROR(MAX(FILTER(AttendanceLog!$C:$C,AttendanceLog!$E:$E=$A51,(AttendanceLog!$I:$I="""")+(IFERROR(SEARCH("",""&amp;$C51&amp;"","","",""&amp;AttendanceLog!$I:$I&amp;"",""),0)&gt;0))),"""")"),"")</f>
        <v/>
      </c>
    </row>
    <row r="52" ht="15.75" customHeight="1">
      <c r="A52" s="53" t="s">
        <v>216</v>
      </c>
      <c r="B52" s="53" t="s">
        <v>61</v>
      </c>
      <c r="C52" s="53" t="s">
        <v>42</v>
      </c>
      <c r="D52" s="55">
        <v>46235.33333333333</v>
      </c>
      <c r="E52" s="16">
        <f>IF($A52="","",SUMPRODUCT((AttendanceLog!$E$2:$E$5000=$A52)*(AttendanceLog!$C$2:$C$5000&gt;=MAX($D52,Settings!$B$3))*((AttendanceLog!$I$2:$I$5000="")+(IFERROR(SEARCH(","&amp;$C52&amp;",",","&amp;AttendanceLog!$I$2:$I$5000&amp;","),0)&gt;0))))</f>
        <v>4</v>
      </c>
      <c r="F52" s="16">
        <f>IF($A52="","",SUMPRODUCT((EventLog!$C$2:$C$5000&gt;=MAX($D52,Settings!$B$3))*(EventLog!$C$2:$C$5000&lt;=TODAY())*((EventLog!$F$2:$F$5000="")+(IFERROR(SEARCH(","&amp;$C52&amp;",",","&amp;EventLog!$F$2:$F$5000&amp;","),0)&gt;0))))</f>
        <v>4</v>
      </c>
      <c r="G52" s="57">
        <f t="shared" si="1"/>
        <v>1</v>
      </c>
      <c r="H52" s="56">
        <f>IFERROR(__xludf.DUMMYFUNCTION("IFERROR(MAX(FILTER(AttendanceLog!$C:$C,AttendanceLog!$E:$E=$A52,(AttendanceLog!$I:$I="""")+(IFERROR(SEARCH("",""&amp;$C52&amp;"","","",""&amp;AttendanceLog!$I:$I&amp;"",""),0)&gt;0))),"""")"),46306.0)</f>
        <v>46306</v>
      </c>
    </row>
    <row r="53" ht="15.75" customHeight="1">
      <c r="A53" s="53" t="s">
        <v>217</v>
      </c>
      <c r="B53" s="53" t="s">
        <v>61</v>
      </c>
      <c r="C53" s="53" t="s">
        <v>42</v>
      </c>
      <c r="D53" s="55">
        <v>46244.33333333333</v>
      </c>
      <c r="E53" s="16">
        <f>IF($A53="","",SUMPRODUCT((AttendanceLog!$E$2:$E$5000=$A53)*(AttendanceLog!$C$2:$C$5000&gt;=MAX($D53,Settings!$B$3))*((AttendanceLog!$I$2:$I$5000="")+(IFERROR(SEARCH(","&amp;$C53&amp;",",","&amp;AttendanceLog!$I$2:$I$5000&amp;","),0)&gt;0))))</f>
        <v>0</v>
      </c>
      <c r="F53" s="16">
        <f>IF($A53="","",SUMPRODUCT((EventLog!$C$2:$C$5000&gt;=MAX($D53,Settings!$B$3))*(EventLog!$C$2:$C$5000&lt;=TODAY())*((EventLog!$F$2:$F$5000="")+(IFERROR(SEARCH(","&amp;$C53&amp;",",","&amp;EventLog!$F$2:$F$5000&amp;","),0)&gt;0))))</f>
        <v>4</v>
      </c>
      <c r="G53" s="57">
        <f t="shared" si="1"/>
        <v>0</v>
      </c>
      <c r="H53" s="56" t="str">
        <f>IFERROR(__xludf.DUMMYFUNCTION("IFERROR(MAX(FILTER(AttendanceLog!$C:$C,AttendanceLog!$E:$E=$A53,(AttendanceLog!$I:$I="""")+(IFERROR(SEARCH("",""&amp;$C53&amp;"","","",""&amp;AttendanceLog!$I:$I&amp;"",""),0)&gt;0))),"""")"),"")</f>
        <v/>
      </c>
    </row>
    <row r="54" ht="15.75" customHeight="1">
      <c r="A54" s="16"/>
      <c r="B54" s="16"/>
      <c r="C54" s="16"/>
      <c r="D54" s="56"/>
      <c r="E54" s="16"/>
      <c r="F54" s="16"/>
      <c r="G54" s="57"/>
      <c r="H54" s="56"/>
    </row>
    <row r="55" ht="15.75" customHeight="1">
      <c r="A55" s="16"/>
      <c r="B55" s="16"/>
      <c r="C55" s="16"/>
      <c r="D55" s="56"/>
      <c r="E55" s="16"/>
      <c r="F55" s="16"/>
      <c r="G55" s="57"/>
      <c r="H55" s="56"/>
    </row>
    <row r="56" ht="15.75" customHeight="1">
      <c r="A56" s="16"/>
      <c r="B56" s="16"/>
      <c r="C56" s="16"/>
      <c r="D56" s="56"/>
      <c r="E56" s="16"/>
      <c r="F56" s="16"/>
      <c r="G56" s="57"/>
      <c r="H56" s="56"/>
    </row>
    <row r="57" ht="15.75" customHeight="1">
      <c r="A57" s="16"/>
      <c r="B57" s="16"/>
      <c r="C57" s="16"/>
      <c r="D57" s="56"/>
      <c r="E57" s="16"/>
      <c r="F57" s="16"/>
      <c r="G57" s="57"/>
      <c r="H57" s="56"/>
    </row>
    <row r="58" ht="15.75" customHeight="1">
      <c r="A58" s="16"/>
      <c r="B58" s="16"/>
      <c r="C58" s="16"/>
      <c r="D58" s="56"/>
      <c r="E58" s="16"/>
      <c r="F58" s="16"/>
      <c r="G58" s="57"/>
      <c r="H58" s="56"/>
    </row>
    <row r="59" ht="15.75" customHeight="1">
      <c r="A59" s="16"/>
      <c r="B59" s="16"/>
      <c r="C59" s="16"/>
      <c r="D59" s="56"/>
      <c r="E59" s="16"/>
      <c r="F59" s="16"/>
      <c r="G59" s="57"/>
      <c r="H59" s="56"/>
    </row>
    <row r="60" ht="15.75" customHeight="1">
      <c r="A60" s="16"/>
      <c r="B60" s="16"/>
      <c r="C60" s="16"/>
      <c r="D60" s="56"/>
      <c r="E60" s="16"/>
      <c r="F60" s="16"/>
      <c r="G60" s="57"/>
      <c r="H60" s="56"/>
    </row>
    <row r="61" ht="15.75" customHeight="1">
      <c r="A61" s="16"/>
      <c r="B61" s="16"/>
      <c r="C61" s="16"/>
      <c r="D61" s="56"/>
      <c r="E61" s="16"/>
      <c r="F61" s="16"/>
      <c r="G61" s="57"/>
      <c r="H61" s="56"/>
    </row>
    <row r="62" ht="15.75" customHeight="1">
      <c r="A62" s="16"/>
      <c r="B62" s="16"/>
      <c r="C62" s="16"/>
      <c r="D62" s="56"/>
      <c r="E62" s="16"/>
      <c r="F62" s="16"/>
      <c r="G62" s="57"/>
      <c r="H62" s="56"/>
    </row>
    <row r="63" ht="15.75" customHeight="1">
      <c r="A63" s="16"/>
      <c r="B63" s="16"/>
      <c r="C63" s="16"/>
      <c r="D63" s="56"/>
      <c r="E63" s="16"/>
      <c r="F63" s="16"/>
      <c r="G63" s="57"/>
      <c r="H63" s="56"/>
    </row>
    <row r="64" ht="15.75" customHeight="1">
      <c r="A64" s="16"/>
      <c r="B64" s="16"/>
      <c r="C64" s="16"/>
      <c r="D64" s="56"/>
      <c r="E64" s="16"/>
      <c r="F64" s="16"/>
      <c r="G64" s="57"/>
      <c r="H64" s="56"/>
    </row>
    <row r="65" ht="15.75" customHeight="1">
      <c r="A65" s="16"/>
      <c r="B65" s="16"/>
      <c r="C65" s="16"/>
      <c r="D65" s="56"/>
      <c r="E65" s="16"/>
      <c r="F65" s="16"/>
      <c r="G65" s="57"/>
      <c r="H65" s="56"/>
    </row>
    <row r="66" ht="15.75" customHeight="1">
      <c r="A66" s="16"/>
      <c r="B66" s="16"/>
      <c r="C66" s="16"/>
      <c r="D66" s="56"/>
      <c r="E66" s="16"/>
      <c r="F66" s="16"/>
      <c r="G66" s="57"/>
      <c r="H66" s="56"/>
    </row>
    <row r="67" ht="15.75" customHeight="1">
      <c r="A67" s="16"/>
      <c r="B67" s="16"/>
      <c r="C67" s="16"/>
      <c r="D67" s="56"/>
      <c r="E67" s="16"/>
      <c r="F67" s="16"/>
      <c r="G67" s="57"/>
      <c r="H67" s="56"/>
    </row>
    <row r="68" ht="15.75" customHeight="1">
      <c r="A68" s="16"/>
      <c r="B68" s="16"/>
      <c r="C68" s="16"/>
      <c r="D68" s="56"/>
      <c r="E68" s="16"/>
      <c r="F68" s="16"/>
      <c r="G68" s="57"/>
      <c r="H68" s="56"/>
    </row>
    <row r="69" ht="15.75" customHeight="1">
      <c r="A69" s="16"/>
      <c r="B69" s="16"/>
      <c r="C69" s="16"/>
      <c r="D69" s="56"/>
      <c r="E69" s="16"/>
      <c r="F69" s="16"/>
      <c r="G69" s="57"/>
      <c r="H69" s="56"/>
    </row>
    <row r="70" ht="15.75" customHeight="1">
      <c r="A70" s="16"/>
      <c r="B70" s="16"/>
      <c r="C70" s="16"/>
      <c r="D70" s="56"/>
      <c r="E70" s="16"/>
      <c r="F70" s="16"/>
      <c r="G70" s="57"/>
      <c r="H70" s="56"/>
    </row>
    <row r="71" ht="15.75" customHeight="1">
      <c r="A71" s="16"/>
      <c r="B71" s="16"/>
      <c r="C71" s="16"/>
      <c r="D71" s="56"/>
      <c r="E71" s="16"/>
      <c r="F71" s="16"/>
      <c r="G71" s="57"/>
      <c r="H71" s="56"/>
    </row>
    <row r="72" ht="15.75" customHeight="1">
      <c r="A72" s="16"/>
      <c r="B72" s="16"/>
      <c r="C72" s="16"/>
      <c r="D72" s="56"/>
      <c r="E72" s="16"/>
      <c r="F72" s="16"/>
      <c r="G72" s="57"/>
      <c r="H72" s="56"/>
    </row>
    <row r="73" ht="15.75" customHeight="1">
      <c r="A73" s="16"/>
      <c r="B73" s="16"/>
      <c r="C73" s="16"/>
      <c r="D73" s="56"/>
      <c r="E73" s="16"/>
      <c r="F73" s="16"/>
      <c r="G73" s="57"/>
      <c r="H73" s="56"/>
    </row>
    <row r="74" ht="15.75" customHeight="1">
      <c r="A74" s="16"/>
      <c r="B74" s="16"/>
      <c r="C74" s="16"/>
      <c r="D74" s="56"/>
      <c r="E74" s="16"/>
      <c r="F74" s="16"/>
      <c r="G74" s="57"/>
      <c r="H74" s="56"/>
    </row>
    <row r="75" ht="15.75" customHeight="1">
      <c r="A75" s="16"/>
      <c r="B75" s="16"/>
      <c r="C75" s="16"/>
      <c r="D75" s="56"/>
      <c r="E75" s="16"/>
      <c r="F75" s="16"/>
      <c r="G75" s="57"/>
      <c r="H75" s="56"/>
    </row>
    <row r="76" ht="15.75" customHeight="1">
      <c r="A76" s="16"/>
      <c r="B76" s="16"/>
      <c r="C76" s="16"/>
      <c r="D76" s="56"/>
      <c r="E76" s="16"/>
      <c r="F76" s="16"/>
      <c r="G76" s="57"/>
      <c r="H76" s="56"/>
    </row>
    <row r="77" ht="15.75" customHeight="1">
      <c r="A77" s="16"/>
      <c r="B77" s="16"/>
      <c r="C77" s="16"/>
      <c r="D77" s="56"/>
      <c r="E77" s="16"/>
      <c r="F77" s="16"/>
      <c r="G77" s="57"/>
      <c r="H77" s="56"/>
    </row>
    <row r="78" ht="15.75" customHeight="1">
      <c r="A78" s="16"/>
      <c r="B78" s="16"/>
      <c r="C78" s="16"/>
      <c r="D78" s="56"/>
      <c r="E78" s="16"/>
      <c r="F78" s="16"/>
      <c r="G78" s="57"/>
      <c r="H78" s="56"/>
    </row>
    <row r="79" ht="15.75" customHeight="1">
      <c r="A79" s="16"/>
      <c r="B79" s="16"/>
      <c r="C79" s="16"/>
      <c r="D79" s="56"/>
      <c r="E79" s="16"/>
      <c r="F79" s="16"/>
      <c r="G79" s="57"/>
      <c r="H79" s="56"/>
    </row>
    <row r="80" ht="15.75" customHeight="1">
      <c r="A80" s="16"/>
      <c r="B80" s="16"/>
      <c r="C80" s="16"/>
      <c r="D80" s="56"/>
      <c r="E80" s="16"/>
      <c r="F80" s="16"/>
      <c r="G80" s="57"/>
      <c r="H80" s="56"/>
    </row>
    <row r="81" ht="15.75" customHeight="1">
      <c r="A81" s="16"/>
      <c r="B81" s="16"/>
      <c r="C81" s="16"/>
      <c r="D81" s="56"/>
      <c r="E81" s="16"/>
      <c r="F81" s="16"/>
      <c r="G81" s="57"/>
      <c r="H81" s="56"/>
    </row>
    <row r="82" ht="15.75" customHeight="1">
      <c r="A82" s="16"/>
      <c r="B82" s="16"/>
      <c r="C82" s="16"/>
      <c r="D82" s="56"/>
      <c r="E82" s="16"/>
      <c r="F82" s="16"/>
      <c r="G82" s="57"/>
      <c r="H82" s="56"/>
    </row>
    <row r="83" ht="15.75" customHeight="1">
      <c r="A83" s="16"/>
      <c r="B83" s="16"/>
      <c r="C83" s="16"/>
      <c r="D83" s="56"/>
      <c r="E83" s="16"/>
      <c r="F83" s="16"/>
      <c r="G83" s="57"/>
      <c r="H83" s="56"/>
    </row>
    <row r="84" ht="15.75" customHeight="1">
      <c r="A84" s="16"/>
      <c r="B84" s="16"/>
      <c r="C84" s="16"/>
      <c r="D84" s="56"/>
      <c r="E84" s="16"/>
      <c r="F84" s="16"/>
      <c r="G84" s="57"/>
      <c r="H84" s="56"/>
    </row>
    <row r="85" ht="15.75" customHeight="1">
      <c r="A85" s="16"/>
      <c r="B85" s="16"/>
      <c r="C85" s="16"/>
      <c r="D85" s="56"/>
      <c r="E85" s="16"/>
      <c r="F85" s="16"/>
      <c r="G85" s="57"/>
      <c r="H85" s="56"/>
    </row>
    <row r="86" ht="15.75" customHeight="1">
      <c r="A86" s="16"/>
      <c r="B86" s="16"/>
      <c r="C86" s="16"/>
      <c r="D86" s="56"/>
      <c r="E86" s="16"/>
      <c r="F86" s="16"/>
      <c r="G86" s="57"/>
      <c r="H86" s="56"/>
    </row>
    <row r="87" ht="15.75" customHeight="1">
      <c r="A87" s="16"/>
      <c r="B87" s="16"/>
      <c r="C87" s="16"/>
      <c r="D87" s="56"/>
      <c r="E87" s="16"/>
      <c r="F87" s="16"/>
      <c r="G87" s="57"/>
      <c r="H87" s="56"/>
    </row>
    <row r="88" ht="15.75" customHeight="1">
      <c r="A88" s="16"/>
      <c r="B88" s="16"/>
      <c r="C88" s="16"/>
      <c r="D88" s="56"/>
      <c r="E88" s="16"/>
      <c r="F88" s="16"/>
      <c r="G88" s="57"/>
      <c r="H88" s="56"/>
    </row>
    <row r="89" ht="15.75" customHeight="1">
      <c r="A89" s="16"/>
      <c r="B89" s="16"/>
      <c r="C89" s="16"/>
      <c r="D89" s="56"/>
      <c r="E89" s="16"/>
      <c r="F89" s="16"/>
      <c r="G89" s="57"/>
      <c r="H89" s="56"/>
    </row>
    <row r="90" ht="15.75" customHeight="1">
      <c r="A90" s="16"/>
      <c r="B90" s="16"/>
      <c r="C90" s="16"/>
      <c r="D90" s="56"/>
      <c r="E90" s="16"/>
      <c r="F90" s="16"/>
      <c r="G90" s="57"/>
      <c r="H90" s="56"/>
    </row>
    <row r="91" ht="15.75" customHeight="1">
      <c r="A91" s="16"/>
      <c r="B91" s="16"/>
      <c r="C91" s="16"/>
      <c r="D91" s="56"/>
      <c r="E91" s="16"/>
      <c r="F91" s="16"/>
      <c r="G91" s="57"/>
      <c r="H91" s="56"/>
    </row>
    <row r="92" ht="15.75" customHeight="1">
      <c r="A92" s="16"/>
      <c r="B92" s="16"/>
      <c r="C92" s="16"/>
      <c r="D92" s="56"/>
      <c r="E92" s="16"/>
      <c r="F92" s="16"/>
      <c r="G92" s="57"/>
      <c r="H92" s="56"/>
    </row>
    <row r="93" ht="15.75" customHeight="1">
      <c r="A93" s="16"/>
      <c r="B93" s="16"/>
      <c r="C93" s="16"/>
      <c r="D93" s="56"/>
      <c r="E93" s="16"/>
      <c r="F93" s="16"/>
      <c r="G93" s="57"/>
      <c r="H93" s="56"/>
    </row>
    <row r="94" ht="15.75" customHeight="1">
      <c r="A94" s="16"/>
      <c r="B94" s="16"/>
      <c r="C94" s="16"/>
      <c r="D94" s="56"/>
      <c r="E94" s="16"/>
      <c r="F94" s="16"/>
      <c r="G94" s="57"/>
      <c r="H94" s="56"/>
    </row>
    <row r="95" ht="15.75" customHeight="1">
      <c r="A95" s="16"/>
      <c r="B95" s="16"/>
      <c r="C95" s="16"/>
      <c r="D95" s="56"/>
      <c r="E95" s="16"/>
      <c r="F95" s="16"/>
      <c r="G95" s="57"/>
      <c r="H95" s="56"/>
    </row>
    <row r="96" ht="15.75" customHeight="1">
      <c r="A96" s="16"/>
      <c r="B96" s="16"/>
      <c r="C96" s="16"/>
      <c r="D96" s="56"/>
      <c r="E96" s="16"/>
      <c r="F96" s="16"/>
      <c r="G96" s="57"/>
      <c r="H96" s="56"/>
    </row>
    <row r="97" ht="15.75" customHeight="1">
      <c r="A97" s="16"/>
      <c r="B97" s="16"/>
      <c r="C97" s="16"/>
      <c r="D97" s="56"/>
      <c r="E97" s="16"/>
      <c r="F97" s="16"/>
      <c r="G97" s="57"/>
      <c r="H97" s="56"/>
    </row>
    <row r="98" ht="15.75" customHeight="1">
      <c r="A98" s="16"/>
      <c r="B98" s="16"/>
      <c r="C98" s="16"/>
      <c r="D98" s="56"/>
      <c r="E98" s="16"/>
      <c r="F98" s="16"/>
      <c r="G98" s="57"/>
      <c r="H98" s="56"/>
    </row>
    <row r="99" ht="15.75" customHeight="1">
      <c r="A99" s="16"/>
      <c r="B99" s="16"/>
      <c r="C99" s="16"/>
      <c r="D99" s="56"/>
      <c r="E99" s="16"/>
      <c r="F99" s="16"/>
      <c r="G99" s="57"/>
      <c r="H99" s="56"/>
    </row>
    <row r="100" ht="15.75" customHeight="1">
      <c r="A100" s="16"/>
      <c r="B100" s="16"/>
      <c r="C100" s="16"/>
      <c r="D100" s="56"/>
      <c r="E100" s="16"/>
      <c r="F100" s="16"/>
      <c r="G100" s="57"/>
      <c r="H100" s="56"/>
    </row>
    <row r="101" ht="15.75" customHeight="1">
      <c r="D101" s="61"/>
      <c r="G101" s="62"/>
      <c r="H101" s="61"/>
    </row>
    <row r="102" ht="15.75" customHeight="1">
      <c r="D102" s="61"/>
      <c r="G102" s="62"/>
      <c r="H102" s="61"/>
    </row>
    <row r="103" ht="15.75" customHeight="1">
      <c r="D103" s="61"/>
      <c r="G103" s="62"/>
      <c r="H103" s="61"/>
    </row>
    <row r="104" ht="15.75" customHeight="1">
      <c r="D104" s="61"/>
      <c r="G104" s="62"/>
      <c r="H104" s="61"/>
    </row>
    <row r="105" ht="15.75" customHeight="1">
      <c r="D105" s="61"/>
      <c r="G105" s="62"/>
      <c r="H105" s="61"/>
    </row>
    <row r="106" ht="15.75" customHeight="1">
      <c r="D106" s="61"/>
      <c r="G106" s="62"/>
      <c r="H106" s="61"/>
    </row>
    <row r="107" ht="15.75" customHeight="1">
      <c r="D107" s="61"/>
      <c r="G107" s="62"/>
      <c r="H107" s="61"/>
    </row>
    <row r="108" ht="15.75" customHeight="1">
      <c r="D108" s="61"/>
      <c r="G108" s="62"/>
      <c r="H108" s="61"/>
    </row>
    <row r="109" ht="15.75" customHeight="1">
      <c r="D109" s="61"/>
      <c r="G109" s="62"/>
      <c r="H109" s="61"/>
    </row>
    <row r="110" ht="15.75" customHeight="1">
      <c r="D110" s="61"/>
      <c r="G110" s="62"/>
      <c r="H110" s="61"/>
    </row>
    <row r="111" ht="15.75" customHeight="1">
      <c r="D111" s="61"/>
      <c r="G111" s="62"/>
      <c r="H111" s="61"/>
    </row>
    <row r="112" ht="15.75" customHeight="1">
      <c r="D112" s="61"/>
      <c r="G112" s="62"/>
      <c r="H112" s="61"/>
    </row>
    <row r="113" ht="15.75" customHeight="1">
      <c r="D113" s="61"/>
      <c r="G113" s="62"/>
      <c r="H113" s="61"/>
    </row>
    <row r="114" ht="15.75" customHeight="1">
      <c r="D114" s="61"/>
      <c r="G114" s="62"/>
      <c r="H114" s="61"/>
    </row>
    <row r="115" ht="15.75" customHeight="1">
      <c r="D115" s="61"/>
      <c r="G115" s="62"/>
      <c r="H115" s="61"/>
    </row>
    <row r="116" ht="15.75" customHeight="1">
      <c r="D116" s="61"/>
      <c r="G116" s="62"/>
      <c r="H116" s="61"/>
    </row>
    <row r="117" ht="15.75" customHeight="1">
      <c r="D117" s="61"/>
      <c r="G117" s="62"/>
      <c r="H117" s="61"/>
    </row>
    <row r="118" ht="15.75" customHeight="1">
      <c r="D118" s="61"/>
      <c r="G118" s="62"/>
      <c r="H118" s="61"/>
    </row>
    <row r="119" ht="15.75" customHeight="1">
      <c r="D119" s="61"/>
      <c r="G119" s="62"/>
      <c r="H119" s="61"/>
    </row>
    <row r="120" ht="15.75" customHeight="1">
      <c r="D120" s="61"/>
      <c r="G120" s="62"/>
      <c r="H120" s="61"/>
    </row>
    <row r="121" ht="15.75" customHeight="1">
      <c r="D121" s="61"/>
      <c r="G121" s="62"/>
      <c r="H121" s="61"/>
    </row>
    <row r="122" ht="15.75" customHeight="1">
      <c r="D122" s="61"/>
      <c r="G122" s="62"/>
      <c r="H122" s="61"/>
    </row>
    <row r="123" ht="15.75" customHeight="1">
      <c r="D123" s="61"/>
      <c r="G123" s="62"/>
      <c r="H123" s="61"/>
    </row>
    <row r="124" ht="15.75" customHeight="1">
      <c r="D124" s="61"/>
      <c r="G124" s="62"/>
      <c r="H124" s="61"/>
    </row>
    <row r="125" ht="15.75" customHeight="1">
      <c r="D125" s="61"/>
      <c r="G125" s="62"/>
      <c r="H125" s="61"/>
    </row>
    <row r="126" ht="15.75" customHeight="1">
      <c r="D126" s="61"/>
      <c r="G126" s="62"/>
      <c r="H126" s="61"/>
    </row>
    <row r="127" ht="15.75" customHeight="1">
      <c r="D127" s="61"/>
      <c r="G127" s="62"/>
      <c r="H127" s="61"/>
    </row>
    <row r="128" ht="15.75" customHeight="1">
      <c r="D128" s="61"/>
      <c r="G128" s="62"/>
      <c r="H128" s="61"/>
    </row>
    <row r="129" ht="15.75" customHeight="1">
      <c r="D129" s="61"/>
      <c r="G129" s="62"/>
      <c r="H129" s="61"/>
    </row>
    <row r="130" ht="15.75" customHeight="1">
      <c r="D130" s="61"/>
      <c r="G130" s="62"/>
      <c r="H130" s="61"/>
    </row>
    <row r="131" ht="15.75" customHeight="1">
      <c r="D131" s="61"/>
      <c r="G131" s="62"/>
      <c r="H131" s="61"/>
    </row>
    <row r="132" ht="15.75" customHeight="1">
      <c r="D132" s="61"/>
      <c r="G132" s="62"/>
      <c r="H132" s="61"/>
    </row>
    <row r="133" ht="15.75" customHeight="1">
      <c r="D133" s="61"/>
      <c r="G133" s="62"/>
      <c r="H133" s="61"/>
    </row>
    <row r="134" ht="15.75" customHeight="1">
      <c r="D134" s="61"/>
      <c r="G134" s="62"/>
      <c r="H134" s="61"/>
    </row>
    <row r="135" ht="15.75" customHeight="1">
      <c r="D135" s="61"/>
      <c r="G135" s="62"/>
      <c r="H135" s="61"/>
    </row>
    <row r="136" ht="15.75" customHeight="1">
      <c r="D136" s="61"/>
      <c r="G136" s="62"/>
      <c r="H136" s="61"/>
    </row>
    <row r="137" ht="15.75" customHeight="1">
      <c r="D137" s="61"/>
      <c r="G137" s="62"/>
      <c r="H137" s="61"/>
    </row>
    <row r="138" ht="15.75" customHeight="1">
      <c r="D138" s="61"/>
      <c r="G138" s="62"/>
      <c r="H138" s="61"/>
    </row>
    <row r="139" ht="15.75" customHeight="1">
      <c r="D139" s="61"/>
      <c r="G139" s="62"/>
      <c r="H139" s="61"/>
    </row>
    <row r="140" ht="15.75" customHeight="1">
      <c r="D140" s="61"/>
      <c r="G140" s="62"/>
      <c r="H140" s="61"/>
    </row>
    <row r="141" ht="15.75" customHeight="1">
      <c r="D141" s="61"/>
      <c r="G141" s="62"/>
      <c r="H141" s="61"/>
    </row>
    <row r="142" ht="15.75" customHeight="1">
      <c r="D142" s="61"/>
      <c r="G142" s="62"/>
      <c r="H142" s="61"/>
    </row>
    <row r="143" ht="15.75" customHeight="1">
      <c r="D143" s="61"/>
      <c r="G143" s="62"/>
      <c r="H143" s="61"/>
    </row>
    <row r="144" ht="15.75" customHeight="1">
      <c r="D144" s="61"/>
      <c r="G144" s="62"/>
      <c r="H144" s="61"/>
    </row>
    <row r="145" ht="15.75" customHeight="1">
      <c r="D145" s="61"/>
      <c r="G145" s="62"/>
      <c r="H145" s="61"/>
    </row>
    <row r="146" ht="15.75" customHeight="1">
      <c r="D146" s="61"/>
      <c r="G146" s="62"/>
      <c r="H146" s="61"/>
    </row>
    <row r="147" ht="15.75" customHeight="1">
      <c r="D147" s="61"/>
      <c r="G147" s="62"/>
      <c r="H147" s="61"/>
    </row>
    <row r="148" ht="15.75" customHeight="1">
      <c r="D148" s="61"/>
      <c r="G148" s="62"/>
      <c r="H148" s="61"/>
    </row>
    <row r="149" ht="15.75" customHeight="1">
      <c r="D149" s="61"/>
      <c r="G149" s="62"/>
      <c r="H149" s="61"/>
    </row>
    <row r="150" ht="15.75" customHeight="1">
      <c r="D150" s="61"/>
      <c r="G150" s="62"/>
      <c r="H150" s="61"/>
    </row>
    <row r="151" ht="15.75" customHeight="1">
      <c r="D151" s="61"/>
      <c r="G151" s="62"/>
      <c r="H151" s="61"/>
    </row>
    <row r="152" ht="15.75" customHeight="1">
      <c r="D152" s="61"/>
      <c r="G152" s="62"/>
      <c r="H152" s="61"/>
    </row>
    <row r="153" ht="15.75" customHeight="1">
      <c r="D153" s="61"/>
      <c r="G153" s="62"/>
      <c r="H153" s="61"/>
    </row>
    <row r="154" ht="15.75" customHeight="1">
      <c r="D154" s="61"/>
      <c r="G154" s="62"/>
      <c r="H154" s="61"/>
    </row>
    <row r="155" ht="15.75" customHeight="1">
      <c r="D155" s="61"/>
      <c r="G155" s="62"/>
      <c r="H155" s="61"/>
    </row>
    <row r="156" ht="15.75" customHeight="1">
      <c r="D156" s="61"/>
      <c r="G156" s="62"/>
      <c r="H156" s="61"/>
    </row>
    <row r="157" ht="15.75" customHeight="1">
      <c r="D157" s="61"/>
      <c r="G157" s="62"/>
      <c r="H157" s="61"/>
    </row>
    <row r="158" ht="15.75" customHeight="1">
      <c r="D158" s="61"/>
      <c r="G158" s="62"/>
      <c r="H158" s="61"/>
    </row>
    <row r="159" ht="15.75" customHeight="1">
      <c r="D159" s="61"/>
      <c r="G159" s="62"/>
      <c r="H159" s="61"/>
    </row>
    <row r="160" ht="15.75" customHeight="1">
      <c r="D160" s="61"/>
      <c r="G160" s="62"/>
      <c r="H160" s="61"/>
    </row>
    <row r="161" ht="15.75" customHeight="1">
      <c r="D161" s="61"/>
      <c r="G161" s="62"/>
      <c r="H161" s="61"/>
    </row>
    <row r="162" ht="15.75" customHeight="1">
      <c r="D162" s="61"/>
      <c r="G162" s="62"/>
      <c r="H162" s="61"/>
    </row>
    <row r="163" ht="15.75" customHeight="1">
      <c r="D163" s="61"/>
      <c r="G163" s="62"/>
      <c r="H163" s="61"/>
    </row>
    <row r="164" ht="15.75" customHeight="1">
      <c r="D164" s="61"/>
      <c r="G164" s="62"/>
      <c r="H164" s="61"/>
    </row>
    <row r="165" ht="15.75" customHeight="1">
      <c r="D165" s="61"/>
      <c r="G165" s="62"/>
      <c r="H165" s="61"/>
    </row>
    <row r="166" ht="15.75" customHeight="1">
      <c r="D166" s="61"/>
      <c r="G166" s="62"/>
      <c r="H166" s="61"/>
    </row>
    <row r="167" ht="15.75" customHeight="1">
      <c r="D167" s="61"/>
      <c r="G167" s="62"/>
      <c r="H167" s="61"/>
    </row>
    <row r="168" ht="15.75" customHeight="1">
      <c r="D168" s="61"/>
      <c r="G168" s="62"/>
      <c r="H168" s="61"/>
    </row>
    <row r="169" ht="15.75" customHeight="1">
      <c r="D169" s="61"/>
      <c r="G169" s="62"/>
      <c r="H169" s="61"/>
    </row>
    <row r="170" ht="15.75" customHeight="1">
      <c r="D170" s="61"/>
      <c r="G170" s="62"/>
      <c r="H170" s="61"/>
    </row>
    <row r="171" ht="15.75" customHeight="1">
      <c r="D171" s="61"/>
      <c r="G171" s="62"/>
      <c r="H171" s="61"/>
    </row>
    <row r="172" ht="15.75" customHeight="1">
      <c r="D172" s="61"/>
      <c r="G172" s="62"/>
      <c r="H172" s="61"/>
    </row>
    <row r="173" ht="15.75" customHeight="1">
      <c r="D173" s="61"/>
      <c r="G173" s="62"/>
      <c r="H173" s="61"/>
    </row>
    <row r="174" ht="15.75" customHeight="1">
      <c r="D174" s="61"/>
      <c r="G174" s="62"/>
      <c r="H174" s="61"/>
    </row>
    <row r="175" ht="15.75" customHeight="1">
      <c r="D175" s="61"/>
      <c r="G175" s="62"/>
      <c r="H175" s="61"/>
    </row>
    <row r="176" ht="15.75" customHeight="1">
      <c r="D176" s="61"/>
      <c r="G176" s="62"/>
      <c r="H176" s="61"/>
    </row>
    <row r="177" ht="15.75" customHeight="1">
      <c r="D177" s="61"/>
      <c r="G177" s="62"/>
      <c r="H177" s="61"/>
    </row>
    <row r="178" ht="15.75" customHeight="1">
      <c r="D178" s="61"/>
      <c r="G178" s="62"/>
      <c r="H178" s="61"/>
    </row>
    <row r="179" ht="15.75" customHeight="1">
      <c r="D179" s="61"/>
      <c r="G179" s="62"/>
      <c r="H179" s="61"/>
    </row>
    <row r="180" ht="15.75" customHeight="1">
      <c r="D180" s="61"/>
      <c r="G180" s="62"/>
      <c r="H180" s="61"/>
    </row>
    <row r="181" ht="15.75" customHeight="1">
      <c r="D181" s="61"/>
      <c r="G181" s="62"/>
      <c r="H181" s="61"/>
    </row>
    <row r="182" ht="15.75" customHeight="1">
      <c r="D182" s="61"/>
      <c r="G182" s="62"/>
      <c r="H182" s="61"/>
    </row>
    <row r="183" ht="15.75" customHeight="1">
      <c r="D183" s="61"/>
      <c r="G183" s="62"/>
      <c r="H183" s="61"/>
    </row>
    <row r="184" ht="15.75" customHeight="1">
      <c r="D184" s="61"/>
      <c r="G184" s="62"/>
      <c r="H184" s="61"/>
    </row>
    <row r="185" ht="15.75" customHeight="1">
      <c r="D185" s="61"/>
      <c r="G185" s="62"/>
      <c r="H185" s="61"/>
    </row>
    <row r="186" ht="15.75" customHeight="1">
      <c r="D186" s="61"/>
      <c r="G186" s="62"/>
      <c r="H186" s="61"/>
    </row>
    <row r="187" ht="15.75" customHeight="1">
      <c r="D187" s="61"/>
      <c r="G187" s="62"/>
      <c r="H187" s="61"/>
    </row>
    <row r="188" ht="15.75" customHeight="1">
      <c r="D188" s="61"/>
      <c r="G188" s="62"/>
      <c r="H188" s="61"/>
    </row>
    <row r="189" ht="15.75" customHeight="1">
      <c r="D189" s="61"/>
      <c r="G189" s="62"/>
      <c r="H189" s="61"/>
    </row>
    <row r="190" ht="15.75" customHeight="1">
      <c r="D190" s="61"/>
      <c r="G190" s="62"/>
      <c r="H190" s="61"/>
    </row>
    <row r="191" ht="15.75" customHeight="1">
      <c r="D191" s="61"/>
      <c r="G191" s="62"/>
      <c r="H191" s="61"/>
    </row>
    <row r="192" ht="15.75" customHeight="1">
      <c r="D192" s="61"/>
      <c r="G192" s="62"/>
      <c r="H192" s="61"/>
    </row>
    <row r="193" ht="15.75" customHeight="1">
      <c r="D193" s="61"/>
      <c r="G193" s="62"/>
      <c r="H193" s="61"/>
    </row>
    <row r="194" ht="15.75" customHeight="1">
      <c r="D194" s="61"/>
      <c r="G194" s="62"/>
      <c r="H194" s="61"/>
    </row>
    <row r="195" ht="15.75" customHeight="1">
      <c r="D195" s="61"/>
      <c r="G195" s="62"/>
      <c r="H195" s="61"/>
    </row>
    <row r="196" ht="15.75" customHeight="1">
      <c r="D196" s="61"/>
      <c r="G196" s="62"/>
      <c r="H196" s="61"/>
    </row>
    <row r="197" ht="15.75" customHeight="1">
      <c r="D197" s="61"/>
      <c r="G197" s="62"/>
      <c r="H197" s="61"/>
    </row>
    <row r="198" ht="15.75" customHeight="1">
      <c r="D198" s="61"/>
      <c r="G198" s="62"/>
      <c r="H198" s="61"/>
    </row>
    <row r="199" ht="15.75" customHeight="1">
      <c r="D199" s="61"/>
      <c r="G199" s="62"/>
      <c r="H199" s="61"/>
    </row>
    <row r="200" ht="15.75" customHeight="1">
      <c r="D200" s="61"/>
      <c r="G200" s="62"/>
      <c r="H200" s="61"/>
    </row>
    <row r="201" ht="15.75" customHeight="1">
      <c r="D201" s="61"/>
      <c r="G201" s="62"/>
      <c r="H201" s="61"/>
    </row>
    <row r="202" ht="15.75" customHeight="1">
      <c r="D202" s="61"/>
      <c r="G202" s="62"/>
      <c r="H202" s="61"/>
    </row>
    <row r="203" ht="15.75" customHeight="1">
      <c r="D203" s="61"/>
      <c r="G203" s="62"/>
      <c r="H203" s="61"/>
    </row>
    <row r="204" ht="15.75" customHeight="1">
      <c r="D204" s="61"/>
      <c r="G204" s="62"/>
      <c r="H204" s="61"/>
    </row>
    <row r="205" ht="15.75" customHeight="1">
      <c r="D205" s="61"/>
      <c r="G205" s="62"/>
      <c r="H205" s="61"/>
    </row>
    <row r="206" ht="15.75" customHeight="1">
      <c r="D206" s="61"/>
      <c r="G206" s="62"/>
      <c r="H206" s="61"/>
    </row>
    <row r="207" ht="15.75" customHeight="1">
      <c r="D207" s="61"/>
      <c r="G207" s="62"/>
      <c r="H207" s="61"/>
    </row>
    <row r="208" ht="15.75" customHeight="1">
      <c r="D208" s="61"/>
      <c r="G208" s="62"/>
      <c r="H208" s="61"/>
    </row>
    <row r="209" ht="15.75" customHeight="1">
      <c r="D209" s="61"/>
      <c r="G209" s="62"/>
      <c r="H209" s="61"/>
    </row>
    <row r="210" ht="15.75" customHeight="1">
      <c r="D210" s="61"/>
      <c r="G210" s="62"/>
      <c r="H210" s="61"/>
    </row>
    <row r="211" ht="15.75" customHeight="1">
      <c r="D211" s="61"/>
      <c r="G211" s="62"/>
      <c r="H211" s="61"/>
    </row>
    <row r="212" ht="15.75" customHeight="1">
      <c r="D212" s="61"/>
      <c r="G212" s="62"/>
      <c r="H212" s="61"/>
    </row>
    <row r="213" ht="15.75" customHeight="1">
      <c r="D213" s="61"/>
      <c r="G213" s="62"/>
      <c r="H213" s="61"/>
    </row>
    <row r="214" ht="15.75" customHeight="1">
      <c r="D214" s="61"/>
      <c r="G214" s="62"/>
      <c r="H214" s="61"/>
    </row>
    <row r="215" ht="15.75" customHeight="1">
      <c r="D215" s="61"/>
      <c r="G215" s="62"/>
      <c r="H215" s="61"/>
    </row>
    <row r="216" ht="15.75" customHeight="1">
      <c r="D216" s="61"/>
      <c r="G216" s="62"/>
      <c r="H216" s="61"/>
    </row>
    <row r="217" ht="15.75" customHeight="1">
      <c r="D217" s="61"/>
      <c r="G217" s="62"/>
      <c r="H217" s="61"/>
    </row>
    <row r="218" ht="15.75" customHeight="1">
      <c r="D218" s="61"/>
      <c r="G218" s="62"/>
      <c r="H218" s="61"/>
    </row>
    <row r="219" ht="15.75" customHeight="1">
      <c r="D219" s="61"/>
      <c r="G219" s="62"/>
      <c r="H219" s="61"/>
    </row>
    <row r="220" ht="15.75" customHeight="1">
      <c r="D220" s="61"/>
      <c r="G220" s="62"/>
      <c r="H220" s="61"/>
    </row>
    <row r="221" ht="15.75" customHeight="1">
      <c r="D221" s="61"/>
      <c r="G221" s="62"/>
      <c r="H221" s="61"/>
    </row>
    <row r="222" ht="15.75" customHeight="1">
      <c r="D222" s="61"/>
      <c r="G222" s="62"/>
      <c r="H222" s="61"/>
    </row>
    <row r="223" ht="15.75" customHeight="1">
      <c r="D223" s="61"/>
      <c r="G223" s="62"/>
      <c r="H223" s="61"/>
    </row>
    <row r="224" ht="15.75" customHeight="1">
      <c r="D224" s="61"/>
      <c r="G224" s="62"/>
      <c r="H224" s="61"/>
    </row>
    <row r="225" ht="15.75" customHeight="1">
      <c r="D225" s="61"/>
      <c r="G225" s="62"/>
      <c r="H225" s="61"/>
    </row>
    <row r="226" ht="15.75" customHeight="1">
      <c r="D226" s="61"/>
      <c r="G226" s="62"/>
      <c r="H226" s="61"/>
    </row>
    <row r="227" ht="15.75" customHeight="1">
      <c r="D227" s="61"/>
      <c r="G227" s="62"/>
      <c r="H227" s="61"/>
    </row>
    <row r="228" ht="15.75" customHeight="1">
      <c r="D228" s="61"/>
      <c r="G228" s="62"/>
      <c r="H228" s="61"/>
    </row>
    <row r="229" ht="15.75" customHeight="1">
      <c r="D229" s="61"/>
      <c r="G229" s="62"/>
      <c r="H229" s="61"/>
    </row>
    <row r="230" ht="15.75" customHeight="1">
      <c r="D230" s="61"/>
      <c r="G230" s="62"/>
      <c r="H230" s="61"/>
    </row>
    <row r="231" ht="15.75" customHeight="1">
      <c r="D231" s="61"/>
      <c r="G231" s="62"/>
      <c r="H231" s="61"/>
    </row>
    <row r="232" ht="15.75" customHeight="1">
      <c r="D232" s="61"/>
      <c r="G232" s="62"/>
      <c r="H232" s="61"/>
    </row>
    <row r="233" ht="15.75" customHeight="1">
      <c r="D233" s="61"/>
      <c r="G233" s="62"/>
      <c r="H233" s="61"/>
    </row>
    <row r="234" ht="15.75" customHeight="1">
      <c r="D234" s="61"/>
      <c r="G234" s="62"/>
      <c r="H234" s="61"/>
    </row>
    <row r="235" ht="15.75" customHeight="1">
      <c r="D235" s="61"/>
      <c r="G235" s="62"/>
      <c r="H235" s="61"/>
    </row>
    <row r="236" ht="15.75" customHeight="1">
      <c r="D236" s="61"/>
      <c r="G236" s="62"/>
      <c r="H236" s="61"/>
    </row>
    <row r="237" ht="15.75" customHeight="1">
      <c r="D237" s="61"/>
      <c r="G237" s="62"/>
      <c r="H237" s="61"/>
    </row>
    <row r="238" ht="15.75" customHeight="1">
      <c r="D238" s="61"/>
      <c r="G238" s="62"/>
      <c r="H238" s="61"/>
    </row>
    <row r="239" ht="15.75" customHeight="1">
      <c r="D239" s="61"/>
      <c r="G239" s="62"/>
      <c r="H239" s="61"/>
    </row>
    <row r="240" ht="15.75" customHeight="1">
      <c r="D240" s="61"/>
      <c r="G240" s="62"/>
      <c r="H240" s="61"/>
    </row>
    <row r="241" ht="15.75" customHeight="1">
      <c r="D241" s="61"/>
      <c r="G241" s="62"/>
      <c r="H241" s="61"/>
    </row>
    <row r="242" ht="15.75" customHeight="1">
      <c r="D242" s="61"/>
      <c r="G242" s="62"/>
      <c r="H242" s="61"/>
    </row>
    <row r="243" ht="15.75" customHeight="1">
      <c r="D243" s="61"/>
      <c r="G243" s="62"/>
      <c r="H243" s="61"/>
    </row>
    <row r="244" ht="15.75" customHeight="1">
      <c r="D244" s="61"/>
      <c r="G244" s="62"/>
      <c r="H244" s="61"/>
    </row>
    <row r="245" ht="15.75" customHeight="1">
      <c r="D245" s="61"/>
      <c r="G245" s="62"/>
      <c r="H245" s="61"/>
    </row>
    <row r="246" ht="15.75" customHeight="1">
      <c r="D246" s="61"/>
      <c r="G246" s="62"/>
      <c r="H246" s="61"/>
    </row>
    <row r="247" ht="15.75" customHeight="1">
      <c r="D247" s="61"/>
      <c r="G247" s="62"/>
      <c r="H247" s="61"/>
    </row>
    <row r="248" ht="15.75" customHeight="1">
      <c r="D248" s="61"/>
      <c r="G248" s="62"/>
      <c r="H248" s="61"/>
    </row>
    <row r="249" ht="15.75" customHeight="1">
      <c r="D249" s="61"/>
      <c r="G249" s="62"/>
      <c r="H249" s="61"/>
    </row>
    <row r="250" ht="15.75" customHeight="1">
      <c r="D250" s="61"/>
      <c r="G250" s="62"/>
      <c r="H250" s="61"/>
    </row>
    <row r="251" ht="15.75" customHeight="1">
      <c r="D251" s="61"/>
      <c r="G251" s="62"/>
      <c r="H251" s="61"/>
    </row>
    <row r="252" ht="15.75" customHeight="1">
      <c r="D252" s="61"/>
      <c r="G252" s="62"/>
      <c r="H252" s="61"/>
    </row>
    <row r="253" ht="15.75" customHeight="1">
      <c r="D253" s="61"/>
      <c r="G253" s="62"/>
      <c r="H253" s="61"/>
    </row>
    <row r="254" ht="15.75" customHeight="1">
      <c r="D254" s="61"/>
      <c r="G254" s="62"/>
      <c r="H254" s="61"/>
    </row>
    <row r="255" ht="15.75" customHeight="1">
      <c r="D255" s="61"/>
      <c r="G255" s="62"/>
      <c r="H255" s="61"/>
    </row>
    <row r="256" ht="15.75" customHeight="1">
      <c r="D256" s="61"/>
      <c r="G256" s="62"/>
      <c r="H256" s="61"/>
    </row>
    <row r="257" ht="15.75" customHeight="1">
      <c r="D257" s="61"/>
      <c r="G257" s="62"/>
      <c r="H257" s="61"/>
    </row>
    <row r="258" ht="15.75" customHeight="1">
      <c r="D258" s="61"/>
      <c r="G258" s="62"/>
      <c r="H258" s="61"/>
    </row>
    <row r="259" ht="15.75" customHeight="1">
      <c r="D259" s="61"/>
      <c r="G259" s="62"/>
      <c r="H259" s="61"/>
    </row>
    <row r="260" ht="15.75" customHeight="1">
      <c r="D260" s="61"/>
      <c r="G260" s="62"/>
      <c r="H260" s="61"/>
    </row>
    <row r="261" ht="15.75" customHeight="1">
      <c r="D261" s="61"/>
      <c r="G261" s="62"/>
      <c r="H261" s="61"/>
    </row>
    <row r="262" ht="15.75" customHeight="1">
      <c r="D262" s="61"/>
      <c r="G262" s="62"/>
      <c r="H262" s="61"/>
    </row>
    <row r="263" ht="15.75" customHeight="1">
      <c r="D263" s="61"/>
      <c r="G263" s="62"/>
      <c r="H263" s="61"/>
    </row>
    <row r="264" ht="15.75" customHeight="1">
      <c r="D264" s="61"/>
      <c r="G264" s="62"/>
      <c r="H264" s="61"/>
    </row>
    <row r="265" ht="15.75" customHeight="1">
      <c r="D265" s="61"/>
      <c r="G265" s="62"/>
      <c r="H265" s="61"/>
    </row>
    <row r="266" ht="15.75" customHeight="1">
      <c r="D266" s="61"/>
      <c r="G266" s="62"/>
      <c r="H266" s="61"/>
    </row>
    <row r="267" ht="15.75" customHeight="1">
      <c r="D267" s="61"/>
      <c r="G267" s="62"/>
      <c r="H267" s="61"/>
    </row>
    <row r="268" ht="15.75" customHeight="1">
      <c r="D268" s="61"/>
      <c r="G268" s="62"/>
      <c r="H268" s="61"/>
    </row>
    <row r="269" ht="15.75" customHeight="1">
      <c r="D269" s="61"/>
      <c r="G269" s="62"/>
      <c r="H269" s="61"/>
    </row>
    <row r="270" ht="15.75" customHeight="1">
      <c r="D270" s="61"/>
      <c r="G270" s="62"/>
      <c r="H270" s="61"/>
    </row>
    <row r="271" ht="15.75" customHeight="1">
      <c r="D271" s="61"/>
      <c r="G271" s="62"/>
      <c r="H271" s="61"/>
    </row>
    <row r="272" ht="15.75" customHeight="1">
      <c r="D272" s="61"/>
      <c r="G272" s="62"/>
      <c r="H272" s="61"/>
    </row>
    <row r="273" ht="15.75" customHeight="1">
      <c r="D273" s="61"/>
      <c r="G273" s="62"/>
      <c r="H273" s="61"/>
    </row>
    <row r="274" ht="15.75" customHeight="1">
      <c r="D274" s="61"/>
      <c r="G274" s="62"/>
      <c r="H274" s="61"/>
    </row>
    <row r="275" ht="15.75" customHeight="1">
      <c r="D275" s="61"/>
      <c r="G275" s="62"/>
      <c r="H275" s="61"/>
    </row>
    <row r="276" ht="15.75" customHeight="1">
      <c r="D276" s="61"/>
      <c r="G276" s="62"/>
      <c r="H276" s="61"/>
    </row>
    <row r="277" ht="15.75" customHeight="1">
      <c r="D277" s="61"/>
      <c r="G277" s="62"/>
      <c r="H277" s="61"/>
    </row>
    <row r="278" ht="15.75" customHeight="1">
      <c r="D278" s="61"/>
      <c r="G278" s="62"/>
      <c r="H278" s="61"/>
    </row>
    <row r="279" ht="15.75" customHeight="1">
      <c r="D279" s="61"/>
      <c r="G279" s="62"/>
      <c r="H279" s="61"/>
    </row>
    <row r="280" ht="15.75" customHeight="1">
      <c r="D280" s="61"/>
      <c r="G280" s="62"/>
      <c r="H280" s="61"/>
    </row>
    <row r="281" ht="15.75" customHeight="1">
      <c r="D281" s="61"/>
      <c r="G281" s="62"/>
      <c r="H281" s="61"/>
    </row>
    <row r="282" ht="15.75" customHeight="1">
      <c r="D282" s="61"/>
      <c r="G282" s="62"/>
      <c r="H282" s="61"/>
    </row>
    <row r="283" ht="15.75" customHeight="1">
      <c r="D283" s="61"/>
      <c r="G283" s="62"/>
      <c r="H283" s="61"/>
    </row>
    <row r="284" ht="15.75" customHeight="1">
      <c r="D284" s="61"/>
      <c r="G284" s="62"/>
      <c r="H284" s="61"/>
    </row>
    <row r="285" ht="15.75" customHeight="1">
      <c r="D285" s="61"/>
      <c r="G285" s="62"/>
      <c r="H285" s="61"/>
    </row>
    <row r="286" ht="15.75" customHeight="1">
      <c r="D286" s="61"/>
      <c r="G286" s="62"/>
      <c r="H286" s="61"/>
    </row>
    <row r="287" ht="15.75" customHeight="1">
      <c r="D287" s="61"/>
      <c r="G287" s="62"/>
      <c r="H287" s="61"/>
    </row>
    <row r="288" ht="15.75" customHeight="1">
      <c r="D288" s="61"/>
      <c r="G288" s="62"/>
      <c r="H288" s="61"/>
    </row>
    <row r="289" ht="15.75" customHeight="1">
      <c r="D289" s="61"/>
      <c r="G289" s="62"/>
      <c r="H289" s="61"/>
    </row>
    <row r="290" ht="15.75" customHeight="1">
      <c r="D290" s="61"/>
      <c r="G290" s="62"/>
      <c r="H290" s="61"/>
    </row>
    <row r="291" ht="15.75" customHeight="1">
      <c r="D291" s="61"/>
      <c r="G291" s="62"/>
      <c r="H291" s="61"/>
    </row>
    <row r="292" ht="15.75" customHeight="1">
      <c r="D292" s="61"/>
      <c r="G292" s="62"/>
      <c r="H292" s="61"/>
    </row>
    <row r="293" ht="15.75" customHeight="1">
      <c r="D293" s="61"/>
      <c r="G293" s="62"/>
      <c r="H293" s="61"/>
    </row>
    <row r="294" ht="15.75" customHeight="1">
      <c r="D294" s="61"/>
      <c r="G294" s="62"/>
      <c r="H294" s="61"/>
    </row>
    <row r="295" ht="15.75" customHeight="1">
      <c r="D295" s="61"/>
      <c r="G295" s="62"/>
      <c r="H295" s="61"/>
    </row>
    <row r="296" ht="15.75" customHeight="1">
      <c r="D296" s="61"/>
      <c r="G296" s="62"/>
      <c r="H296" s="61"/>
    </row>
    <row r="297" ht="15.75" customHeight="1">
      <c r="D297" s="61"/>
      <c r="G297" s="62"/>
      <c r="H297" s="61"/>
    </row>
    <row r="298" ht="15.75" customHeight="1">
      <c r="D298" s="61"/>
      <c r="G298" s="62"/>
      <c r="H298" s="61"/>
    </row>
    <row r="299" ht="15.75" customHeight="1">
      <c r="D299" s="61"/>
      <c r="G299" s="62"/>
      <c r="H299" s="61"/>
    </row>
    <row r="300" ht="15.75" customHeight="1">
      <c r="D300" s="61"/>
      <c r="G300" s="62"/>
      <c r="H300" s="61"/>
    </row>
    <row r="301" ht="15.75" customHeight="1">
      <c r="D301" s="61"/>
      <c r="G301" s="62"/>
      <c r="H301" s="61"/>
    </row>
    <row r="302" ht="15.75" customHeight="1">
      <c r="D302" s="61"/>
      <c r="G302" s="62"/>
      <c r="H302" s="61"/>
    </row>
    <row r="303" ht="15.75" customHeight="1">
      <c r="D303" s="61"/>
      <c r="G303" s="62"/>
      <c r="H303" s="61"/>
    </row>
    <row r="304" ht="15.75" customHeight="1">
      <c r="D304" s="61"/>
      <c r="G304" s="62"/>
      <c r="H304" s="61"/>
    </row>
    <row r="305" ht="15.75" customHeight="1">
      <c r="D305" s="20"/>
      <c r="G305" s="26"/>
      <c r="H305" s="20"/>
    </row>
    <row r="306" ht="15.75" customHeight="1">
      <c r="D306" s="20"/>
      <c r="G306" s="26"/>
      <c r="H306" s="20"/>
    </row>
    <row r="307" ht="15.75" customHeight="1">
      <c r="D307" s="20"/>
      <c r="G307" s="26"/>
      <c r="H307" s="20"/>
    </row>
    <row r="308" ht="15.75" customHeight="1">
      <c r="D308" s="20"/>
      <c r="G308" s="26"/>
      <c r="H308" s="20"/>
    </row>
    <row r="309" ht="15.75" customHeight="1">
      <c r="D309" s="20"/>
      <c r="G309" s="26"/>
      <c r="H309" s="20"/>
    </row>
    <row r="310" ht="15.75" customHeight="1">
      <c r="D310" s="20"/>
      <c r="G310" s="26"/>
      <c r="H310" s="20"/>
    </row>
    <row r="311" ht="15.75" customHeight="1">
      <c r="D311" s="20"/>
      <c r="G311" s="26"/>
      <c r="H311" s="20"/>
    </row>
    <row r="312" ht="15.75" customHeight="1">
      <c r="D312" s="20"/>
      <c r="G312" s="26"/>
      <c r="H312" s="20"/>
    </row>
    <row r="313" ht="15.75" customHeight="1">
      <c r="D313" s="20"/>
      <c r="G313" s="26"/>
      <c r="H313" s="20"/>
    </row>
    <row r="314" ht="15.75" customHeight="1">
      <c r="D314" s="20"/>
      <c r="G314" s="26"/>
      <c r="H314" s="20"/>
    </row>
    <row r="315" ht="15.75" customHeight="1">
      <c r="D315" s="20"/>
      <c r="G315" s="26"/>
      <c r="H315" s="20"/>
    </row>
    <row r="316" ht="15.75" customHeight="1">
      <c r="D316" s="20"/>
      <c r="G316" s="26"/>
      <c r="H316" s="20"/>
    </row>
    <row r="317" ht="15.75" customHeight="1">
      <c r="D317" s="20"/>
      <c r="G317" s="26"/>
      <c r="H317" s="20"/>
    </row>
    <row r="318" ht="15.75" customHeight="1">
      <c r="D318" s="20"/>
      <c r="G318" s="26"/>
      <c r="H318" s="20"/>
    </row>
    <row r="319" ht="15.75" customHeight="1">
      <c r="D319" s="20"/>
      <c r="G319" s="26"/>
      <c r="H319" s="20"/>
    </row>
    <row r="320" ht="15.75" customHeight="1">
      <c r="D320" s="20"/>
      <c r="G320" s="26"/>
      <c r="H320" s="20"/>
    </row>
    <row r="321" ht="15.75" customHeight="1">
      <c r="D321" s="20"/>
      <c r="G321" s="26"/>
      <c r="H321" s="20"/>
    </row>
    <row r="322" ht="15.75" customHeight="1">
      <c r="D322" s="20"/>
      <c r="G322" s="26"/>
      <c r="H322" s="20"/>
    </row>
    <row r="323" ht="15.75" customHeight="1">
      <c r="D323" s="20"/>
      <c r="G323" s="26"/>
      <c r="H323" s="20"/>
    </row>
    <row r="324" ht="15.75" customHeight="1">
      <c r="D324" s="20"/>
      <c r="G324" s="26"/>
      <c r="H324" s="20"/>
    </row>
    <row r="325" ht="15.75" customHeight="1">
      <c r="D325" s="20"/>
      <c r="G325" s="26"/>
      <c r="H325" s="20"/>
    </row>
    <row r="326" ht="15.75" customHeight="1">
      <c r="D326" s="20"/>
      <c r="G326" s="26"/>
      <c r="H326" s="20"/>
    </row>
    <row r="327" ht="15.75" customHeight="1">
      <c r="D327" s="20"/>
      <c r="G327" s="26"/>
      <c r="H327" s="20"/>
    </row>
    <row r="328" ht="15.75" customHeight="1">
      <c r="D328" s="20"/>
      <c r="G328" s="26"/>
      <c r="H328" s="20"/>
    </row>
    <row r="329" ht="15.75" customHeight="1">
      <c r="D329" s="20"/>
      <c r="G329" s="26"/>
      <c r="H329" s="20"/>
    </row>
    <row r="330" ht="15.75" customHeight="1">
      <c r="D330" s="20"/>
      <c r="G330" s="26"/>
      <c r="H330" s="20"/>
    </row>
    <row r="331" ht="15.75" customHeight="1">
      <c r="D331" s="20"/>
      <c r="G331" s="26"/>
      <c r="H331" s="20"/>
    </row>
    <row r="332" ht="15.75" customHeight="1">
      <c r="D332" s="20"/>
      <c r="G332" s="26"/>
      <c r="H332" s="20"/>
    </row>
    <row r="333" ht="15.75" customHeight="1">
      <c r="D333" s="20"/>
      <c r="G333" s="26"/>
      <c r="H333" s="20"/>
    </row>
    <row r="334" ht="15.75" customHeight="1">
      <c r="D334" s="20"/>
      <c r="G334" s="26"/>
      <c r="H334" s="20"/>
    </row>
    <row r="335" ht="15.75" customHeight="1">
      <c r="D335" s="20"/>
      <c r="G335" s="26"/>
      <c r="H335" s="20"/>
    </row>
    <row r="336" ht="15.75" customHeight="1">
      <c r="D336" s="20"/>
      <c r="G336" s="26"/>
      <c r="H336" s="20"/>
    </row>
    <row r="337" ht="15.75" customHeight="1">
      <c r="D337" s="20"/>
      <c r="G337" s="26"/>
      <c r="H337" s="20"/>
    </row>
    <row r="338" ht="15.75" customHeight="1">
      <c r="D338" s="20"/>
      <c r="G338" s="26"/>
      <c r="H338" s="20"/>
    </row>
    <row r="339" ht="15.75" customHeight="1">
      <c r="D339" s="20"/>
      <c r="G339" s="26"/>
      <c r="H339" s="20"/>
    </row>
    <row r="340" ht="15.75" customHeight="1">
      <c r="D340" s="20"/>
      <c r="G340" s="26"/>
      <c r="H340" s="20"/>
    </row>
    <row r="341" ht="15.75" customHeight="1">
      <c r="D341" s="20"/>
      <c r="G341" s="26"/>
      <c r="H341" s="20"/>
    </row>
    <row r="342" ht="15.75" customHeight="1">
      <c r="D342" s="20"/>
      <c r="G342" s="26"/>
      <c r="H342" s="20"/>
    </row>
    <row r="343" ht="15.75" customHeight="1">
      <c r="D343" s="20"/>
      <c r="G343" s="26"/>
      <c r="H343" s="20"/>
    </row>
    <row r="344" ht="15.75" customHeight="1">
      <c r="D344" s="20"/>
      <c r="G344" s="26"/>
      <c r="H344" s="20"/>
    </row>
    <row r="345" ht="15.75" customHeight="1">
      <c r="D345" s="20"/>
      <c r="G345" s="26"/>
      <c r="H345" s="20"/>
    </row>
    <row r="346" ht="15.75" customHeight="1">
      <c r="D346" s="20"/>
      <c r="G346" s="26"/>
      <c r="H346" s="20"/>
    </row>
    <row r="347" ht="15.75" customHeight="1">
      <c r="D347" s="20"/>
      <c r="G347" s="26"/>
      <c r="H347" s="20"/>
    </row>
    <row r="348" ht="15.75" customHeight="1">
      <c r="D348" s="20"/>
      <c r="G348" s="26"/>
      <c r="H348" s="20"/>
    </row>
    <row r="349" ht="15.75" customHeight="1">
      <c r="D349" s="20"/>
      <c r="G349" s="26"/>
      <c r="H349" s="20"/>
    </row>
    <row r="350" ht="15.75" customHeight="1">
      <c r="D350" s="20"/>
      <c r="G350" s="26"/>
      <c r="H350" s="20"/>
    </row>
    <row r="351" ht="15.75" customHeight="1">
      <c r="D351" s="20"/>
      <c r="G351" s="26"/>
      <c r="H351" s="20"/>
    </row>
    <row r="352" ht="15.75" customHeight="1">
      <c r="D352" s="20"/>
      <c r="G352" s="26"/>
      <c r="H352" s="20"/>
    </row>
    <row r="353" ht="15.75" customHeight="1">
      <c r="D353" s="20"/>
      <c r="G353" s="26"/>
      <c r="H353" s="20"/>
    </row>
    <row r="354" ht="15.75" customHeight="1">
      <c r="D354" s="20"/>
      <c r="G354" s="26"/>
      <c r="H354" s="20"/>
    </row>
    <row r="355" ht="15.75" customHeight="1">
      <c r="D355" s="20"/>
      <c r="G355" s="26"/>
      <c r="H355" s="20"/>
    </row>
    <row r="356" ht="15.75" customHeight="1">
      <c r="D356" s="20"/>
      <c r="G356" s="26"/>
      <c r="H356" s="20"/>
    </row>
    <row r="357" ht="15.75" customHeight="1">
      <c r="D357" s="20"/>
      <c r="G357" s="26"/>
      <c r="H357" s="20"/>
    </row>
    <row r="358" ht="15.75" customHeight="1">
      <c r="D358" s="20"/>
      <c r="G358" s="26"/>
      <c r="H358" s="20"/>
    </row>
    <row r="359" ht="15.75" customHeight="1">
      <c r="D359" s="20"/>
      <c r="G359" s="26"/>
      <c r="H359" s="20"/>
    </row>
    <row r="360" ht="15.75" customHeight="1">
      <c r="D360" s="20"/>
      <c r="G360" s="26"/>
      <c r="H360" s="20"/>
    </row>
    <row r="361" ht="15.75" customHeight="1">
      <c r="D361" s="20"/>
      <c r="G361" s="26"/>
      <c r="H361" s="20"/>
    </row>
    <row r="362" ht="15.75" customHeight="1">
      <c r="D362" s="20"/>
      <c r="G362" s="26"/>
      <c r="H362" s="20"/>
    </row>
    <row r="363" ht="15.75" customHeight="1">
      <c r="D363" s="20"/>
      <c r="G363" s="26"/>
      <c r="H363" s="20"/>
    </row>
    <row r="364" ht="15.75" customHeight="1">
      <c r="D364" s="20"/>
      <c r="G364" s="26"/>
      <c r="H364" s="20"/>
    </row>
    <row r="365" ht="15.75" customHeight="1">
      <c r="D365" s="20"/>
      <c r="G365" s="26"/>
      <c r="H365" s="20"/>
    </row>
    <row r="366" ht="15.75" customHeight="1">
      <c r="D366" s="20"/>
      <c r="G366" s="26"/>
      <c r="H366" s="20"/>
    </row>
    <row r="367" ht="15.75" customHeight="1">
      <c r="D367" s="20"/>
      <c r="G367" s="26"/>
      <c r="H367" s="20"/>
    </row>
    <row r="368" ht="15.75" customHeight="1">
      <c r="D368" s="20"/>
      <c r="G368" s="26"/>
      <c r="H368" s="20"/>
    </row>
    <row r="369" ht="15.75" customHeight="1">
      <c r="D369" s="20"/>
      <c r="G369" s="26"/>
      <c r="H369" s="20"/>
    </row>
    <row r="370" ht="15.75" customHeight="1">
      <c r="D370" s="20"/>
      <c r="G370" s="26"/>
      <c r="H370" s="20"/>
    </row>
    <row r="371" ht="15.75" customHeight="1">
      <c r="D371" s="20"/>
      <c r="G371" s="26"/>
      <c r="H371" s="20"/>
    </row>
    <row r="372" ht="15.75" customHeight="1">
      <c r="D372" s="20"/>
      <c r="G372" s="26"/>
      <c r="H372" s="20"/>
    </row>
    <row r="373" ht="15.75" customHeight="1">
      <c r="D373" s="20"/>
      <c r="G373" s="26"/>
      <c r="H373" s="20"/>
    </row>
    <row r="374" ht="15.75" customHeight="1">
      <c r="D374" s="20"/>
      <c r="G374" s="26"/>
      <c r="H374" s="20"/>
    </row>
    <row r="375" ht="15.75" customHeight="1">
      <c r="D375" s="20"/>
      <c r="G375" s="26"/>
      <c r="H375" s="20"/>
    </row>
    <row r="376" ht="15.75" customHeight="1">
      <c r="D376" s="20"/>
      <c r="G376" s="26"/>
      <c r="H376" s="20"/>
    </row>
    <row r="377" ht="15.75" customHeight="1">
      <c r="D377" s="20"/>
      <c r="G377" s="26"/>
      <c r="H377" s="20"/>
    </row>
    <row r="378" ht="15.75" customHeight="1">
      <c r="D378" s="20"/>
      <c r="G378" s="26"/>
      <c r="H378" s="20"/>
    </row>
    <row r="379" ht="15.75" customHeight="1">
      <c r="D379" s="20"/>
      <c r="G379" s="26"/>
      <c r="H379" s="20"/>
    </row>
    <row r="380" ht="15.75" customHeight="1">
      <c r="D380" s="20"/>
      <c r="G380" s="26"/>
      <c r="H380" s="20"/>
    </row>
    <row r="381" ht="15.75" customHeight="1">
      <c r="D381" s="20"/>
      <c r="G381" s="26"/>
      <c r="H381" s="20"/>
    </row>
    <row r="382" ht="15.75" customHeight="1">
      <c r="D382" s="20"/>
      <c r="G382" s="26"/>
      <c r="H382" s="20"/>
    </row>
    <row r="383" ht="15.75" customHeight="1">
      <c r="D383" s="20"/>
      <c r="G383" s="26"/>
      <c r="H383" s="20"/>
    </row>
    <row r="384" ht="15.75" customHeight="1">
      <c r="D384" s="20"/>
      <c r="G384" s="26"/>
      <c r="H384" s="20"/>
    </row>
    <row r="385" ht="15.75" customHeight="1">
      <c r="D385" s="20"/>
      <c r="G385" s="26"/>
      <c r="H385" s="20"/>
    </row>
    <row r="386" ht="15.75" customHeight="1">
      <c r="D386" s="20"/>
      <c r="G386" s="26"/>
      <c r="H386" s="20"/>
    </row>
    <row r="387" ht="15.75" customHeight="1">
      <c r="D387" s="20"/>
      <c r="G387" s="26"/>
      <c r="H387" s="20"/>
    </row>
    <row r="388" ht="15.75" customHeight="1">
      <c r="D388" s="20"/>
      <c r="G388" s="26"/>
      <c r="H388" s="20"/>
    </row>
    <row r="389" ht="15.75" customHeight="1">
      <c r="D389" s="20"/>
      <c r="G389" s="26"/>
      <c r="H389" s="20"/>
    </row>
    <row r="390" ht="15.75" customHeight="1">
      <c r="D390" s="20"/>
      <c r="G390" s="26"/>
      <c r="H390" s="20"/>
    </row>
    <row r="391" ht="15.75" customHeight="1">
      <c r="D391" s="20"/>
      <c r="G391" s="26"/>
      <c r="H391" s="20"/>
    </row>
    <row r="392" ht="15.75" customHeight="1">
      <c r="D392" s="20"/>
      <c r="G392" s="26"/>
      <c r="H392" s="20"/>
    </row>
    <row r="393" ht="15.75" customHeight="1">
      <c r="D393" s="20"/>
      <c r="G393" s="26"/>
      <c r="H393" s="20"/>
    </row>
    <row r="394" ht="15.75" customHeight="1">
      <c r="D394" s="20"/>
      <c r="G394" s="26"/>
      <c r="H394" s="20"/>
    </row>
    <row r="395" ht="15.75" customHeight="1">
      <c r="D395" s="20"/>
      <c r="G395" s="26"/>
      <c r="H395" s="20"/>
    </row>
    <row r="396" ht="15.75" customHeight="1">
      <c r="D396" s="20"/>
      <c r="G396" s="26"/>
      <c r="H396" s="20"/>
    </row>
    <row r="397" ht="15.75" customHeight="1">
      <c r="D397" s="20"/>
      <c r="G397" s="26"/>
      <c r="H397" s="20"/>
    </row>
    <row r="398" ht="15.75" customHeight="1">
      <c r="D398" s="20"/>
      <c r="G398" s="26"/>
      <c r="H398" s="20"/>
    </row>
    <row r="399" ht="15.75" customHeight="1">
      <c r="D399" s="20"/>
      <c r="G399" s="26"/>
      <c r="H399" s="20"/>
    </row>
    <row r="400" ht="15.75" customHeight="1">
      <c r="D400" s="20"/>
      <c r="G400" s="26"/>
      <c r="H400" s="20"/>
    </row>
    <row r="401" ht="15.75" customHeight="1">
      <c r="D401" s="20"/>
      <c r="G401" s="26"/>
      <c r="H401" s="20"/>
    </row>
    <row r="402" ht="15.75" customHeight="1">
      <c r="D402" s="20"/>
      <c r="G402" s="26"/>
      <c r="H402" s="20"/>
    </row>
    <row r="403" ht="15.75" customHeight="1">
      <c r="D403" s="20"/>
      <c r="G403" s="26"/>
      <c r="H403" s="20"/>
    </row>
    <row r="404" ht="15.75" customHeight="1">
      <c r="D404" s="20"/>
      <c r="G404" s="26"/>
      <c r="H404" s="20"/>
    </row>
    <row r="405" ht="15.75" customHeight="1">
      <c r="D405" s="20"/>
      <c r="G405" s="26"/>
      <c r="H405" s="20"/>
    </row>
    <row r="406" ht="15.75" customHeight="1">
      <c r="D406" s="20"/>
      <c r="G406" s="26"/>
      <c r="H406" s="20"/>
    </row>
    <row r="407" ht="15.75" customHeight="1">
      <c r="D407" s="20"/>
      <c r="G407" s="26"/>
      <c r="H407" s="20"/>
    </row>
    <row r="408" ht="15.75" customHeight="1">
      <c r="D408" s="20"/>
      <c r="G408" s="26"/>
      <c r="H408" s="20"/>
    </row>
    <row r="409" ht="15.75" customHeight="1">
      <c r="D409" s="20"/>
      <c r="G409" s="26"/>
      <c r="H409" s="20"/>
    </row>
    <row r="410" ht="15.75" customHeight="1">
      <c r="D410" s="20"/>
      <c r="G410" s="26"/>
      <c r="H410" s="20"/>
    </row>
    <row r="411" ht="15.75" customHeight="1">
      <c r="D411" s="20"/>
      <c r="G411" s="26"/>
      <c r="H411" s="20"/>
    </row>
    <row r="412" ht="15.75" customHeight="1">
      <c r="D412" s="20"/>
      <c r="G412" s="26"/>
      <c r="H412" s="20"/>
    </row>
    <row r="413" ht="15.75" customHeight="1">
      <c r="D413" s="20"/>
      <c r="G413" s="26"/>
      <c r="H413" s="20"/>
    </row>
    <row r="414" ht="15.75" customHeight="1">
      <c r="D414" s="20"/>
      <c r="G414" s="26"/>
      <c r="H414" s="20"/>
    </row>
    <row r="415" ht="15.75" customHeight="1">
      <c r="D415" s="20"/>
      <c r="G415" s="26"/>
      <c r="H415" s="20"/>
    </row>
    <row r="416" ht="15.75" customHeight="1">
      <c r="D416" s="20"/>
      <c r="G416" s="26"/>
      <c r="H416" s="20"/>
    </row>
    <row r="417" ht="15.75" customHeight="1">
      <c r="D417" s="20"/>
      <c r="G417" s="26"/>
      <c r="H417" s="20"/>
    </row>
    <row r="418" ht="15.75" customHeight="1">
      <c r="D418" s="20"/>
      <c r="G418" s="26"/>
      <c r="H418" s="20"/>
    </row>
    <row r="419" ht="15.75" customHeight="1">
      <c r="D419" s="20"/>
      <c r="G419" s="26"/>
      <c r="H419" s="20"/>
    </row>
    <row r="420" ht="15.75" customHeight="1">
      <c r="D420" s="20"/>
      <c r="G420" s="26"/>
      <c r="H420" s="20"/>
    </row>
    <row r="421" ht="15.75" customHeight="1">
      <c r="D421" s="20"/>
      <c r="G421" s="26"/>
      <c r="H421" s="20"/>
    </row>
    <row r="422" ht="15.75" customHeight="1">
      <c r="D422" s="20"/>
      <c r="G422" s="26"/>
      <c r="H422" s="20"/>
    </row>
    <row r="423" ht="15.75" customHeight="1">
      <c r="D423" s="20"/>
      <c r="G423" s="26"/>
      <c r="H423" s="20"/>
    </row>
    <row r="424" ht="15.75" customHeight="1">
      <c r="D424" s="20"/>
      <c r="G424" s="26"/>
      <c r="H424" s="20"/>
    </row>
    <row r="425" ht="15.75" customHeight="1">
      <c r="D425" s="20"/>
      <c r="G425" s="26"/>
      <c r="H425" s="20"/>
    </row>
    <row r="426" ht="15.75" customHeight="1">
      <c r="D426" s="20"/>
      <c r="G426" s="26"/>
      <c r="H426" s="20"/>
    </row>
    <row r="427" ht="15.75" customHeight="1">
      <c r="D427" s="20"/>
      <c r="G427" s="26"/>
      <c r="H427" s="20"/>
    </row>
    <row r="428" ht="15.75" customHeight="1">
      <c r="D428" s="20"/>
      <c r="G428" s="26"/>
      <c r="H428" s="20"/>
    </row>
    <row r="429" ht="15.75" customHeight="1">
      <c r="D429" s="20"/>
      <c r="G429" s="26"/>
      <c r="H429" s="20"/>
    </row>
    <row r="430" ht="15.75" customHeight="1">
      <c r="D430" s="20"/>
      <c r="G430" s="26"/>
      <c r="H430" s="20"/>
    </row>
    <row r="431" ht="15.75" customHeight="1">
      <c r="D431" s="20"/>
      <c r="G431" s="26"/>
      <c r="H431" s="20"/>
    </row>
    <row r="432" ht="15.75" customHeight="1">
      <c r="D432" s="20"/>
      <c r="G432" s="26"/>
      <c r="H432" s="20"/>
    </row>
    <row r="433" ht="15.75" customHeight="1">
      <c r="D433" s="20"/>
      <c r="G433" s="26"/>
      <c r="H433" s="20"/>
    </row>
    <row r="434" ht="15.75" customHeight="1">
      <c r="D434" s="20"/>
      <c r="G434" s="26"/>
      <c r="H434" s="20"/>
    </row>
    <row r="435" ht="15.75" customHeight="1">
      <c r="D435" s="20"/>
      <c r="G435" s="26"/>
      <c r="H435" s="20"/>
    </row>
    <row r="436" ht="15.75" customHeight="1">
      <c r="D436" s="20"/>
      <c r="G436" s="26"/>
      <c r="H436" s="20"/>
    </row>
    <row r="437" ht="15.75" customHeight="1">
      <c r="D437" s="20"/>
      <c r="G437" s="26"/>
      <c r="H437" s="20"/>
    </row>
    <row r="438" ht="15.75" customHeight="1">
      <c r="D438" s="20"/>
      <c r="G438" s="26"/>
      <c r="H438" s="20"/>
    </row>
    <row r="439" ht="15.75" customHeight="1">
      <c r="D439" s="20"/>
      <c r="G439" s="26"/>
      <c r="H439" s="20"/>
    </row>
    <row r="440" ht="15.75" customHeight="1">
      <c r="D440" s="20"/>
      <c r="G440" s="26"/>
      <c r="H440" s="20"/>
    </row>
    <row r="441" ht="15.75" customHeight="1">
      <c r="D441" s="20"/>
      <c r="G441" s="26"/>
      <c r="H441" s="20"/>
    </row>
    <row r="442" ht="15.75" customHeight="1">
      <c r="D442" s="20"/>
      <c r="G442" s="26"/>
      <c r="H442" s="20"/>
    </row>
    <row r="443" ht="15.75" customHeight="1">
      <c r="D443" s="20"/>
      <c r="G443" s="26"/>
      <c r="H443" s="20"/>
    </row>
    <row r="444" ht="15.75" customHeight="1">
      <c r="D444" s="20"/>
      <c r="G444" s="26"/>
      <c r="H444" s="20"/>
    </row>
    <row r="445" ht="15.75" customHeight="1">
      <c r="D445" s="20"/>
      <c r="G445" s="26"/>
      <c r="H445" s="20"/>
    </row>
    <row r="446" ht="15.75" customHeight="1">
      <c r="D446" s="20"/>
      <c r="G446" s="26"/>
      <c r="H446" s="20"/>
    </row>
    <row r="447" ht="15.75" customHeight="1">
      <c r="D447" s="20"/>
      <c r="G447" s="26"/>
      <c r="H447" s="20"/>
    </row>
    <row r="448" ht="15.75" customHeight="1">
      <c r="D448" s="20"/>
      <c r="G448" s="26"/>
      <c r="H448" s="20"/>
    </row>
    <row r="449" ht="15.75" customHeight="1">
      <c r="D449" s="20"/>
      <c r="G449" s="26"/>
      <c r="H449" s="20"/>
    </row>
    <row r="450" ht="15.75" customHeight="1">
      <c r="D450" s="20"/>
      <c r="G450" s="26"/>
      <c r="H450" s="20"/>
    </row>
    <row r="451" ht="15.75" customHeight="1">
      <c r="D451" s="20"/>
      <c r="G451" s="26"/>
      <c r="H451" s="20"/>
    </row>
    <row r="452" ht="15.75" customHeight="1">
      <c r="D452" s="20"/>
      <c r="G452" s="26"/>
      <c r="H452" s="20"/>
    </row>
    <row r="453" ht="15.75" customHeight="1">
      <c r="D453" s="20"/>
      <c r="G453" s="26"/>
      <c r="H453" s="20"/>
    </row>
    <row r="454" ht="15.75" customHeight="1">
      <c r="D454" s="20"/>
      <c r="G454" s="26"/>
      <c r="H454" s="20"/>
    </row>
    <row r="455" ht="15.75" customHeight="1">
      <c r="D455" s="20"/>
      <c r="G455" s="26"/>
      <c r="H455" s="20"/>
    </row>
    <row r="456" ht="15.75" customHeight="1">
      <c r="D456" s="20"/>
      <c r="G456" s="26"/>
      <c r="H456" s="20"/>
    </row>
    <row r="457" ht="15.75" customHeight="1">
      <c r="D457" s="20"/>
      <c r="G457" s="26"/>
      <c r="H457" s="20"/>
    </row>
    <row r="458" ht="15.75" customHeight="1">
      <c r="D458" s="20"/>
      <c r="G458" s="26"/>
      <c r="H458" s="20"/>
    </row>
    <row r="459" ht="15.75" customHeight="1">
      <c r="D459" s="20"/>
      <c r="G459" s="26"/>
      <c r="H459" s="20"/>
    </row>
    <row r="460" ht="15.75" customHeight="1">
      <c r="D460" s="20"/>
      <c r="G460" s="26"/>
      <c r="H460" s="20"/>
    </row>
    <row r="461" ht="15.75" customHeight="1">
      <c r="D461" s="20"/>
      <c r="G461" s="26"/>
      <c r="H461" s="20"/>
    </row>
    <row r="462" ht="15.75" customHeight="1">
      <c r="D462" s="20"/>
      <c r="G462" s="26"/>
      <c r="H462" s="20"/>
    </row>
    <row r="463" ht="15.75" customHeight="1">
      <c r="D463" s="20"/>
      <c r="G463" s="26"/>
      <c r="H463" s="20"/>
    </row>
    <row r="464" ht="15.75" customHeight="1">
      <c r="D464" s="20"/>
      <c r="G464" s="26"/>
      <c r="H464" s="20"/>
    </row>
    <row r="465" ht="15.75" customHeight="1">
      <c r="D465" s="20"/>
      <c r="G465" s="26"/>
      <c r="H465" s="20"/>
    </row>
    <row r="466" ht="15.75" customHeight="1">
      <c r="D466" s="20"/>
      <c r="G466" s="26"/>
      <c r="H466" s="20"/>
    </row>
    <row r="467" ht="15.75" customHeight="1">
      <c r="D467" s="20"/>
      <c r="G467" s="26"/>
      <c r="H467" s="20"/>
    </row>
    <row r="468" ht="15.75" customHeight="1">
      <c r="D468" s="20"/>
      <c r="G468" s="26"/>
      <c r="H468" s="20"/>
    </row>
    <row r="469" ht="15.75" customHeight="1">
      <c r="D469" s="20"/>
      <c r="G469" s="26"/>
      <c r="H469" s="20"/>
    </row>
    <row r="470" ht="15.75" customHeight="1">
      <c r="D470" s="20"/>
      <c r="G470" s="26"/>
      <c r="H470" s="20"/>
    </row>
    <row r="471" ht="15.75" customHeight="1">
      <c r="D471" s="20"/>
      <c r="G471" s="26"/>
      <c r="H471" s="20"/>
    </row>
    <row r="472" ht="15.75" customHeight="1">
      <c r="D472" s="20"/>
      <c r="G472" s="26"/>
      <c r="H472" s="20"/>
    </row>
    <row r="473" ht="15.75" customHeight="1">
      <c r="D473" s="20"/>
      <c r="G473" s="26"/>
      <c r="H473" s="20"/>
    </row>
    <row r="474" ht="15.75" customHeight="1">
      <c r="D474" s="20"/>
      <c r="G474" s="26"/>
      <c r="H474" s="20"/>
    </row>
    <row r="475" ht="15.75" customHeight="1">
      <c r="D475" s="20"/>
      <c r="G475" s="26"/>
      <c r="H475" s="20"/>
    </row>
    <row r="476" ht="15.75" customHeight="1">
      <c r="D476" s="20"/>
      <c r="G476" s="26"/>
      <c r="H476" s="20"/>
    </row>
    <row r="477" ht="15.75" customHeight="1">
      <c r="D477" s="20"/>
      <c r="G477" s="26"/>
      <c r="H477" s="20"/>
    </row>
    <row r="478" ht="15.75" customHeight="1">
      <c r="D478" s="20"/>
      <c r="G478" s="26"/>
      <c r="H478" s="20"/>
    </row>
    <row r="479" ht="15.75" customHeight="1">
      <c r="D479" s="20"/>
      <c r="G479" s="26"/>
      <c r="H479" s="20"/>
    </row>
    <row r="480" ht="15.75" customHeight="1">
      <c r="D480" s="20"/>
      <c r="G480" s="26"/>
      <c r="H480" s="20"/>
    </row>
    <row r="481" ht="15.75" customHeight="1">
      <c r="D481" s="20"/>
      <c r="G481" s="26"/>
      <c r="H481" s="20"/>
    </row>
    <row r="482" ht="15.75" customHeight="1">
      <c r="D482" s="20"/>
      <c r="G482" s="26"/>
      <c r="H482" s="20"/>
    </row>
    <row r="483" ht="15.75" customHeight="1">
      <c r="D483" s="20"/>
      <c r="G483" s="26"/>
      <c r="H483" s="20"/>
    </row>
    <row r="484" ht="15.75" customHeight="1">
      <c r="D484" s="20"/>
      <c r="G484" s="26"/>
      <c r="H484" s="20"/>
    </row>
    <row r="485" ht="15.75" customHeight="1">
      <c r="D485" s="20"/>
      <c r="G485" s="26"/>
      <c r="H485" s="20"/>
    </row>
    <row r="486" ht="15.75" customHeight="1">
      <c r="D486" s="20"/>
      <c r="G486" s="26"/>
      <c r="H486" s="20"/>
    </row>
    <row r="487" ht="15.75" customHeight="1">
      <c r="D487" s="20"/>
      <c r="G487" s="26"/>
      <c r="H487" s="20"/>
    </row>
    <row r="488" ht="15.75" customHeight="1">
      <c r="D488" s="20"/>
      <c r="G488" s="26"/>
      <c r="H488" s="20"/>
    </row>
    <row r="489" ht="15.75" customHeight="1">
      <c r="D489" s="20"/>
      <c r="G489" s="26"/>
      <c r="H489" s="20"/>
    </row>
    <row r="490" ht="15.75" customHeight="1">
      <c r="D490" s="20"/>
      <c r="G490" s="26"/>
      <c r="H490" s="20"/>
    </row>
    <row r="491" ht="15.75" customHeight="1">
      <c r="D491" s="20"/>
      <c r="G491" s="26"/>
      <c r="H491" s="20"/>
    </row>
    <row r="492" ht="15.75" customHeight="1">
      <c r="D492" s="20"/>
      <c r="G492" s="26"/>
      <c r="H492" s="20"/>
    </row>
    <row r="493" ht="15.75" customHeight="1">
      <c r="D493" s="20"/>
      <c r="G493" s="26"/>
      <c r="H493" s="20"/>
    </row>
    <row r="494" ht="15.75" customHeight="1">
      <c r="D494" s="20"/>
      <c r="G494" s="26"/>
      <c r="H494" s="20"/>
    </row>
    <row r="495" ht="15.75" customHeight="1">
      <c r="D495" s="20"/>
      <c r="G495" s="26"/>
      <c r="H495" s="20"/>
    </row>
    <row r="496" ht="15.75" customHeight="1">
      <c r="D496" s="20"/>
      <c r="G496" s="26"/>
      <c r="H496" s="20"/>
    </row>
    <row r="497" ht="15.75" customHeight="1">
      <c r="D497" s="20"/>
      <c r="G497" s="26"/>
      <c r="H497" s="20"/>
    </row>
    <row r="498" ht="15.75" customHeight="1">
      <c r="D498" s="20"/>
      <c r="G498" s="26"/>
      <c r="H498" s="20"/>
    </row>
    <row r="499" ht="15.75" customHeight="1">
      <c r="D499" s="20"/>
      <c r="G499" s="26"/>
      <c r="H499" s="20"/>
    </row>
    <row r="500" ht="15.75" customHeight="1">
      <c r="D500" s="20"/>
      <c r="G500" s="26"/>
      <c r="H500" s="20"/>
    </row>
    <row r="501" ht="15.75" customHeight="1">
      <c r="D501" s="20"/>
      <c r="G501" s="26"/>
      <c r="H501" s="20"/>
    </row>
    <row r="502" ht="15.75" customHeight="1">
      <c r="D502" s="20"/>
      <c r="G502" s="26"/>
      <c r="H502" s="20"/>
    </row>
    <row r="503" ht="15.75" customHeight="1">
      <c r="D503" s="20"/>
      <c r="G503" s="26"/>
      <c r="H503" s="20"/>
    </row>
    <row r="504" ht="15.75" customHeight="1">
      <c r="D504" s="20"/>
      <c r="G504" s="26"/>
      <c r="H504" s="20"/>
    </row>
    <row r="505" ht="15.75" customHeight="1">
      <c r="D505" s="20"/>
      <c r="G505" s="26"/>
      <c r="H505" s="20"/>
    </row>
    <row r="506" ht="15.75" customHeight="1">
      <c r="D506" s="20"/>
      <c r="G506" s="26"/>
      <c r="H506" s="20"/>
    </row>
    <row r="507" ht="15.75" customHeight="1">
      <c r="D507" s="20"/>
      <c r="G507" s="26"/>
      <c r="H507" s="20"/>
    </row>
    <row r="508" ht="15.75" customHeight="1">
      <c r="D508" s="20"/>
      <c r="G508" s="26"/>
      <c r="H508" s="20"/>
    </row>
    <row r="509" ht="15.75" customHeight="1">
      <c r="D509" s="20"/>
      <c r="G509" s="26"/>
      <c r="H509" s="20"/>
    </row>
    <row r="510" ht="15.75" customHeight="1">
      <c r="D510" s="20"/>
      <c r="G510" s="26"/>
      <c r="H510" s="20"/>
    </row>
    <row r="511" ht="15.75" customHeight="1">
      <c r="D511" s="20"/>
      <c r="G511" s="26"/>
      <c r="H511" s="20"/>
    </row>
    <row r="512" ht="15.75" customHeight="1">
      <c r="D512" s="20"/>
      <c r="G512" s="26"/>
      <c r="H512" s="20"/>
    </row>
    <row r="513" ht="15.75" customHeight="1">
      <c r="D513" s="20"/>
      <c r="G513" s="26"/>
      <c r="H513" s="20"/>
    </row>
    <row r="514" ht="15.75" customHeight="1">
      <c r="D514" s="20"/>
      <c r="G514" s="26"/>
      <c r="H514" s="20"/>
    </row>
    <row r="515" ht="15.75" customHeight="1">
      <c r="D515" s="20"/>
      <c r="G515" s="26"/>
      <c r="H515" s="20"/>
    </row>
    <row r="516" ht="15.75" customHeight="1">
      <c r="D516" s="20"/>
      <c r="G516" s="26"/>
      <c r="H516" s="20"/>
    </row>
    <row r="517" ht="15.75" customHeight="1">
      <c r="D517" s="20"/>
      <c r="G517" s="26"/>
      <c r="H517" s="20"/>
    </row>
    <row r="518" ht="15.75" customHeight="1">
      <c r="D518" s="20"/>
      <c r="G518" s="26"/>
      <c r="H518" s="20"/>
    </row>
    <row r="519" ht="15.75" customHeight="1">
      <c r="D519" s="20"/>
      <c r="G519" s="26"/>
      <c r="H519" s="20"/>
    </row>
    <row r="520" ht="15.75" customHeight="1">
      <c r="D520" s="20"/>
      <c r="G520" s="26"/>
      <c r="H520" s="20"/>
    </row>
    <row r="521" ht="15.75" customHeight="1">
      <c r="D521" s="20"/>
      <c r="G521" s="26"/>
      <c r="H521" s="20"/>
    </row>
    <row r="522" ht="15.75" customHeight="1">
      <c r="D522" s="20"/>
      <c r="G522" s="26"/>
      <c r="H522" s="20"/>
    </row>
    <row r="523" ht="15.75" customHeight="1">
      <c r="D523" s="20"/>
      <c r="G523" s="26"/>
      <c r="H523" s="20"/>
    </row>
    <row r="524" ht="15.75" customHeight="1">
      <c r="D524" s="20"/>
      <c r="G524" s="26"/>
      <c r="H524" s="20"/>
    </row>
    <row r="525" ht="15.75" customHeight="1">
      <c r="D525" s="20"/>
      <c r="G525" s="26"/>
      <c r="H525" s="20"/>
    </row>
    <row r="526" ht="15.75" customHeight="1">
      <c r="D526" s="20"/>
      <c r="G526" s="26"/>
      <c r="H526" s="20"/>
    </row>
    <row r="527" ht="15.75" customHeight="1">
      <c r="D527" s="20"/>
      <c r="G527" s="26"/>
      <c r="H527" s="20"/>
    </row>
    <row r="528" ht="15.75" customHeight="1">
      <c r="D528" s="20"/>
      <c r="G528" s="26"/>
      <c r="H528" s="20"/>
    </row>
    <row r="529" ht="15.75" customHeight="1">
      <c r="D529" s="20"/>
      <c r="G529" s="26"/>
      <c r="H529" s="20"/>
    </row>
    <row r="530" ht="15.75" customHeight="1">
      <c r="D530" s="20"/>
      <c r="G530" s="26"/>
      <c r="H530" s="20"/>
    </row>
    <row r="531" ht="15.75" customHeight="1">
      <c r="D531" s="20"/>
      <c r="G531" s="26"/>
      <c r="H531" s="20"/>
    </row>
    <row r="532" ht="15.75" customHeight="1">
      <c r="D532" s="20"/>
      <c r="G532" s="26"/>
      <c r="H532" s="20"/>
    </row>
    <row r="533" ht="15.75" customHeight="1">
      <c r="D533" s="20"/>
      <c r="G533" s="26"/>
      <c r="H533" s="20"/>
    </row>
    <row r="534" ht="15.75" customHeight="1">
      <c r="D534" s="20"/>
      <c r="G534" s="26"/>
      <c r="H534" s="20"/>
    </row>
    <row r="535" ht="15.75" customHeight="1">
      <c r="D535" s="20"/>
      <c r="G535" s="26"/>
      <c r="H535" s="20"/>
    </row>
    <row r="536" ht="15.75" customHeight="1">
      <c r="D536" s="20"/>
      <c r="G536" s="26"/>
      <c r="H536" s="20"/>
    </row>
    <row r="537" ht="15.75" customHeight="1">
      <c r="D537" s="20"/>
      <c r="G537" s="26"/>
      <c r="H537" s="20"/>
    </row>
    <row r="538" ht="15.75" customHeight="1">
      <c r="D538" s="20"/>
      <c r="G538" s="26"/>
      <c r="H538" s="20"/>
    </row>
    <row r="539" ht="15.75" customHeight="1">
      <c r="D539" s="20"/>
      <c r="G539" s="26"/>
      <c r="H539" s="20"/>
    </row>
    <row r="540" ht="15.75" customHeight="1">
      <c r="D540" s="20"/>
      <c r="G540" s="26"/>
      <c r="H540" s="20"/>
    </row>
    <row r="541" ht="15.75" customHeight="1">
      <c r="D541" s="20"/>
      <c r="G541" s="26"/>
      <c r="H541" s="20"/>
    </row>
    <row r="542" ht="15.75" customHeight="1">
      <c r="D542" s="20"/>
      <c r="G542" s="26"/>
      <c r="H542" s="20"/>
    </row>
    <row r="543" ht="15.75" customHeight="1">
      <c r="D543" s="20"/>
      <c r="G543" s="26"/>
      <c r="H543" s="20"/>
    </row>
    <row r="544" ht="15.75" customHeight="1">
      <c r="D544" s="20"/>
      <c r="G544" s="26"/>
      <c r="H544" s="20"/>
    </row>
    <row r="545" ht="15.75" customHeight="1">
      <c r="D545" s="20"/>
      <c r="G545" s="26"/>
      <c r="H545" s="20"/>
    </row>
    <row r="546" ht="15.75" customHeight="1">
      <c r="D546" s="20"/>
      <c r="G546" s="26"/>
      <c r="H546" s="20"/>
    </row>
    <row r="547" ht="15.75" customHeight="1">
      <c r="D547" s="20"/>
      <c r="G547" s="26"/>
      <c r="H547" s="20"/>
    </row>
    <row r="548" ht="15.75" customHeight="1">
      <c r="D548" s="20"/>
      <c r="G548" s="26"/>
      <c r="H548" s="20"/>
    </row>
    <row r="549" ht="15.75" customHeight="1">
      <c r="D549" s="20"/>
      <c r="G549" s="26"/>
      <c r="H549" s="20"/>
    </row>
    <row r="550" ht="15.75" customHeight="1">
      <c r="D550" s="20"/>
      <c r="G550" s="26"/>
      <c r="H550" s="20"/>
    </row>
    <row r="551" ht="15.75" customHeight="1">
      <c r="D551" s="20"/>
      <c r="G551" s="26"/>
      <c r="H551" s="20"/>
    </row>
    <row r="552" ht="15.75" customHeight="1">
      <c r="D552" s="20"/>
      <c r="G552" s="26"/>
      <c r="H552" s="20"/>
    </row>
    <row r="553" ht="15.75" customHeight="1">
      <c r="D553" s="20"/>
      <c r="G553" s="26"/>
      <c r="H553" s="20"/>
    </row>
    <row r="554" ht="15.75" customHeight="1">
      <c r="D554" s="20"/>
      <c r="G554" s="26"/>
      <c r="H554" s="20"/>
    </row>
    <row r="555" ht="15.75" customHeight="1">
      <c r="D555" s="20"/>
      <c r="G555" s="26"/>
      <c r="H555" s="20"/>
    </row>
    <row r="556" ht="15.75" customHeight="1">
      <c r="D556" s="20"/>
      <c r="G556" s="26"/>
      <c r="H556" s="20"/>
    </row>
    <row r="557" ht="15.75" customHeight="1">
      <c r="D557" s="20"/>
      <c r="G557" s="26"/>
      <c r="H557" s="20"/>
    </row>
    <row r="558" ht="15.75" customHeight="1">
      <c r="D558" s="20"/>
      <c r="G558" s="26"/>
      <c r="H558" s="20"/>
    </row>
    <row r="559" ht="15.75" customHeight="1">
      <c r="D559" s="20"/>
      <c r="G559" s="26"/>
      <c r="H559" s="20"/>
    </row>
    <row r="560" ht="15.75" customHeight="1">
      <c r="D560" s="20"/>
      <c r="G560" s="26"/>
      <c r="H560" s="20"/>
    </row>
    <row r="561" ht="15.75" customHeight="1">
      <c r="D561" s="20"/>
      <c r="G561" s="26"/>
      <c r="H561" s="20"/>
    </row>
    <row r="562" ht="15.75" customHeight="1">
      <c r="D562" s="20"/>
      <c r="G562" s="26"/>
      <c r="H562" s="20"/>
    </row>
    <row r="563" ht="15.75" customHeight="1">
      <c r="D563" s="20"/>
      <c r="G563" s="26"/>
      <c r="H563" s="20"/>
    </row>
    <row r="564" ht="15.75" customHeight="1">
      <c r="D564" s="20"/>
      <c r="G564" s="26"/>
      <c r="H564" s="20"/>
    </row>
    <row r="565" ht="15.75" customHeight="1">
      <c r="D565" s="20"/>
      <c r="G565" s="26"/>
      <c r="H565" s="20"/>
    </row>
    <row r="566" ht="15.75" customHeight="1">
      <c r="D566" s="20"/>
      <c r="G566" s="26"/>
      <c r="H566" s="20"/>
    </row>
    <row r="567" ht="15.75" customHeight="1">
      <c r="D567" s="20"/>
      <c r="G567" s="26"/>
      <c r="H567" s="20"/>
    </row>
    <row r="568" ht="15.75" customHeight="1">
      <c r="D568" s="20"/>
      <c r="G568" s="26"/>
      <c r="H568" s="20"/>
    </row>
    <row r="569" ht="15.75" customHeight="1">
      <c r="D569" s="20"/>
      <c r="G569" s="26"/>
      <c r="H569" s="20"/>
    </row>
    <row r="570" ht="15.75" customHeight="1">
      <c r="D570" s="20"/>
      <c r="G570" s="26"/>
      <c r="H570" s="20"/>
    </row>
    <row r="571" ht="15.75" customHeight="1">
      <c r="D571" s="20"/>
      <c r="G571" s="26"/>
      <c r="H571" s="20"/>
    </row>
    <row r="572" ht="15.75" customHeight="1">
      <c r="D572" s="20"/>
      <c r="G572" s="26"/>
      <c r="H572" s="20"/>
    </row>
    <row r="573" ht="15.75" customHeight="1">
      <c r="D573" s="20"/>
      <c r="G573" s="26"/>
      <c r="H573" s="20"/>
    </row>
    <row r="574" ht="15.75" customHeight="1">
      <c r="D574" s="20"/>
      <c r="G574" s="26"/>
      <c r="H574" s="20"/>
    </row>
    <row r="575" ht="15.75" customHeight="1">
      <c r="D575" s="20"/>
      <c r="G575" s="26"/>
      <c r="H575" s="20"/>
    </row>
    <row r="576" ht="15.75" customHeight="1">
      <c r="D576" s="20"/>
      <c r="G576" s="26"/>
      <c r="H576" s="20"/>
    </row>
    <row r="577" ht="15.75" customHeight="1">
      <c r="D577" s="20"/>
      <c r="G577" s="26"/>
      <c r="H577" s="20"/>
    </row>
    <row r="578" ht="15.75" customHeight="1">
      <c r="D578" s="20"/>
      <c r="G578" s="26"/>
      <c r="H578" s="20"/>
    </row>
    <row r="579" ht="15.75" customHeight="1">
      <c r="D579" s="20"/>
      <c r="G579" s="26"/>
      <c r="H579" s="20"/>
    </row>
    <row r="580" ht="15.75" customHeight="1">
      <c r="D580" s="20"/>
      <c r="G580" s="26"/>
      <c r="H580" s="20"/>
    </row>
    <row r="581" ht="15.75" customHeight="1">
      <c r="D581" s="20"/>
      <c r="G581" s="26"/>
      <c r="H581" s="20"/>
    </row>
    <row r="582" ht="15.75" customHeight="1">
      <c r="D582" s="20"/>
      <c r="G582" s="26"/>
      <c r="H582" s="20"/>
    </row>
    <row r="583" ht="15.75" customHeight="1">
      <c r="D583" s="20"/>
      <c r="G583" s="26"/>
      <c r="H583" s="20"/>
    </row>
    <row r="584" ht="15.75" customHeight="1">
      <c r="D584" s="20"/>
      <c r="G584" s="26"/>
      <c r="H584" s="20"/>
    </row>
    <row r="585" ht="15.75" customHeight="1">
      <c r="D585" s="20"/>
      <c r="G585" s="26"/>
      <c r="H585" s="20"/>
    </row>
    <row r="586" ht="15.75" customHeight="1">
      <c r="D586" s="20"/>
      <c r="G586" s="26"/>
      <c r="H586" s="20"/>
    </row>
    <row r="587" ht="15.75" customHeight="1">
      <c r="D587" s="20"/>
      <c r="G587" s="26"/>
      <c r="H587" s="20"/>
    </row>
    <row r="588" ht="15.75" customHeight="1">
      <c r="D588" s="20"/>
      <c r="G588" s="26"/>
      <c r="H588" s="20"/>
    </row>
    <row r="589" ht="15.75" customHeight="1">
      <c r="D589" s="20"/>
      <c r="G589" s="26"/>
      <c r="H589" s="20"/>
    </row>
    <row r="590" ht="15.75" customHeight="1">
      <c r="D590" s="20"/>
      <c r="G590" s="26"/>
      <c r="H590" s="20"/>
    </row>
    <row r="591" ht="15.75" customHeight="1">
      <c r="D591" s="20"/>
      <c r="G591" s="26"/>
      <c r="H591" s="20"/>
    </row>
    <row r="592" ht="15.75" customHeight="1">
      <c r="D592" s="20"/>
      <c r="G592" s="26"/>
      <c r="H592" s="20"/>
    </row>
    <row r="593" ht="15.75" customHeight="1">
      <c r="D593" s="20"/>
      <c r="G593" s="26"/>
      <c r="H593" s="20"/>
    </row>
    <row r="594" ht="15.75" customHeight="1">
      <c r="D594" s="20"/>
      <c r="G594" s="26"/>
      <c r="H594" s="20"/>
    </row>
    <row r="595" ht="15.75" customHeight="1">
      <c r="D595" s="20"/>
      <c r="G595" s="26"/>
      <c r="H595" s="20"/>
    </row>
    <row r="596" ht="15.75" customHeight="1">
      <c r="D596" s="20"/>
      <c r="G596" s="26"/>
      <c r="H596" s="20"/>
    </row>
    <row r="597" ht="15.75" customHeight="1">
      <c r="D597" s="20"/>
      <c r="G597" s="26"/>
      <c r="H597" s="20"/>
    </row>
    <row r="598" ht="15.75" customHeight="1">
      <c r="D598" s="20"/>
      <c r="G598" s="26"/>
      <c r="H598" s="20"/>
    </row>
    <row r="599" ht="15.75" customHeight="1">
      <c r="D599" s="20"/>
      <c r="G599" s="26"/>
      <c r="H599" s="20"/>
    </row>
    <row r="600" ht="15.75" customHeight="1">
      <c r="D600" s="20"/>
      <c r="G600" s="26"/>
      <c r="H600" s="20"/>
    </row>
    <row r="601" ht="15.75" customHeight="1">
      <c r="D601" s="20"/>
      <c r="G601" s="26"/>
      <c r="H601" s="20"/>
    </row>
    <row r="602" ht="15.75" customHeight="1">
      <c r="D602" s="20"/>
      <c r="G602" s="26"/>
      <c r="H602" s="20"/>
    </row>
    <row r="603" ht="15.75" customHeight="1">
      <c r="D603" s="20"/>
      <c r="G603" s="26"/>
      <c r="H603" s="20"/>
    </row>
    <row r="604" ht="15.75" customHeight="1">
      <c r="D604" s="20"/>
      <c r="G604" s="26"/>
      <c r="H604" s="20"/>
    </row>
    <row r="605" ht="15.75" customHeight="1">
      <c r="D605" s="20"/>
      <c r="G605" s="26"/>
      <c r="H605" s="20"/>
    </row>
    <row r="606" ht="15.75" customHeight="1">
      <c r="D606" s="20"/>
      <c r="G606" s="26"/>
      <c r="H606" s="20"/>
    </row>
    <row r="607" ht="15.75" customHeight="1">
      <c r="D607" s="20"/>
      <c r="G607" s="26"/>
      <c r="H607" s="20"/>
    </row>
    <row r="608" ht="15.75" customHeight="1">
      <c r="D608" s="20"/>
      <c r="G608" s="26"/>
      <c r="H608" s="20"/>
    </row>
    <row r="609" ht="15.75" customHeight="1">
      <c r="D609" s="20"/>
      <c r="G609" s="26"/>
      <c r="H609" s="20"/>
    </row>
    <row r="610" ht="15.75" customHeight="1">
      <c r="D610" s="20"/>
      <c r="G610" s="26"/>
      <c r="H610" s="20"/>
    </row>
    <row r="611" ht="15.75" customHeight="1">
      <c r="D611" s="20"/>
      <c r="G611" s="26"/>
      <c r="H611" s="20"/>
    </row>
    <row r="612" ht="15.75" customHeight="1">
      <c r="D612" s="20"/>
      <c r="G612" s="26"/>
      <c r="H612" s="20"/>
    </row>
    <row r="613" ht="15.75" customHeight="1">
      <c r="D613" s="20"/>
      <c r="G613" s="26"/>
      <c r="H613" s="20"/>
    </row>
    <row r="614" ht="15.75" customHeight="1">
      <c r="D614" s="20"/>
      <c r="G614" s="26"/>
      <c r="H614" s="20"/>
    </row>
    <row r="615" ht="15.75" customHeight="1">
      <c r="D615" s="20"/>
      <c r="G615" s="26"/>
      <c r="H615" s="20"/>
    </row>
    <row r="616" ht="15.75" customHeight="1">
      <c r="D616" s="20"/>
      <c r="G616" s="26"/>
      <c r="H616" s="20"/>
    </row>
    <row r="617" ht="15.75" customHeight="1">
      <c r="D617" s="20"/>
      <c r="G617" s="26"/>
      <c r="H617" s="20"/>
    </row>
    <row r="618" ht="15.75" customHeight="1">
      <c r="D618" s="20"/>
      <c r="G618" s="26"/>
      <c r="H618" s="20"/>
    </row>
    <row r="619" ht="15.75" customHeight="1">
      <c r="D619" s="20"/>
      <c r="G619" s="26"/>
      <c r="H619" s="20"/>
    </row>
    <row r="620" ht="15.75" customHeight="1">
      <c r="D620" s="20"/>
      <c r="G620" s="26"/>
      <c r="H620" s="20"/>
    </row>
    <row r="621" ht="15.75" customHeight="1">
      <c r="D621" s="20"/>
      <c r="G621" s="26"/>
      <c r="H621" s="20"/>
    </row>
    <row r="622" ht="15.75" customHeight="1">
      <c r="D622" s="20"/>
      <c r="G622" s="26"/>
      <c r="H622" s="20"/>
    </row>
    <row r="623" ht="15.75" customHeight="1">
      <c r="D623" s="20"/>
      <c r="G623" s="26"/>
      <c r="H623" s="20"/>
    </row>
    <row r="624" ht="15.75" customHeight="1">
      <c r="D624" s="20"/>
      <c r="G624" s="26"/>
      <c r="H624" s="20"/>
    </row>
    <row r="625" ht="15.75" customHeight="1">
      <c r="D625" s="20"/>
      <c r="G625" s="26"/>
      <c r="H625" s="20"/>
    </row>
    <row r="626" ht="15.75" customHeight="1">
      <c r="D626" s="20"/>
      <c r="G626" s="26"/>
      <c r="H626" s="20"/>
    </row>
    <row r="627" ht="15.75" customHeight="1">
      <c r="D627" s="20"/>
      <c r="G627" s="26"/>
      <c r="H627" s="20"/>
    </row>
    <row r="628" ht="15.75" customHeight="1">
      <c r="D628" s="20"/>
      <c r="G628" s="26"/>
      <c r="H628" s="20"/>
    </row>
    <row r="629" ht="15.75" customHeight="1">
      <c r="D629" s="20"/>
      <c r="G629" s="26"/>
      <c r="H629" s="20"/>
    </row>
    <row r="630" ht="15.75" customHeight="1">
      <c r="D630" s="20"/>
      <c r="G630" s="26"/>
      <c r="H630" s="20"/>
    </row>
    <row r="631" ht="15.75" customHeight="1">
      <c r="D631" s="20"/>
      <c r="G631" s="26"/>
      <c r="H631" s="20"/>
    </row>
    <row r="632" ht="15.75" customHeight="1">
      <c r="D632" s="20"/>
      <c r="G632" s="26"/>
      <c r="H632" s="20"/>
    </row>
    <row r="633" ht="15.75" customHeight="1">
      <c r="D633" s="20"/>
      <c r="G633" s="26"/>
      <c r="H633" s="20"/>
    </row>
    <row r="634" ht="15.75" customHeight="1">
      <c r="D634" s="20"/>
      <c r="G634" s="26"/>
      <c r="H634" s="20"/>
    </row>
    <row r="635" ht="15.75" customHeight="1">
      <c r="D635" s="20"/>
      <c r="G635" s="26"/>
      <c r="H635" s="20"/>
    </row>
    <row r="636" ht="15.75" customHeight="1">
      <c r="D636" s="20"/>
      <c r="G636" s="26"/>
      <c r="H636" s="20"/>
    </row>
    <row r="637" ht="15.75" customHeight="1">
      <c r="D637" s="20"/>
      <c r="G637" s="26"/>
      <c r="H637" s="20"/>
    </row>
    <row r="638" ht="15.75" customHeight="1">
      <c r="D638" s="20"/>
      <c r="G638" s="26"/>
      <c r="H638" s="20"/>
    </row>
    <row r="639" ht="15.75" customHeight="1">
      <c r="D639" s="20"/>
      <c r="G639" s="26"/>
      <c r="H639" s="20"/>
    </row>
    <row r="640" ht="15.75" customHeight="1">
      <c r="D640" s="20"/>
      <c r="G640" s="26"/>
      <c r="H640" s="20"/>
    </row>
    <row r="641" ht="15.75" customHeight="1">
      <c r="D641" s="20"/>
      <c r="G641" s="26"/>
      <c r="H641" s="20"/>
    </row>
    <row r="642" ht="15.75" customHeight="1">
      <c r="D642" s="20"/>
      <c r="G642" s="26"/>
      <c r="H642" s="20"/>
    </row>
    <row r="643" ht="15.75" customHeight="1">
      <c r="D643" s="20"/>
      <c r="G643" s="26"/>
      <c r="H643" s="20"/>
    </row>
    <row r="644" ht="15.75" customHeight="1">
      <c r="D644" s="20"/>
      <c r="G644" s="26"/>
      <c r="H644" s="20"/>
    </row>
    <row r="645" ht="15.75" customHeight="1">
      <c r="D645" s="20"/>
      <c r="G645" s="26"/>
      <c r="H645" s="20"/>
    </row>
    <row r="646" ht="15.75" customHeight="1">
      <c r="D646" s="20"/>
      <c r="G646" s="26"/>
      <c r="H646" s="20"/>
    </row>
    <row r="647" ht="15.75" customHeight="1">
      <c r="D647" s="20"/>
      <c r="G647" s="26"/>
      <c r="H647" s="20"/>
    </row>
    <row r="648" ht="15.75" customHeight="1">
      <c r="D648" s="20"/>
      <c r="G648" s="26"/>
      <c r="H648" s="20"/>
    </row>
    <row r="649" ht="15.75" customHeight="1">
      <c r="D649" s="20"/>
      <c r="G649" s="26"/>
      <c r="H649" s="20"/>
    </row>
    <row r="650" ht="15.75" customHeight="1">
      <c r="D650" s="20"/>
      <c r="G650" s="26"/>
      <c r="H650" s="20"/>
    </row>
    <row r="651" ht="15.75" customHeight="1">
      <c r="D651" s="20"/>
      <c r="G651" s="26"/>
      <c r="H651" s="20"/>
    </row>
    <row r="652" ht="15.75" customHeight="1">
      <c r="D652" s="20"/>
      <c r="G652" s="26"/>
      <c r="H652" s="20"/>
    </row>
    <row r="653" ht="15.75" customHeight="1">
      <c r="D653" s="20"/>
      <c r="G653" s="26"/>
      <c r="H653" s="20"/>
    </row>
    <row r="654" ht="15.75" customHeight="1">
      <c r="D654" s="20"/>
      <c r="G654" s="26"/>
      <c r="H654" s="20"/>
    </row>
    <row r="655" ht="15.75" customHeight="1">
      <c r="D655" s="20"/>
      <c r="G655" s="26"/>
      <c r="H655" s="20"/>
    </row>
    <row r="656" ht="15.75" customHeight="1">
      <c r="D656" s="20"/>
      <c r="G656" s="26"/>
      <c r="H656" s="20"/>
    </row>
    <row r="657" ht="15.75" customHeight="1">
      <c r="D657" s="20"/>
      <c r="G657" s="26"/>
      <c r="H657" s="20"/>
    </row>
    <row r="658" ht="15.75" customHeight="1">
      <c r="D658" s="20"/>
      <c r="G658" s="26"/>
      <c r="H658" s="20"/>
    </row>
    <row r="659" ht="15.75" customHeight="1">
      <c r="D659" s="20"/>
      <c r="G659" s="26"/>
      <c r="H659" s="20"/>
    </row>
    <row r="660" ht="15.75" customHeight="1">
      <c r="D660" s="20"/>
      <c r="G660" s="26"/>
      <c r="H660" s="20"/>
    </row>
    <row r="661" ht="15.75" customHeight="1">
      <c r="D661" s="20"/>
      <c r="G661" s="26"/>
      <c r="H661" s="20"/>
    </row>
    <row r="662" ht="15.75" customHeight="1">
      <c r="D662" s="20"/>
      <c r="G662" s="26"/>
      <c r="H662" s="20"/>
    </row>
    <row r="663" ht="15.75" customHeight="1">
      <c r="D663" s="20"/>
      <c r="G663" s="26"/>
      <c r="H663" s="20"/>
    </row>
    <row r="664" ht="15.75" customHeight="1">
      <c r="D664" s="20"/>
      <c r="G664" s="26"/>
      <c r="H664" s="20"/>
    </row>
    <row r="665" ht="15.75" customHeight="1">
      <c r="D665" s="20"/>
      <c r="G665" s="26"/>
      <c r="H665" s="20"/>
    </row>
    <row r="666" ht="15.75" customHeight="1">
      <c r="D666" s="20"/>
      <c r="G666" s="26"/>
      <c r="H666" s="20"/>
    </row>
    <row r="667" ht="15.75" customHeight="1">
      <c r="D667" s="20"/>
      <c r="G667" s="26"/>
      <c r="H667" s="20"/>
    </row>
    <row r="668" ht="15.75" customHeight="1">
      <c r="D668" s="20"/>
      <c r="G668" s="26"/>
      <c r="H668" s="20"/>
    </row>
    <row r="669" ht="15.75" customHeight="1">
      <c r="D669" s="20"/>
      <c r="G669" s="26"/>
      <c r="H669" s="20"/>
    </row>
    <row r="670" ht="15.75" customHeight="1">
      <c r="D670" s="20"/>
      <c r="G670" s="26"/>
      <c r="H670" s="20"/>
    </row>
    <row r="671" ht="15.75" customHeight="1">
      <c r="D671" s="20"/>
      <c r="G671" s="26"/>
      <c r="H671" s="20"/>
    </row>
    <row r="672" ht="15.75" customHeight="1">
      <c r="D672" s="20"/>
      <c r="G672" s="26"/>
      <c r="H672" s="20"/>
    </row>
    <row r="673" ht="15.75" customHeight="1">
      <c r="D673" s="20"/>
      <c r="G673" s="26"/>
      <c r="H673" s="20"/>
    </row>
    <row r="674" ht="15.75" customHeight="1">
      <c r="D674" s="20"/>
      <c r="G674" s="26"/>
      <c r="H674" s="20"/>
    </row>
    <row r="675" ht="15.75" customHeight="1">
      <c r="D675" s="20"/>
      <c r="G675" s="26"/>
      <c r="H675" s="20"/>
    </row>
    <row r="676" ht="15.75" customHeight="1">
      <c r="D676" s="20"/>
      <c r="G676" s="26"/>
      <c r="H676" s="20"/>
    </row>
    <row r="677" ht="15.75" customHeight="1">
      <c r="D677" s="20"/>
      <c r="G677" s="26"/>
      <c r="H677" s="20"/>
    </row>
    <row r="678" ht="15.75" customHeight="1">
      <c r="D678" s="20"/>
      <c r="G678" s="26"/>
      <c r="H678" s="20"/>
    </row>
    <row r="679" ht="15.75" customHeight="1">
      <c r="D679" s="20"/>
      <c r="G679" s="26"/>
      <c r="H679" s="20"/>
    </row>
    <row r="680" ht="15.75" customHeight="1">
      <c r="D680" s="20"/>
      <c r="G680" s="26"/>
      <c r="H680" s="20"/>
    </row>
    <row r="681" ht="15.75" customHeight="1">
      <c r="D681" s="20"/>
      <c r="G681" s="26"/>
      <c r="H681" s="20"/>
    </row>
    <row r="682" ht="15.75" customHeight="1">
      <c r="D682" s="20"/>
      <c r="G682" s="26"/>
      <c r="H682" s="20"/>
    </row>
    <row r="683" ht="15.75" customHeight="1">
      <c r="D683" s="20"/>
      <c r="G683" s="26"/>
      <c r="H683" s="20"/>
    </row>
    <row r="684" ht="15.75" customHeight="1">
      <c r="D684" s="20"/>
      <c r="G684" s="26"/>
      <c r="H684" s="20"/>
    </row>
    <row r="685" ht="15.75" customHeight="1">
      <c r="D685" s="20"/>
      <c r="G685" s="26"/>
      <c r="H685" s="20"/>
    </row>
    <row r="686" ht="15.75" customHeight="1">
      <c r="D686" s="20"/>
      <c r="G686" s="26"/>
      <c r="H686" s="20"/>
    </row>
    <row r="687" ht="15.75" customHeight="1">
      <c r="D687" s="20"/>
      <c r="G687" s="26"/>
      <c r="H687" s="20"/>
    </row>
    <row r="688" ht="15.75" customHeight="1">
      <c r="D688" s="20"/>
      <c r="G688" s="26"/>
      <c r="H688" s="20"/>
    </row>
    <row r="689" ht="15.75" customHeight="1">
      <c r="D689" s="20"/>
      <c r="G689" s="26"/>
      <c r="H689" s="20"/>
    </row>
    <row r="690" ht="15.75" customHeight="1">
      <c r="D690" s="20"/>
      <c r="G690" s="26"/>
      <c r="H690" s="20"/>
    </row>
    <row r="691" ht="15.75" customHeight="1">
      <c r="D691" s="20"/>
      <c r="G691" s="26"/>
      <c r="H691" s="20"/>
    </row>
    <row r="692" ht="15.75" customHeight="1">
      <c r="D692" s="20"/>
      <c r="G692" s="26"/>
      <c r="H692" s="20"/>
    </row>
    <row r="693" ht="15.75" customHeight="1">
      <c r="D693" s="20"/>
      <c r="G693" s="26"/>
      <c r="H693" s="20"/>
    </row>
    <row r="694" ht="15.75" customHeight="1">
      <c r="D694" s="20"/>
      <c r="G694" s="26"/>
      <c r="H694" s="20"/>
    </row>
    <row r="695" ht="15.75" customHeight="1">
      <c r="D695" s="20"/>
      <c r="G695" s="26"/>
      <c r="H695" s="20"/>
    </row>
    <row r="696" ht="15.75" customHeight="1">
      <c r="D696" s="20"/>
      <c r="G696" s="26"/>
      <c r="H696" s="20"/>
    </row>
    <row r="697" ht="15.75" customHeight="1">
      <c r="D697" s="20"/>
      <c r="G697" s="26"/>
      <c r="H697" s="20"/>
    </row>
    <row r="698" ht="15.75" customHeight="1">
      <c r="D698" s="20"/>
      <c r="G698" s="26"/>
      <c r="H698" s="20"/>
    </row>
    <row r="699" ht="15.75" customHeight="1">
      <c r="D699" s="20"/>
      <c r="G699" s="26"/>
      <c r="H699" s="20"/>
    </row>
    <row r="700" ht="15.75" customHeight="1">
      <c r="D700" s="20"/>
      <c r="G700" s="26"/>
      <c r="H700" s="20"/>
    </row>
    <row r="701" ht="15.75" customHeight="1">
      <c r="D701" s="20"/>
      <c r="G701" s="26"/>
      <c r="H701" s="20"/>
    </row>
    <row r="702" ht="15.75" customHeight="1">
      <c r="D702" s="20"/>
      <c r="G702" s="26"/>
      <c r="H702" s="20"/>
    </row>
    <row r="703" ht="15.75" customHeight="1">
      <c r="D703" s="20"/>
      <c r="G703" s="26"/>
      <c r="H703" s="20"/>
    </row>
    <row r="704" ht="15.75" customHeight="1">
      <c r="D704" s="20"/>
      <c r="G704" s="26"/>
      <c r="H704" s="20"/>
    </row>
    <row r="705" ht="15.75" customHeight="1">
      <c r="D705" s="20"/>
      <c r="G705" s="26"/>
      <c r="H705" s="20"/>
    </row>
    <row r="706" ht="15.75" customHeight="1">
      <c r="D706" s="20"/>
      <c r="G706" s="26"/>
      <c r="H706" s="20"/>
    </row>
    <row r="707" ht="15.75" customHeight="1">
      <c r="D707" s="20"/>
      <c r="G707" s="26"/>
      <c r="H707" s="20"/>
    </row>
    <row r="708" ht="15.75" customHeight="1">
      <c r="D708" s="20"/>
      <c r="G708" s="26"/>
      <c r="H708" s="20"/>
    </row>
    <row r="709" ht="15.75" customHeight="1">
      <c r="D709" s="20"/>
      <c r="G709" s="26"/>
      <c r="H709" s="20"/>
    </row>
    <row r="710" ht="15.75" customHeight="1">
      <c r="D710" s="20"/>
      <c r="G710" s="26"/>
      <c r="H710" s="20"/>
    </row>
    <row r="711" ht="15.75" customHeight="1">
      <c r="D711" s="20"/>
      <c r="G711" s="26"/>
      <c r="H711" s="20"/>
    </row>
    <row r="712" ht="15.75" customHeight="1">
      <c r="D712" s="20"/>
      <c r="G712" s="26"/>
      <c r="H712" s="20"/>
    </row>
    <row r="713" ht="15.75" customHeight="1">
      <c r="D713" s="20"/>
      <c r="G713" s="26"/>
      <c r="H713" s="20"/>
    </row>
    <row r="714" ht="15.75" customHeight="1">
      <c r="D714" s="20"/>
      <c r="G714" s="26"/>
      <c r="H714" s="20"/>
    </row>
    <row r="715" ht="15.75" customHeight="1">
      <c r="D715" s="20"/>
      <c r="G715" s="26"/>
      <c r="H715" s="20"/>
    </row>
    <row r="716" ht="15.75" customHeight="1">
      <c r="D716" s="20"/>
      <c r="G716" s="26"/>
      <c r="H716" s="20"/>
    </row>
    <row r="717" ht="15.75" customHeight="1">
      <c r="D717" s="20"/>
      <c r="G717" s="26"/>
      <c r="H717" s="20"/>
    </row>
    <row r="718" ht="15.75" customHeight="1">
      <c r="D718" s="20"/>
      <c r="G718" s="26"/>
      <c r="H718" s="20"/>
    </row>
    <row r="719" ht="15.75" customHeight="1">
      <c r="D719" s="20"/>
      <c r="G719" s="26"/>
      <c r="H719" s="20"/>
    </row>
    <row r="720" ht="15.75" customHeight="1">
      <c r="D720" s="20"/>
      <c r="G720" s="26"/>
      <c r="H720" s="20"/>
    </row>
    <row r="721" ht="15.75" customHeight="1">
      <c r="D721" s="20"/>
      <c r="G721" s="26"/>
      <c r="H721" s="20"/>
    </row>
    <row r="722" ht="15.75" customHeight="1">
      <c r="D722" s="20"/>
      <c r="G722" s="26"/>
      <c r="H722" s="20"/>
    </row>
    <row r="723" ht="15.75" customHeight="1">
      <c r="D723" s="20"/>
      <c r="G723" s="26"/>
      <c r="H723" s="20"/>
    </row>
    <row r="724" ht="15.75" customHeight="1">
      <c r="D724" s="20"/>
      <c r="G724" s="26"/>
      <c r="H724" s="20"/>
    </row>
    <row r="725" ht="15.75" customHeight="1">
      <c r="D725" s="20"/>
      <c r="G725" s="26"/>
      <c r="H725" s="20"/>
    </row>
    <row r="726" ht="15.75" customHeight="1">
      <c r="D726" s="20"/>
      <c r="G726" s="26"/>
      <c r="H726" s="20"/>
    </row>
    <row r="727" ht="15.75" customHeight="1">
      <c r="D727" s="20"/>
      <c r="G727" s="26"/>
      <c r="H727" s="20"/>
    </row>
    <row r="728" ht="15.75" customHeight="1">
      <c r="D728" s="20"/>
      <c r="G728" s="26"/>
      <c r="H728" s="20"/>
    </row>
    <row r="729" ht="15.75" customHeight="1">
      <c r="D729" s="20"/>
      <c r="G729" s="26"/>
      <c r="H729" s="20"/>
    </row>
    <row r="730" ht="15.75" customHeight="1">
      <c r="D730" s="20"/>
      <c r="G730" s="26"/>
      <c r="H730" s="20"/>
    </row>
    <row r="731" ht="15.75" customHeight="1">
      <c r="D731" s="20"/>
      <c r="G731" s="26"/>
      <c r="H731" s="20"/>
    </row>
    <row r="732" ht="15.75" customHeight="1">
      <c r="D732" s="20"/>
      <c r="G732" s="26"/>
      <c r="H732" s="20"/>
    </row>
    <row r="733" ht="15.75" customHeight="1">
      <c r="D733" s="20"/>
      <c r="G733" s="26"/>
      <c r="H733" s="20"/>
    </row>
    <row r="734" ht="15.75" customHeight="1">
      <c r="D734" s="20"/>
      <c r="G734" s="26"/>
      <c r="H734" s="20"/>
    </row>
    <row r="735" ht="15.75" customHeight="1">
      <c r="D735" s="20"/>
      <c r="G735" s="26"/>
      <c r="H735" s="20"/>
    </row>
    <row r="736" ht="15.75" customHeight="1">
      <c r="D736" s="20"/>
      <c r="G736" s="26"/>
      <c r="H736" s="20"/>
    </row>
    <row r="737" ht="15.75" customHeight="1">
      <c r="D737" s="20"/>
      <c r="G737" s="26"/>
      <c r="H737" s="20"/>
    </row>
    <row r="738" ht="15.75" customHeight="1">
      <c r="D738" s="20"/>
      <c r="G738" s="26"/>
      <c r="H738" s="20"/>
    </row>
    <row r="739" ht="15.75" customHeight="1">
      <c r="D739" s="20"/>
      <c r="G739" s="26"/>
      <c r="H739" s="20"/>
    </row>
    <row r="740" ht="15.75" customHeight="1">
      <c r="D740" s="20"/>
      <c r="G740" s="26"/>
      <c r="H740" s="20"/>
    </row>
    <row r="741" ht="15.75" customHeight="1">
      <c r="D741" s="20"/>
      <c r="G741" s="26"/>
      <c r="H741" s="20"/>
    </row>
    <row r="742" ht="15.75" customHeight="1">
      <c r="D742" s="20"/>
      <c r="G742" s="26"/>
      <c r="H742" s="20"/>
    </row>
    <row r="743" ht="15.75" customHeight="1">
      <c r="D743" s="20"/>
      <c r="G743" s="26"/>
      <c r="H743" s="20"/>
    </row>
    <row r="744" ht="15.75" customHeight="1">
      <c r="D744" s="20"/>
      <c r="G744" s="26"/>
      <c r="H744" s="20"/>
    </row>
    <row r="745" ht="15.75" customHeight="1">
      <c r="D745" s="20"/>
      <c r="G745" s="26"/>
      <c r="H745" s="20"/>
    </row>
    <row r="746" ht="15.75" customHeight="1">
      <c r="D746" s="20"/>
      <c r="G746" s="26"/>
      <c r="H746" s="20"/>
    </row>
    <row r="747" ht="15.75" customHeight="1">
      <c r="D747" s="20"/>
      <c r="G747" s="26"/>
      <c r="H747" s="20"/>
    </row>
    <row r="748" ht="15.75" customHeight="1">
      <c r="D748" s="20"/>
      <c r="G748" s="26"/>
      <c r="H748" s="20"/>
    </row>
    <row r="749" ht="15.75" customHeight="1">
      <c r="D749" s="20"/>
      <c r="G749" s="26"/>
      <c r="H749" s="20"/>
    </row>
    <row r="750" ht="15.75" customHeight="1">
      <c r="D750" s="20"/>
      <c r="G750" s="26"/>
      <c r="H750" s="20"/>
    </row>
    <row r="751" ht="15.75" customHeight="1">
      <c r="D751" s="20"/>
      <c r="G751" s="26"/>
      <c r="H751" s="20"/>
    </row>
    <row r="752" ht="15.75" customHeight="1">
      <c r="D752" s="20"/>
      <c r="G752" s="26"/>
      <c r="H752" s="20"/>
    </row>
    <row r="753" ht="15.75" customHeight="1">
      <c r="D753" s="20"/>
      <c r="G753" s="26"/>
      <c r="H753" s="20"/>
    </row>
    <row r="754" ht="15.75" customHeight="1">
      <c r="D754" s="20"/>
      <c r="G754" s="26"/>
      <c r="H754" s="20"/>
    </row>
    <row r="755" ht="15.75" customHeight="1">
      <c r="D755" s="20"/>
      <c r="G755" s="26"/>
      <c r="H755" s="20"/>
    </row>
    <row r="756" ht="15.75" customHeight="1">
      <c r="D756" s="20"/>
      <c r="G756" s="26"/>
      <c r="H756" s="20"/>
    </row>
    <row r="757" ht="15.75" customHeight="1">
      <c r="D757" s="20"/>
      <c r="G757" s="26"/>
      <c r="H757" s="20"/>
    </row>
    <row r="758" ht="15.75" customHeight="1">
      <c r="D758" s="20"/>
      <c r="G758" s="26"/>
      <c r="H758" s="20"/>
    </row>
    <row r="759" ht="15.75" customHeight="1">
      <c r="D759" s="20"/>
      <c r="G759" s="26"/>
      <c r="H759" s="20"/>
    </row>
    <row r="760" ht="15.75" customHeight="1">
      <c r="D760" s="20"/>
      <c r="G760" s="26"/>
      <c r="H760" s="20"/>
    </row>
    <row r="761" ht="15.75" customHeight="1">
      <c r="D761" s="20"/>
      <c r="G761" s="26"/>
      <c r="H761" s="20"/>
    </row>
    <row r="762" ht="15.75" customHeight="1">
      <c r="D762" s="20"/>
      <c r="G762" s="26"/>
      <c r="H762" s="20"/>
    </row>
    <row r="763" ht="15.75" customHeight="1">
      <c r="D763" s="20"/>
      <c r="G763" s="26"/>
      <c r="H763" s="20"/>
    </row>
    <row r="764" ht="15.75" customHeight="1">
      <c r="D764" s="20"/>
      <c r="G764" s="26"/>
      <c r="H764" s="20"/>
    </row>
    <row r="765" ht="15.75" customHeight="1">
      <c r="D765" s="20"/>
      <c r="G765" s="26"/>
      <c r="H765" s="20"/>
    </row>
    <row r="766" ht="15.75" customHeight="1">
      <c r="D766" s="20"/>
      <c r="G766" s="26"/>
      <c r="H766" s="20"/>
    </row>
    <row r="767" ht="15.75" customHeight="1">
      <c r="D767" s="20"/>
      <c r="G767" s="26"/>
      <c r="H767" s="20"/>
    </row>
    <row r="768" ht="15.75" customHeight="1">
      <c r="D768" s="20"/>
      <c r="G768" s="26"/>
      <c r="H768" s="20"/>
    </row>
    <row r="769" ht="15.75" customHeight="1">
      <c r="D769" s="20"/>
      <c r="G769" s="26"/>
      <c r="H769" s="20"/>
    </row>
    <row r="770" ht="15.75" customHeight="1">
      <c r="D770" s="20"/>
      <c r="G770" s="26"/>
      <c r="H770" s="20"/>
    </row>
    <row r="771" ht="15.75" customHeight="1">
      <c r="D771" s="20"/>
      <c r="G771" s="26"/>
      <c r="H771" s="20"/>
    </row>
    <row r="772" ht="15.75" customHeight="1">
      <c r="D772" s="20"/>
      <c r="G772" s="26"/>
      <c r="H772" s="20"/>
    </row>
    <row r="773" ht="15.75" customHeight="1">
      <c r="D773" s="20"/>
      <c r="G773" s="26"/>
      <c r="H773" s="20"/>
    </row>
    <row r="774" ht="15.75" customHeight="1">
      <c r="D774" s="20"/>
      <c r="G774" s="26"/>
      <c r="H774" s="20"/>
    </row>
    <row r="775" ht="15.75" customHeight="1">
      <c r="D775" s="20"/>
      <c r="G775" s="26"/>
      <c r="H775" s="20"/>
    </row>
    <row r="776" ht="15.75" customHeight="1">
      <c r="D776" s="20"/>
      <c r="G776" s="26"/>
      <c r="H776" s="20"/>
    </row>
    <row r="777" ht="15.75" customHeight="1">
      <c r="D777" s="20"/>
      <c r="G777" s="26"/>
      <c r="H777" s="20"/>
    </row>
    <row r="778" ht="15.75" customHeight="1">
      <c r="D778" s="20"/>
      <c r="G778" s="26"/>
      <c r="H778" s="20"/>
    </row>
    <row r="779" ht="15.75" customHeight="1">
      <c r="D779" s="20"/>
      <c r="G779" s="26"/>
      <c r="H779" s="20"/>
    </row>
    <row r="780" ht="15.75" customHeight="1">
      <c r="D780" s="20"/>
      <c r="G780" s="26"/>
      <c r="H780" s="20"/>
    </row>
    <row r="781" ht="15.75" customHeight="1">
      <c r="D781" s="20"/>
      <c r="G781" s="26"/>
      <c r="H781" s="20"/>
    </row>
    <row r="782" ht="15.75" customHeight="1">
      <c r="D782" s="20"/>
      <c r="G782" s="26"/>
      <c r="H782" s="20"/>
    </row>
    <row r="783" ht="15.75" customHeight="1">
      <c r="D783" s="20"/>
      <c r="G783" s="26"/>
      <c r="H783" s="20"/>
    </row>
    <row r="784" ht="15.75" customHeight="1">
      <c r="D784" s="20"/>
      <c r="G784" s="26"/>
      <c r="H784" s="20"/>
    </row>
    <row r="785" ht="15.75" customHeight="1">
      <c r="D785" s="20"/>
      <c r="G785" s="26"/>
      <c r="H785" s="20"/>
    </row>
    <row r="786" ht="15.75" customHeight="1">
      <c r="D786" s="20"/>
      <c r="G786" s="26"/>
      <c r="H786" s="20"/>
    </row>
    <row r="787" ht="15.75" customHeight="1">
      <c r="D787" s="20"/>
      <c r="G787" s="26"/>
      <c r="H787" s="20"/>
    </row>
    <row r="788" ht="15.75" customHeight="1">
      <c r="D788" s="20"/>
      <c r="G788" s="26"/>
      <c r="H788" s="20"/>
    </row>
    <row r="789" ht="15.75" customHeight="1">
      <c r="D789" s="20"/>
      <c r="G789" s="26"/>
      <c r="H789" s="20"/>
    </row>
    <row r="790" ht="15.75" customHeight="1">
      <c r="D790" s="20"/>
      <c r="G790" s="26"/>
      <c r="H790" s="20"/>
    </row>
    <row r="791" ht="15.75" customHeight="1">
      <c r="D791" s="20"/>
      <c r="G791" s="26"/>
      <c r="H791" s="20"/>
    </row>
    <row r="792" ht="15.75" customHeight="1">
      <c r="D792" s="20"/>
      <c r="G792" s="26"/>
      <c r="H792" s="20"/>
    </row>
    <row r="793" ht="15.75" customHeight="1">
      <c r="D793" s="20"/>
      <c r="G793" s="26"/>
      <c r="H793" s="20"/>
    </row>
    <row r="794" ht="15.75" customHeight="1">
      <c r="D794" s="20"/>
      <c r="G794" s="26"/>
      <c r="H794" s="20"/>
    </row>
    <row r="795" ht="15.75" customHeight="1">
      <c r="D795" s="20"/>
      <c r="G795" s="26"/>
      <c r="H795" s="20"/>
    </row>
    <row r="796" ht="15.75" customHeight="1">
      <c r="D796" s="20"/>
      <c r="G796" s="26"/>
      <c r="H796" s="20"/>
    </row>
    <row r="797" ht="15.75" customHeight="1">
      <c r="D797" s="20"/>
      <c r="G797" s="26"/>
      <c r="H797" s="20"/>
    </row>
    <row r="798" ht="15.75" customHeight="1">
      <c r="D798" s="20"/>
      <c r="G798" s="26"/>
      <c r="H798" s="20"/>
    </row>
    <row r="799" ht="15.75" customHeight="1">
      <c r="D799" s="20"/>
      <c r="G799" s="26"/>
      <c r="H799" s="20"/>
    </row>
    <row r="800" ht="15.75" customHeight="1">
      <c r="D800" s="20"/>
      <c r="G800" s="26"/>
      <c r="H800" s="20"/>
    </row>
    <row r="801" ht="15.75" customHeight="1">
      <c r="D801" s="20"/>
      <c r="G801" s="26"/>
      <c r="H801" s="20"/>
    </row>
    <row r="802" ht="15.75" customHeight="1">
      <c r="D802" s="20"/>
      <c r="G802" s="26"/>
      <c r="H802" s="20"/>
    </row>
    <row r="803" ht="15.75" customHeight="1">
      <c r="D803" s="20"/>
      <c r="G803" s="26"/>
      <c r="H803" s="20"/>
    </row>
    <row r="804" ht="15.75" customHeight="1">
      <c r="D804" s="20"/>
      <c r="G804" s="26"/>
      <c r="H804" s="20"/>
    </row>
    <row r="805" ht="15.75" customHeight="1">
      <c r="D805" s="20"/>
      <c r="G805" s="26"/>
      <c r="H805" s="20"/>
    </row>
    <row r="806" ht="15.75" customHeight="1">
      <c r="D806" s="20"/>
      <c r="G806" s="26"/>
      <c r="H806" s="20"/>
    </row>
    <row r="807" ht="15.75" customHeight="1">
      <c r="D807" s="20"/>
      <c r="G807" s="26"/>
      <c r="H807" s="20"/>
    </row>
    <row r="808" ht="15.75" customHeight="1">
      <c r="D808" s="20"/>
      <c r="G808" s="26"/>
      <c r="H808" s="20"/>
    </row>
    <row r="809" ht="15.75" customHeight="1">
      <c r="D809" s="20"/>
      <c r="G809" s="26"/>
      <c r="H809" s="20"/>
    </row>
    <row r="810" ht="15.75" customHeight="1">
      <c r="D810" s="20"/>
      <c r="G810" s="26"/>
      <c r="H810" s="20"/>
    </row>
    <row r="811" ht="15.75" customHeight="1">
      <c r="D811" s="20"/>
      <c r="G811" s="26"/>
      <c r="H811" s="20"/>
    </row>
    <row r="812" ht="15.75" customHeight="1">
      <c r="D812" s="20"/>
      <c r="G812" s="26"/>
      <c r="H812" s="20"/>
    </row>
    <row r="813" ht="15.75" customHeight="1">
      <c r="D813" s="20"/>
      <c r="G813" s="26"/>
      <c r="H813" s="20"/>
    </row>
    <row r="814" ht="15.75" customHeight="1">
      <c r="D814" s="20"/>
      <c r="G814" s="26"/>
      <c r="H814" s="20"/>
    </row>
    <row r="815" ht="15.75" customHeight="1">
      <c r="D815" s="20"/>
      <c r="G815" s="26"/>
      <c r="H815" s="20"/>
    </row>
    <row r="816" ht="15.75" customHeight="1">
      <c r="D816" s="20"/>
      <c r="G816" s="26"/>
      <c r="H816" s="20"/>
    </row>
    <row r="817" ht="15.75" customHeight="1">
      <c r="D817" s="20"/>
      <c r="G817" s="26"/>
      <c r="H817" s="20"/>
    </row>
    <row r="818" ht="15.75" customHeight="1">
      <c r="D818" s="20"/>
      <c r="G818" s="26"/>
      <c r="H818" s="20"/>
    </row>
    <row r="819" ht="15.75" customHeight="1">
      <c r="D819" s="20"/>
      <c r="G819" s="26"/>
      <c r="H819" s="20"/>
    </row>
    <row r="820" ht="15.75" customHeight="1">
      <c r="D820" s="20"/>
      <c r="G820" s="26"/>
      <c r="H820" s="20"/>
    </row>
    <row r="821" ht="15.75" customHeight="1">
      <c r="D821" s="20"/>
      <c r="G821" s="26"/>
      <c r="H821" s="20"/>
    </row>
    <row r="822" ht="15.75" customHeight="1">
      <c r="D822" s="20"/>
      <c r="G822" s="26"/>
      <c r="H822" s="20"/>
    </row>
    <row r="823" ht="15.75" customHeight="1">
      <c r="D823" s="20"/>
      <c r="G823" s="26"/>
      <c r="H823" s="20"/>
    </row>
    <row r="824" ht="15.75" customHeight="1">
      <c r="D824" s="20"/>
      <c r="G824" s="26"/>
      <c r="H824" s="20"/>
    </row>
    <row r="825" ht="15.75" customHeight="1">
      <c r="D825" s="20"/>
      <c r="G825" s="26"/>
      <c r="H825" s="20"/>
    </row>
    <row r="826" ht="15.75" customHeight="1">
      <c r="D826" s="20"/>
      <c r="G826" s="26"/>
      <c r="H826" s="20"/>
    </row>
    <row r="827" ht="15.75" customHeight="1">
      <c r="D827" s="20"/>
      <c r="G827" s="26"/>
      <c r="H827" s="20"/>
    </row>
    <row r="828" ht="15.75" customHeight="1">
      <c r="D828" s="20"/>
      <c r="G828" s="26"/>
      <c r="H828" s="20"/>
    </row>
    <row r="829" ht="15.75" customHeight="1">
      <c r="D829" s="20"/>
      <c r="G829" s="26"/>
      <c r="H829" s="20"/>
    </row>
    <row r="830" ht="15.75" customHeight="1">
      <c r="D830" s="20"/>
      <c r="G830" s="26"/>
      <c r="H830" s="20"/>
    </row>
    <row r="831" ht="15.75" customHeight="1">
      <c r="D831" s="20"/>
      <c r="G831" s="26"/>
      <c r="H831" s="20"/>
    </row>
    <row r="832" ht="15.75" customHeight="1">
      <c r="D832" s="20"/>
      <c r="G832" s="26"/>
      <c r="H832" s="20"/>
    </row>
    <row r="833" ht="15.75" customHeight="1">
      <c r="D833" s="20"/>
      <c r="G833" s="26"/>
      <c r="H833" s="20"/>
    </row>
    <row r="834" ht="15.75" customHeight="1">
      <c r="D834" s="20"/>
      <c r="G834" s="26"/>
      <c r="H834" s="20"/>
    </row>
    <row r="835" ht="15.75" customHeight="1">
      <c r="D835" s="20"/>
      <c r="G835" s="26"/>
      <c r="H835" s="20"/>
    </row>
    <row r="836" ht="15.75" customHeight="1">
      <c r="D836" s="20"/>
      <c r="G836" s="26"/>
      <c r="H836" s="20"/>
    </row>
    <row r="837" ht="15.75" customHeight="1">
      <c r="D837" s="20"/>
      <c r="G837" s="26"/>
      <c r="H837" s="20"/>
    </row>
    <row r="838" ht="15.75" customHeight="1">
      <c r="D838" s="20"/>
      <c r="G838" s="26"/>
      <c r="H838" s="20"/>
    </row>
    <row r="839" ht="15.75" customHeight="1">
      <c r="D839" s="20"/>
      <c r="G839" s="26"/>
      <c r="H839" s="20"/>
    </row>
    <row r="840" ht="15.75" customHeight="1">
      <c r="D840" s="20"/>
      <c r="G840" s="26"/>
      <c r="H840" s="20"/>
    </row>
    <row r="841" ht="15.75" customHeight="1">
      <c r="D841" s="20"/>
      <c r="G841" s="26"/>
      <c r="H841" s="20"/>
    </row>
    <row r="842" ht="15.75" customHeight="1">
      <c r="D842" s="20"/>
      <c r="G842" s="26"/>
      <c r="H842" s="20"/>
    </row>
    <row r="843" ht="15.75" customHeight="1">
      <c r="D843" s="20"/>
      <c r="G843" s="26"/>
      <c r="H843" s="20"/>
    </row>
    <row r="844" ht="15.75" customHeight="1">
      <c r="D844" s="20"/>
      <c r="G844" s="26"/>
      <c r="H844" s="20"/>
    </row>
    <row r="845" ht="15.75" customHeight="1">
      <c r="D845" s="20"/>
      <c r="G845" s="26"/>
      <c r="H845" s="20"/>
    </row>
    <row r="846" ht="15.75" customHeight="1">
      <c r="D846" s="20"/>
      <c r="G846" s="26"/>
      <c r="H846" s="20"/>
    </row>
    <row r="847" ht="15.75" customHeight="1">
      <c r="D847" s="20"/>
      <c r="G847" s="26"/>
      <c r="H847" s="20"/>
    </row>
    <row r="848" ht="15.75" customHeight="1">
      <c r="D848" s="20"/>
      <c r="G848" s="26"/>
      <c r="H848" s="20"/>
    </row>
    <row r="849" ht="15.75" customHeight="1">
      <c r="D849" s="20"/>
      <c r="G849" s="26"/>
      <c r="H849" s="20"/>
    </row>
    <row r="850" ht="15.75" customHeight="1">
      <c r="D850" s="20"/>
      <c r="G850" s="26"/>
      <c r="H850" s="20"/>
    </row>
    <row r="851" ht="15.75" customHeight="1">
      <c r="D851" s="20"/>
      <c r="G851" s="26"/>
      <c r="H851" s="20"/>
    </row>
    <row r="852" ht="15.75" customHeight="1">
      <c r="D852" s="20"/>
      <c r="G852" s="26"/>
      <c r="H852" s="20"/>
    </row>
    <row r="853" ht="15.75" customHeight="1">
      <c r="D853" s="20"/>
      <c r="G853" s="26"/>
      <c r="H853" s="20"/>
    </row>
    <row r="854" ht="15.75" customHeight="1">
      <c r="D854" s="20"/>
      <c r="G854" s="26"/>
      <c r="H854" s="20"/>
    </row>
    <row r="855" ht="15.75" customHeight="1">
      <c r="D855" s="20"/>
      <c r="G855" s="26"/>
      <c r="H855" s="20"/>
    </row>
    <row r="856" ht="15.75" customHeight="1">
      <c r="D856" s="20"/>
      <c r="G856" s="26"/>
      <c r="H856" s="20"/>
    </row>
    <row r="857" ht="15.75" customHeight="1">
      <c r="D857" s="20"/>
      <c r="G857" s="26"/>
      <c r="H857" s="20"/>
    </row>
    <row r="858" ht="15.75" customHeight="1">
      <c r="D858" s="20"/>
      <c r="G858" s="26"/>
      <c r="H858" s="20"/>
    </row>
    <row r="859" ht="15.75" customHeight="1">
      <c r="D859" s="20"/>
      <c r="G859" s="26"/>
      <c r="H859" s="20"/>
    </row>
    <row r="860" ht="15.75" customHeight="1">
      <c r="D860" s="20"/>
      <c r="G860" s="26"/>
      <c r="H860" s="20"/>
    </row>
    <row r="861" ht="15.75" customHeight="1">
      <c r="D861" s="20"/>
      <c r="G861" s="26"/>
      <c r="H861" s="20"/>
    </row>
    <row r="862" ht="15.75" customHeight="1">
      <c r="D862" s="20"/>
      <c r="G862" s="26"/>
      <c r="H862" s="20"/>
    </row>
    <row r="863" ht="15.75" customHeight="1">
      <c r="D863" s="20"/>
      <c r="G863" s="26"/>
      <c r="H863" s="20"/>
    </row>
    <row r="864" ht="15.75" customHeight="1">
      <c r="D864" s="20"/>
      <c r="G864" s="26"/>
      <c r="H864" s="20"/>
    </row>
    <row r="865" ht="15.75" customHeight="1">
      <c r="D865" s="20"/>
      <c r="G865" s="26"/>
      <c r="H865" s="20"/>
    </row>
    <row r="866" ht="15.75" customHeight="1">
      <c r="D866" s="20"/>
      <c r="G866" s="26"/>
      <c r="H866" s="20"/>
    </row>
    <row r="867" ht="15.75" customHeight="1">
      <c r="D867" s="20"/>
      <c r="G867" s="26"/>
      <c r="H867" s="20"/>
    </row>
    <row r="868" ht="15.75" customHeight="1">
      <c r="D868" s="20"/>
      <c r="G868" s="26"/>
      <c r="H868" s="20"/>
    </row>
    <row r="869" ht="15.75" customHeight="1">
      <c r="D869" s="20"/>
      <c r="G869" s="26"/>
      <c r="H869" s="20"/>
    </row>
    <row r="870" ht="15.75" customHeight="1">
      <c r="D870" s="20"/>
      <c r="G870" s="26"/>
      <c r="H870" s="20"/>
    </row>
    <row r="871" ht="15.75" customHeight="1">
      <c r="D871" s="20"/>
      <c r="G871" s="26"/>
      <c r="H871" s="20"/>
    </row>
    <row r="872" ht="15.75" customHeight="1">
      <c r="D872" s="20"/>
      <c r="G872" s="26"/>
      <c r="H872" s="20"/>
    </row>
    <row r="873" ht="15.75" customHeight="1">
      <c r="D873" s="20"/>
      <c r="G873" s="26"/>
      <c r="H873" s="20"/>
    </row>
    <row r="874" ht="15.75" customHeight="1">
      <c r="D874" s="20"/>
      <c r="G874" s="26"/>
      <c r="H874" s="20"/>
    </row>
    <row r="875" ht="15.75" customHeight="1">
      <c r="D875" s="20"/>
      <c r="G875" s="26"/>
      <c r="H875" s="20"/>
    </row>
    <row r="876" ht="15.75" customHeight="1">
      <c r="D876" s="20"/>
      <c r="G876" s="26"/>
      <c r="H876" s="20"/>
    </row>
    <row r="877" ht="15.75" customHeight="1">
      <c r="D877" s="20"/>
      <c r="G877" s="26"/>
      <c r="H877" s="20"/>
    </row>
    <row r="878" ht="15.75" customHeight="1">
      <c r="D878" s="20"/>
      <c r="G878" s="26"/>
      <c r="H878" s="20"/>
    </row>
    <row r="879" ht="15.75" customHeight="1">
      <c r="D879" s="20"/>
      <c r="G879" s="26"/>
      <c r="H879" s="20"/>
    </row>
    <row r="880" ht="15.75" customHeight="1">
      <c r="D880" s="20"/>
      <c r="G880" s="26"/>
      <c r="H880" s="20"/>
    </row>
    <row r="881" ht="15.75" customHeight="1">
      <c r="D881" s="20"/>
      <c r="G881" s="26"/>
      <c r="H881" s="20"/>
    </row>
    <row r="882" ht="15.75" customHeight="1">
      <c r="D882" s="20"/>
      <c r="G882" s="26"/>
      <c r="H882" s="20"/>
    </row>
    <row r="883" ht="15.75" customHeight="1">
      <c r="D883" s="20"/>
      <c r="G883" s="26"/>
      <c r="H883" s="20"/>
    </row>
    <row r="884" ht="15.75" customHeight="1">
      <c r="D884" s="20"/>
      <c r="G884" s="26"/>
      <c r="H884" s="20"/>
    </row>
    <row r="885" ht="15.75" customHeight="1">
      <c r="D885" s="20"/>
      <c r="G885" s="26"/>
      <c r="H885" s="20"/>
    </row>
    <row r="886" ht="15.75" customHeight="1">
      <c r="D886" s="20"/>
      <c r="G886" s="26"/>
      <c r="H886" s="20"/>
    </row>
    <row r="887" ht="15.75" customHeight="1">
      <c r="D887" s="20"/>
      <c r="G887" s="26"/>
      <c r="H887" s="20"/>
    </row>
    <row r="888" ht="15.75" customHeight="1">
      <c r="D888" s="20"/>
      <c r="G888" s="26"/>
      <c r="H888" s="20"/>
    </row>
    <row r="889" ht="15.75" customHeight="1">
      <c r="D889" s="20"/>
      <c r="G889" s="26"/>
      <c r="H889" s="20"/>
    </row>
    <row r="890" ht="15.75" customHeight="1">
      <c r="D890" s="20"/>
      <c r="G890" s="26"/>
      <c r="H890" s="20"/>
    </row>
    <row r="891" ht="15.75" customHeight="1">
      <c r="D891" s="20"/>
      <c r="G891" s="26"/>
      <c r="H891" s="20"/>
    </row>
    <row r="892" ht="15.75" customHeight="1">
      <c r="D892" s="20"/>
      <c r="G892" s="26"/>
      <c r="H892" s="20"/>
    </row>
    <row r="893" ht="15.75" customHeight="1">
      <c r="D893" s="20"/>
      <c r="G893" s="26"/>
      <c r="H893" s="20"/>
    </row>
    <row r="894" ht="15.75" customHeight="1">
      <c r="D894" s="20"/>
      <c r="G894" s="26"/>
      <c r="H894" s="20"/>
    </row>
    <row r="895" ht="15.75" customHeight="1">
      <c r="D895" s="20"/>
      <c r="G895" s="26"/>
      <c r="H895" s="20"/>
    </row>
    <row r="896" ht="15.75" customHeight="1">
      <c r="D896" s="20"/>
      <c r="G896" s="26"/>
      <c r="H896" s="20"/>
    </row>
    <row r="897" ht="15.75" customHeight="1">
      <c r="D897" s="20"/>
      <c r="G897" s="26"/>
      <c r="H897" s="20"/>
    </row>
    <row r="898" ht="15.75" customHeight="1">
      <c r="D898" s="20"/>
      <c r="G898" s="26"/>
      <c r="H898" s="20"/>
    </row>
    <row r="899" ht="15.75" customHeight="1">
      <c r="D899" s="20"/>
      <c r="G899" s="26"/>
      <c r="H899" s="20"/>
    </row>
    <row r="900" ht="15.75" customHeight="1">
      <c r="D900" s="20"/>
      <c r="G900" s="26"/>
      <c r="H900" s="20"/>
    </row>
    <row r="901" ht="15.75" customHeight="1">
      <c r="D901" s="20"/>
      <c r="G901" s="26"/>
      <c r="H901" s="20"/>
    </row>
    <row r="902" ht="15.75" customHeight="1">
      <c r="D902" s="20"/>
      <c r="G902" s="26"/>
      <c r="H902" s="20"/>
    </row>
    <row r="903" ht="15.75" customHeight="1">
      <c r="D903" s="20"/>
      <c r="G903" s="26"/>
      <c r="H903" s="20"/>
    </row>
    <row r="904" ht="15.75" customHeight="1">
      <c r="D904" s="20"/>
      <c r="G904" s="26"/>
      <c r="H904" s="20"/>
    </row>
    <row r="905" ht="15.75" customHeight="1">
      <c r="D905" s="20"/>
      <c r="G905" s="26"/>
      <c r="H905" s="20"/>
    </row>
    <row r="906" ht="15.75" customHeight="1">
      <c r="D906" s="20"/>
      <c r="G906" s="26"/>
      <c r="H906" s="20"/>
    </row>
    <row r="907" ht="15.75" customHeight="1">
      <c r="D907" s="20"/>
      <c r="G907" s="26"/>
      <c r="H907" s="20"/>
    </row>
    <row r="908" ht="15.75" customHeight="1">
      <c r="D908" s="20"/>
      <c r="G908" s="26"/>
      <c r="H908" s="20"/>
    </row>
    <row r="909" ht="15.75" customHeight="1">
      <c r="D909" s="20"/>
      <c r="G909" s="26"/>
      <c r="H909" s="20"/>
    </row>
    <row r="910" ht="15.75" customHeight="1">
      <c r="D910" s="20"/>
      <c r="G910" s="26"/>
      <c r="H910" s="20"/>
    </row>
    <row r="911" ht="15.75" customHeight="1">
      <c r="D911" s="20"/>
      <c r="G911" s="26"/>
      <c r="H911" s="20"/>
    </row>
    <row r="912" ht="15.75" customHeight="1">
      <c r="D912" s="20"/>
      <c r="G912" s="26"/>
      <c r="H912" s="20"/>
    </row>
    <row r="913" ht="15.75" customHeight="1">
      <c r="D913" s="20"/>
      <c r="G913" s="26"/>
      <c r="H913" s="20"/>
    </row>
    <row r="914" ht="15.75" customHeight="1">
      <c r="D914" s="20"/>
      <c r="G914" s="26"/>
      <c r="H914" s="20"/>
    </row>
    <row r="915" ht="15.75" customHeight="1">
      <c r="D915" s="20"/>
      <c r="G915" s="26"/>
      <c r="H915" s="20"/>
    </row>
    <row r="916" ht="15.75" customHeight="1">
      <c r="D916" s="20"/>
      <c r="G916" s="26"/>
      <c r="H916" s="20"/>
    </row>
    <row r="917" ht="15.75" customHeight="1">
      <c r="D917" s="20"/>
      <c r="G917" s="26"/>
      <c r="H917" s="20"/>
    </row>
    <row r="918" ht="15.75" customHeight="1">
      <c r="D918" s="20"/>
      <c r="G918" s="26"/>
      <c r="H918" s="20"/>
    </row>
    <row r="919" ht="15.75" customHeight="1">
      <c r="D919" s="20"/>
      <c r="G919" s="26"/>
      <c r="H919" s="20"/>
    </row>
    <row r="920" ht="15.75" customHeight="1">
      <c r="D920" s="20"/>
      <c r="G920" s="26"/>
      <c r="H920" s="20"/>
    </row>
    <row r="921" ht="15.75" customHeight="1">
      <c r="D921" s="20"/>
      <c r="G921" s="26"/>
      <c r="H921" s="20"/>
    </row>
    <row r="922" ht="15.75" customHeight="1">
      <c r="D922" s="20"/>
      <c r="G922" s="26"/>
      <c r="H922" s="20"/>
    </row>
    <row r="923" ht="15.75" customHeight="1">
      <c r="D923" s="20"/>
      <c r="G923" s="26"/>
      <c r="H923" s="20"/>
    </row>
    <row r="924" ht="15.75" customHeight="1">
      <c r="D924" s="20"/>
      <c r="G924" s="26"/>
      <c r="H924" s="20"/>
    </row>
    <row r="925" ht="15.75" customHeight="1">
      <c r="D925" s="20"/>
      <c r="G925" s="26"/>
      <c r="H925" s="20"/>
    </row>
    <row r="926" ht="15.75" customHeight="1">
      <c r="D926" s="20"/>
      <c r="G926" s="26"/>
      <c r="H926" s="20"/>
    </row>
    <row r="927" ht="15.75" customHeight="1">
      <c r="D927" s="20"/>
      <c r="G927" s="26"/>
      <c r="H927" s="20"/>
    </row>
    <row r="928" ht="15.75" customHeight="1">
      <c r="D928" s="20"/>
      <c r="G928" s="26"/>
      <c r="H928" s="20"/>
    </row>
    <row r="929" ht="15.75" customHeight="1">
      <c r="D929" s="20"/>
      <c r="G929" s="26"/>
      <c r="H929" s="20"/>
    </row>
    <row r="930" ht="15.75" customHeight="1">
      <c r="D930" s="20"/>
      <c r="G930" s="26"/>
      <c r="H930" s="20"/>
    </row>
    <row r="931" ht="15.75" customHeight="1">
      <c r="D931" s="20"/>
      <c r="G931" s="26"/>
      <c r="H931" s="20"/>
    </row>
    <row r="932" ht="15.75" customHeight="1">
      <c r="D932" s="20"/>
      <c r="G932" s="26"/>
      <c r="H932" s="20"/>
    </row>
    <row r="933" ht="15.75" customHeight="1">
      <c r="D933" s="20"/>
      <c r="G933" s="26"/>
      <c r="H933" s="20"/>
    </row>
    <row r="934" ht="15.75" customHeight="1">
      <c r="D934" s="20"/>
      <c r="G934" s="26"/>
      <c r="H934" s="20"/>
    </row>
    <row r="935" ht="15.75" customHeight="1">
      <c r="D935" s="20"/>
      <c r="G935" s="26"/>
      <c r="H935" s="20"/>
    </row>
    <row r="936" ht="15.75" customHeight="1">
      <c r="D936" s="20"/>
      <c r="G936" s="26"/>
      <c r="H936" s="20"/>
    </row>
    <row r="937" ht="15.75" customHeight="1">
      <c r="D937" s="20"/>
      <c r="G937" s="26"/>
      <c r="H937" s="20"/>
    </row>
    <row r="938" ht="15.75" customHeight="1">
      <c r="D938" s="20"/>
      <c r="G938" s="26"/>
      <c r="H938" s="20"/>
    </row>
    <row r="939" ht="15.75" customHeight="1">
      <c r="D939" s="20"/>
      <c r="G939" s="26"/>
      <c r="H939" s="20"/>
    </row>
    <row r="940" ht="15.75" customHeight="1">
      <c r="D940" s="20"/>
      <c r="G940" s="26"/>
      <c r="H940" s="20"/>
    </row>
    <row r="941" ht="15.75" customHeight="1">
      <c r="D941" s="20"/>
      <c r="G941" s="26"/>
      <c r="H941" s="20"/>
    </row>
    <row r="942" ht="15.75" customHeight="1">
      <c r="D942" s="20"/>
      <c r="G942" s="26"/>
      <c r="H942" s="20"/>
    </row>
    <row r="943" ht="15.75" customHeight="1">
      <c r="D943" s="20"/>
      <c r="G943" s="26"/>
      <c r="H943" s="20"/>
    </row>
    <row r="944" ht="15.75" customHeight="1">
      <c r="D944" s="20"/>
      <c r="G944" s="26"/>
      <c r="H944" s="20"/>
    </row>
    <row r="945" ht="15.75" customHeight="1">
      <c r="D945" s="20"/>
      <c r="G945" s="26"/>
      <c r="H945" s="20"/>
    </row>
    <row r="946" ht="15.75" customHeight="1">
      <c r="D946" s="20"/>
      <c r="G946" s="26"/>
      <c r="H946" s="20"/>
    </row>
    <row r="947" ht="15.75" customHeight="1">
      <c r="D947" s="20"/>
      <c r="G947" s="26"/>
      <c r="H947" s="20"/>
    </row>
    <row r="948" ht="15.75" customHeight="1">
      <c r="D948" s="20"/>
      <c r="G948" s="26"/>
      <c r="H948" s="20"/>
    </row>
    <row r="949" ht="15.75" customHeight="1">
      <c r="D949" s="20"/>
      <c r="G949" s="26"/>
      <c r="H949" s="20"/>
    </row>
    <row r="950" ht="15.75" customHeight="1">
      <c r="D950" s="20"/>
      <c r="G950" s="26"/>
      <c r="H950" s="20"/>
    </row>
    <row r="951" ht="15.75" customHeight="1">
      <c r="D951" s="20"/>
      <c r="G951" s="26"/>
      <c r="H951" s="20"/>
    </row>
    <row r="952" ht="15.75" customHeight="1">
      <c r="D952" s="20"/>
      <c r="G952" s="26"/>
      <c r="H952" s="20"/>
    </row>
    <row r="953" ht="15.75" customHeight="1">
      <c r="D953" s="20"/>
      <c r="G953" s="26"/>
      <c r="H953" s="20"/>
    </row>
    <row r="954" ht="15.75" customHeight="1">
      <c r="D954" s="20"/>
      <c r="G954" s="26"/>
      <c r="H954" s="20"/>
    </row>
    <row r="955" ht="15.75" customHeight="1">
      <c r="D955" s="20"/>
      <c r="G955" s="26"/>
      <c r="H955" s="20"/>
    </row>
    <row r="956" ht="15.75" customHeight="1">
      <c r="D956" s="20"/>
      <c r="G956" s="26"/>
      <c r="H956" s="20"/>
    </row>
    <row r="957" ht="15.75" customHeight="1">
      <c r="D957" s="20"/>
      <c r="G957" s="26"/>
      <c r="H957" s="20"/>
    </row>
    <row r="958" ht="15.75" customHeight="1">
      <c r="D958" s="20"/>
      <c r="G958" s="26"/>
      <c r="H958" s="20"/>
    </row>
    <row r="959" ht="15.75" customHeight="1">
      <c r="D959" s="20"/>
      <c r="G959" s="26"/>
      <c r="H959" s="20"/>
    </row>
    <row r="960" ht="15.75" customHeight="1">
      <c r="D960" s="20"/>
      <c r="G960" s="26"/>
      <c r="H960" s="20"/>
    </row>
    <row r="961" ht="15.75" customHeight="1">
      <c r="D961" s="20"/>
      <c r="G961" s="26"/>
      <c r="H961" s="20"/>
    </row>
    <row r="962" ht="15.75" customHeight="1">
      <c r="D962" s="20"/>
      <c r="G962" s="26"/>
      <c r="H962" s="20"/>
    </row>
    <row r="963" ht="15.75" customHeight="1">
      <c r="D963" s="20"/>
      <c r="G963" s="26"/>
      <c r="H963" s="20"/>
    </row>
    <row r="964" ht="15.75" customHeight="1">
      <c r="D964" s="20"/>
      <c r="G964" s="26"/>
      <c r="H964" s="20"/>
    </row>
    <row r="965" ht="15.75" customHeight="1">
      <c r="D965" s="20"/>
      <c r="G965" s="26"/>
      <c r="H965" s="20"/>
    </row>
    <row r="966" ht="15.75" customHeight="1">
      <c r="D966" s="20"/>
      <c r="G966" s="26"/>
      <c r="H966" s="20"/>
    </row>
    <row r="967" ht="15.75" customHeight="1">
      <c r="D967" s="20"/>
      <c r="G967" s="26"/>
      <c r="H967" s="20"/>
    </row>
    <row r="968" ht="15.75" customHeight="1">
      <c r="D968" s="20"/>
      <c r="G968" s="26"/>
      <c r="H968" s="20"/>
    </row>
    <row r="969" ht="15.75" customHeight="1">
      <c r="D969" s="20"/>
      <c r="G969" s="26"/>
      <c r="H969" s="20"/>
    </row>
    <row r="970" ht="15.75" customHeight="1">
      <c r="D970" s="20"/>
      <c r="G970" s="26"/>
      <c r="H970" s="20"/>
    </row>
    <row r="971" ht="15.75" customHeight="1">
      <c r="D971" s="20"/>
      <c r="G971" s="26"/>
      <c r="H971" s="20"/>
    </row>
    <row r="972" ht="15.75" customHeight="1">
      <c r="D972" s="20"/>
      <c r="G972" s="26"/>
      <c r="H972" s="20"/>
    </row>
    <row r="973" ht="15.75" customHeight="1">
      <c r="D973" s="20"/>
      <c r="G973" s="26"/>
      <c r="H973" s="20"/>
    </row>
    <row r="974" ht="15.75" customHeight="1">
      <c r="D974" s="20"/>
      <c r="G974" s="26"/>
      <c r="H974" s="20"/>
    </row>
    <row r="975" ht="15.75" customHeight="1">
      <c r="D975" s="20"/>
      <c r="G975" s="26"/>
      <c r="H975" s="20"/>
    </row>
    <row r="976" ht="15.75" customHeight="1">
      <c r="D976" s="20"/>
      <c r="G976" s="26"/>
      <c r="H976" s="20"/>
    </row>
    <row r="977" ht="15.75" customHeight="1">
      <c r="D977" s="20"/>
      <c r="G977" s="26"/>
      <c r="H977" s="20"/>
    </row>
    <row r="978" ht="15.75" customHeight="1">
      <c r="D978" s="20"/>
      <c r="G978" s="26"/>
      <c r="H978" s="20"/>
    </row>
    <row r="979" ht="15.75" customHeight="1">
      <c r="D979" s="20"/>
      <c r="G979" s="26"/>
      <c r="H979" s="20"/>
    </row>
    <row r="980" ht="15.75" customHeight="1">
      <c r="D980" s="20"/>
      <c r="G980" s="26"/>
      <c r="H980" s="20"/>
    </row>
    <row r="981" ht="15.75" customHeight="1">
      <c r="D981" s="20"/>
      <c r="G981" s="26"/>
      <c r="H981" s="20"/>
    </row>
    <row r="982" ht="15.75" customHeight="1">
      <c r="D982" s="20"/>
      <c r="G982" s="26"/>
      <c r="H982" s="20"/>
    </row>
    <row r="983" ht="15.75" customHeight="1">
      <c r="D983" s="20"/>
      <c r="G983" s="26"/>
      <c r="H983" s="20"/>
    </row>
    <row r="984" ht="15.75" customHeight="1">
      <c r="D984" s="20"/>
      <c r="G984" s="26"/>
      <c r="H984" s="20"/>
    </row>
    <row r="985" ht="15.75" customHeight="1">
      <c r="D985" s="20"/>
      <c r="G985" s="26"/>
      <c r="H985" s="20"/>
    </row>
    <row r="986" ht="15.75" customHeight="1">
      <c r="D986" s="20"/>
      <c r="G986" s="26"/>
      <c r="H986" s="20"/>
    </row>
    <row r="987" ht="15.75" customHeight="1">
      <c r="D987" s="20"/>
      <c r="G987" s="26"/>
      <c r="H987" s="20"/>
    </row>
    <row r="988" ht="15.75" customHeight="1">
      <c r="D988" s="20"/>
      <c r="G988" s="26"/>
      <c r="H988" s="20"/>
    </row>
    <row r="989" ht="15.75" customHeight="1">
      <c r="D989" s="20"/>
      <c r="G989" s="26"/>
      <c r="H989" s="20"/>
    </row>
    <row r="990" ht="15.75" customHeight="1">
      <c r="D990" s="20"/>
      <c r="G990" s="26"/>
      <c r="H990" s="20"/>
    </row>
    <row r="991" ht="15.75" customHeight="1">
      <c r="D991" s="20"/>
      <c r="G991" s="26"/>
      <c r="H991" s="20"/>
    </row>
    <row r="992" ht="15.75" customHeight="1">
      <c r="D992" s="20"/>
      <c r="G992" s="26"/>
      <c r="H992" s="20"/>
    </row>
    <row r="993" ht="15.75" customHeight="1">
      <c r="D993" s="20"/>
      <c r="G993" s="26"/>
      <c r="H993" s="20"/>
    </row>
    <row r="994" ht="15.75" customHeight="1">
      <c r="D994" s="20"/>
      <c r="G994" s="26"/>
      <c r="H994" s="20"/>
    </row>
    <row r="995" ht="15.75" customHeight="1">
      <c r="D995" s="20"/>
      <c r="G995" s="26"/>
      <c r="H995" s="20"/>
    </row>
    <row r="996" ht="15.75" customHeight="1">
      <c r="D996" s="20"/>
      <c r="G996" s="26"/>
      <c r="H996" s="20"/>
    </row>
    <row r="997" ht="15.75" customHeight="1">
      <c r="D997" s="20"/>
      <c r="G997" s="26"/>
      <c r="H997" s="20"/>
    </row>
    <row r="998" ht="15.75" customHeight="1">
      <c r="D998" s="20"/>
      <c r="G998" s="26"/>
      <c r="H998" s="20"/>
    </row>
    <row r="999" ht="15.75" customHeight="1">
      <c r="D999" s="20"/>
      <c r="G999" s="26"/>
      <c r="H999" s="20"/>
    </row>
    <row r="1000" ht="15.75" customHeight="1">
      <c r="D1000" s="20"/>
      <c r="G1000" s="26"/>
      <c r="H1000" s="20"/>
    </row>
  </sheetData>
  <mergeCells count="1">
    <mergeCell ref="A1:H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 customWidth="1" min="9" max="26" width="8.63"/>
  </cols>
  <sheetData>
    <row r="1" ht="27.75" customHeight="1">
      <c r="A1" s="52" t="s">
        <v>218</v>
      </c>
    </row>
    <row r="2">
      <c r="A2" s="53" t="s">
        <v>47</v>
      </c>
      <c r="B2" s="54">
        <f>IFERROR(SUM(E5:E1000)/SUM(F5:F1000),0)</f>
        <v>0.4858757062</v>
      </c>
      <c r="C2" s="16"/>
      <c r="D2" s="55" t="s">
        <v>48</v>
      </c>
      <c r="E2" s="56">
        <f>Settings!B3</f>
        <v>46266</v>
      </c>
      <c r="F2" s="16"/>
      <c r="G2" s="57"/>
      <c r="H2" s="56"/>
    </row>
    <row r="3">
      <c r="A3" s="16"/>
      <c r="B3" s="16"/>
      <c r="C3" s="16"/>
      <c r="D3" s="56"/>
      <c r="E3" s="16"/>
      <c r="F3" s="16"/>
      <c r="G3" s="57"/>
      <c r="H3" s="56"/>
    </row>
    <row r="4">
      <c r="A4" s="58" t="s">
        <v>50</v>
      </c>
      <c r="B4" s="58" t="s">
        <v>51</v>
      </c>
      <c r="C4" s="58" t="s">
        <v>36</v>
      </c>
      <c r="D4" s="59" t="s">
        <v>52</v>
      </c>
      <c r="E4" s="58" t="s">
        <v>39</v>
      </c>
      <c r="F4" s="58" t="s">
        <v>53</v>
      </c>
      <c r="G4" s="60" t="s">
        <v>54</v>
      </c>
      <c r="H4" s="59" t="s">
        <v>55</v>
      </c>
    </row>
    <row r="5">
      <c r="A5" s="53" t="s">
        <v>219</v>
      </c>
      <c r="B5" s="53" t="s">
        <v>61</v>
      </c>
      <c r="C5" s="53" t="s">
        <v>43</v>
      </c>
      <c r="D5" s="55">
        <v>46265.33333333333</v>
      </c>
      <c r="E5" s="16">
        <f>IF($A5="","",SUMPRODUCT((AttendanceLog!$E$2:$E$5000=$A5)*(AttendanceLog!$C$2:$C$5000&gt;=MAX($D5,Settings!$B$3))*((AttendanceLog!$I$2:$I$5000="")+(IFERROR(SEARCH(","&amp;$C5&amp;",",","&amp;AttendanceLog!$I$2:$I$5000&amp;","),0)&gt;0))))</f>
        <v>0</v>
      </c>
      <c r="F5" s="16">
        <f>IF($A5="","",SUMPRODUCT((EventLog!$C$2:$C$5000&gt;=MAX($D5,Settings!$B$3))*(EventLog!$C$2:$C$5000&lt;=TODAY())*((EventLog!$F$2:$F$5000="")+(IFERROR(SEARCH(","&amp;$C5&amp;",",","&amp;EventLog!$F$2:$F$5000&amp;","),0)&gt;0))))</f>
        <v>3</v>
      </c>
      <c r="G5" s="57">
        <f t="shared" ref="G5:G63" si="1">IFERROR(E5/F5,0)</f>
        <v>0</v>
      </c>
      <c r="H5" s="56" t="str">
        <f>IFERROR(__xludf.DUMMYFUNCTION("IFERROR(MAX(FILTER(AttendanceLog!$C:$C,AttendanceLog!$E:$E=$A5,(AttendanceLog!$I:$I="""")+(IFERROR(SEARCH("",""&amp;$C5&amp;"","","",""&amp;AttendanceLog!$I:$I&amp;"",""),0)&gt;0))),"""")"),"")</f>
        <v/>
      </c>
    </row>
    <row r="6">
      <c r="A6" s="53" t="s">
        <v>220</v>
      </c>
      <c r="B6" s="53" t="s">
        <v>61</v>
      </c>
      <c r="C6" s="53" t="s">
        <v>43</v>
      </c>
      <c r="D6" s="55">
        <v>46265.33333333333</v>
      </c>
      <c r="E6" s="16">
        <f>IF($A6="","",SUMPRODUCT((AttendanceLog!$E$2:$E$5000=$A6)*(AttendanceLog!$C$2:$C$5000&gt;=MAX($D6,Settings!$B$3))*((AttendanceLog!$I$2:$I$5000="")+(IFERROR(SEARCH(","&amp;$C6&amp;",",","&amp;AttendanceLog!$I$2:$I$5000&amp;","),0)&gt;0))))</f>
        <v>0</v>
      </c>
      <c r="F6" s="16">
        <f>IF($A6="","",SUMPRODUCT((EventLog!$C$2:$C$5000&gt;=MAX($D6,Settings!$B$3))*(EventLog!$C$2:$C$5000&lt;=TODAY())*((EventLog!$F$2:$F$5000="")+(IFERROR(SEARCH(","&amp;$C6&amp;",",","&amp;EventLog!$F$2:$F$5000&amp;","),0)&gt;0))))</f>
        <v>3</v>
      </c>
      <c r="G6" s="57">
        <f t="shared" si="1"/>
        <v>0</v>
      </c>
      <c r="H6" s="56" t="str">
        <f>IFERROR(__xludf.DUMMYFUNCTION("IFERROR(MAX(FILTER(AttendanceLog!$C:$C,AttendanceLog!$E:$E=$A6,(AttendanceLog!$I:$I="""")+(IFERROR(SEARCH("",""&amp;$C6&amp;"","","",""&amp;AttendanceLog!$I:$I&amp;"",""),0)&gt;0))),"""")"),"")</f>
        <v/>
      </c>
    </row>
    <row r="7">
      <c r="A7" s="53" t="s">
        <v>59</v>
      </c>
      <c r="B7" s="53" t="s">
        <v>61</v>
      </c>
      <c r="C7" s="53" t="s">
        <v>43</v>
      </c>
      <c r="D7" s="55">
        <v>46265.33333333333</v>
      </c>
      <c r="E7" s="16">
        <f>IF($A7="","",SUMPRODUCT((AttendanceLog!$E$2:$E$5000=$A7)*(AttendanceLog!$C$2:$C$5000&gt;=MAX($D7,Settings!$B$3))*((AttendanceLog!$I$2:$I$5000="")+(IFERROR(SEARCH(","&amp;$C7&amp;",",","&amp;AttendanceLog!$I$2:$I$5000&amp;","),0)&gt;0))))</f>
        <v>0</v>
      </c>
      <c r="F7" s="16">
        <f>IF($A7="","",SUMPRODUCT((EventLog!$C$2:$C$5000&gt;=MAX($D7,Settings!$B$3))*(EventLog!$C$2:$C$5000&lt;=TODAY())*((EventLog!$F$2:$F$5000="")+(IFERROR(SEARCH(","&amp;$C7&amp;",",","&amp;EventLog!$F$2:$F$5000&amp;","),0)&gt;0))))</f>
        <v>3</v>
      </c>
      <c r="G7" s="57">
        <f t="shared" si="1"/>
        <v>0</v>
      </c>
      <c r="H7" s="56" t="str">
        <f>IFERROR(__xludf.DUMMYFUNCTION("IFERROR(MAX(FILTER(AttendanceLog!$C:$C,AttendanceLog!$E:$E=$A7,(AttendanceLog!$I:$I="""")+(IFERROR(SEARCH("",""&amp;$C7&amp;"","","",""&amp;AttendanceLog!$I:$I&amp;"",""),0)&gt;0))),"""")"),"")</f>
        <v/>
      </c>
    </row>
    <row r="8">
      <c r="A8" s="53" t="s">
        <v>221</v>
      </c>
      <c r="B8" s="53" t="s">
        <v>61</v>
      </c>
      <c r="C8" s="53" t="s">
        <v>43</v>
      </c>
      <c r="D8" s="55">
        <v>46265.33333333333</v>
      </c>
      <c r="E8" s="16">
        <f>IF($A8="","",SUMPRODUCT((AttendanceLog!$E$2:$E$5000=$A8)*(AttendanceLog!$C$2:$C$5000&gt;=MAX($D8,Settings!$B$3))*((AttendanceLog!$I$2:$I$5000="")+(IFERROR(SEARCH(","&amp;$C8&amp;",",","&amp;AttendanceLog!$I$2:$I$5000&amp;","),0)&gt;0))))</f>
        <v>1</v>
      </c>
      <c r="F8" s="16">
        <f>IF($A8="","",SUMPRODUCT((EventLog!$C$2:$C$5000&gt;=MAX($D8,Settings!$B$3))*(EventLog!$C$2:$C$5000&lt;=TODAY())*((EventLog!$F$2:$F$5000="")+(IFERROR(SEARCH(","&amp;$C8&amp;",",","&amp;EventLog!$F$2:$F$5000&amp;","),0)&gt;0))))</f>
        <v>3</v>
      </c>
      <c r="G8" s="57">
        <f t="shared" si="1"/>
        <v>0.3333333333</v>
      </c>
      <c r="H8" s="56">
        <f>IFERROR(__xludf.DUMMYFUNCTION("IFERROR(MAX(FILTER(AttendanceLog!$C:$C,AttendanceLog!$E:$E=$A8,(AttendanceLog!$I:$I="""")+(IFERROR(SEARCH("",""&amp;$C8&amp;"","","",""&amp;AttendanceLog!$I:$I&amp;"",""),0)&gt;0))),"""")"),46275.33333333333)</f>
        <v>46275.33333</v>
      </c>
    </row>
    <row r="9">
      <c r="A9" s="53" t="s">
        <v>86</v>
      </c>
      <c r="B9" s="53" t="s">
        <v>61</v>
      </c>
      <c r="C9" s="53" t="s">
        <v>43</v>
      </c>
      <c r="D9" s="55">
        <v>46265.33333333333</v>
      </c>
      <c r="E9" s="16">
        <f>IF($A9="","",SUMPRODUCT((AttendanceLog!$E$2:$E$5000=$A9)*(AttendanceLog!$C$2:$C$5000&gt;=MAX($D9,Settings!$B$3))*((AttendanceLog!$I$2:$I$5000="")+(IFERROR(SEARCH(","&amp;$C9&amp;",",","&amp;AttendanceLog!$I$2:$I$5000&amp;","),0)&gt;0))))</f>
        <v>1</v>
      </c>
      <c r="F9" s="16">
        <f>IF($A9="","",SUMPRODUCT((EventLog!$C$2:$C$5000&gt;=MAX($D9,Settings!$B$3))*(EventLog!$C$2:$C$5000&lt;=TODAY())*((EventLog!$F$2:$F$5000="")+(IFERROR(SEARCH(","&amp;$C9&amp;",",","&amp;EventLog!$F$2:$F$5000&amp;","),0)&gt;0))))</f>
        <v>3</v>
      </c>
      <c r="G9" s="57">
        <f t="shared" si="1"/>
        <v>0.3333333333</v>
      </c>
      <c r="H9" s="56">
        <f>IFERROR(__xludf.DUMMYFUNCTION("IFERROR(MAX(FILTER(AttendanceLog!$C:$C,AttendanceLog!$E:$E=$A9,(AttendanceLog!$I:$I="""")+(IFERROR(SEARCH("",""&amp;$C9&amp;"","","",""&amp;AttendanceLog!$I:$I&amp;"",""),0)&gt;0))),"""")"),46303.33333333333)</f>
        <v>46303.33333</v>
      </c>
    </row>
    <row r="10">
      <c r="A10" s="53" t="s">
        <v>222</v>
      </c>
      <c r="B10" s="53" t="s">
        <v>61</v>
      </c>
      <c r="C10" s="53" t="s">
        <v>43</v>
      </c>
      <c r="D10" s="55">
        <v>46265.33333333333</v>
      </c>
      <c r="E10" s="16">
        <f>IF($A10="","",SUMPRODUCT((AttendanceLog!$E$2:$E$5000=$A10)*(AttendanceLog!$C$2:$C$5000&gt;=MAX($D10,Settings!$B$3))*((AttendanceLog!$I$2:$I$5000="")+(IFERROR(SEARCH(","&amp;$C10&amp;",",","&amp;AttendanceLog!$I$2:$I$5000&amp;","),0)&gt;0))))</f>
        <v>0</v>
      </c>
      <c r="F10" s="16">
        <f>IF($A10="","",SUMPRODUCT((EventLog!$C$2:$C$5000&gt;=MAX($D10,Settings!$B$3))*(EventLog!$C$2:$C$5000&lt;=TODAY())*((EventLog!$F$2:$F$5000="")+(IFERROR(SEARCH(","&amp;$C10&amp;",",","&amp;EventLog!$F$2:$F$5000&amp;","),0)&gt;0))))</f>
        <v>3</v>
      </c>
      <c r="G10" s="57">
        <f t="shared" si="1"/>
        <v>0</v>
      </c>
      <c r="H10" s="56" t="str">
        <f>IFERROR(__xludf.DUMMYFUNCTION("IFERROR(MAX(FILTER(AttendanceLog!$C:$C,AttendanceLog!$E:$E=$A10,(AttendanceLog!$I:$I="""")+(IFERROR(SEARCH("",""&amp;$C10&amp;"","","",""&amp;AttendanceLog!$I:$I&amp;"",""),0)&gt;0))),"""")"),"")</f>
        <v/>
      </c>
    </row>
    <row r="11">
      <c r="A11" s="53" t="s">
        <v>223</v>
      </c>
      <c r="B11" s="53" t="s">
        <v>61</v>
      </c>
      <c r="C11" s="53" t="s">
        <v>43</v>
      </c>
      <c r="D11" s="55">
        <v>45900.33333333333</v>
      </c>
      <c r="E11" s="16">
        <f>IF($A11="","",SUMPRODUCT((AttendanceLog!$E$2:$E$5000=$A11)*(AttendanceLog!$C$2:$C$5000&gt;=MAX($D11,Settings!$B$3))*((AttendanceLog!$I$2:$I$5000="")+(IFERROR(SEARCH(","&amp;$C11&amp;",",","&amp;AttendanceLog!$I$2:$I$5000&amp;","),0)&gt;0))))</f>
        <v>0</v>
      </c>
      <c r="F11" s="16">
        <f>IF($A11="","",SUMPRODUCT((EventLog!$C$2:$C$5000&gt;=MAX($D11,Settings!$B$3))*(EventLog!$C$2:$C$5000&lt;=TODAY())*((EventLog!$F$2:$F$5000="")+(IFERROR(SEARCH(","&amp;$C11&amp;",",","&amp;EventLog!$F$2:$F$5000&amp;","),0)&gt;0))))</f>
        <v>3</v>
      </c>
      <c r="G11" s="57">
        <f t="shared" si="1"/>
        <v>0</v>
      </c>
      <c r="H11" s="56" t="str">
        <f>IFERROR(__xludf.DUMMYFUNCTION("IFERROR(MAX(FILTER(AttendanceLog!$C:$C,AttendanceLog!$E:$E=$A11,(AttendanceLog!$I:$I="""")+(IFERROR(SEARCH("",""&amp;$C11&amp;"","","",""&amp;AttendanceLog!$I:$I&amp;"",""),0)&gt;0))),"""")"),"")</f>
        <v/>
      </c>
    </row>
    <row r="12">
      <c r="A12" s="53" t="s">
        <v>224</v>
      </c>
      <c r="B12" s="53" t="s">
        <v>61</v>
      </c>
      <c r="C12" s="53" t="s">
        <v>43</v>
      </c>
      <c r="D12" s="55">
        <v>46265.33333333333</v>
      </c>
      <c r="E12" s="16">
        <f>IF($A12="","",SUMPRODUCT((AttendanceLog!$E$2:$E$5000=$A12)*(AttendanceLog!$C$2:$C$5000&gt;=MAX($D12,Settings!$B$3))*((AttendanceLog!$I$2:$I$5000="")+(IFERROR(SEARCH(","&amp;$C12&amp;",",","&amp;AttendanceLog!$I$2:$I$5000&amp;","),0)&gt;0))))</f>
        <v>0</v>
      </c>
      <c r="F12" s="16">
        <f>IF($A12="","",SUMPRODUCT((EventLog!$C$2:$C$5000&gt;=MAX($D12,Settings!$B$3))*(EventLog!$C$2:$C$5000&lt;=TODAY())*((EventLog!$F$2:$F$5000="")+(IFERROR(SEARCH(","&amp;$C12&amp;",",","&amp;EventLog!$F$2:$F$5000&amp;","),0)&gt;0))))</f>
        <v>3</v>
      </c>
      <c r="G12" s="57">
        <f t="shared" si="1"/>
        <v>0</v>
      </c>
      <c r="H12" s="56" t="str">
        <f>IFERROR(__xludf.DUMMYFUNCTION("IFERROR(MAX(FILTER(AttendanceLog!$C:$C,AttendanceLog!$E:$E=$A12,(AttendanceLog!$I:$I="""")+(IFERROR(SEARCH("",""&amp;$C12&amp;"","","",""&amp;AttendanceLog!$I:$I&amp;"",""),0)&gt;0))),"""")"),"")</f>
        <v/>
      </c>
    </row>
    <row r="13">
      <c r="A13" s="53" t="s">
        <v>225</v>
      </c>
      <c r="B13" s="53" t="s">
        <v>61</v>
      </c>
      <c r="C13" s="53" t="s">
        <v>43</v>
      </c>
      <c r="D13" s="55">
        <v>46265.33333333333</v>
      </c>
      <c r="E13" s="16">
        <f>IF($A13="","",SUMPRODUCT((AttendanceLog!$E$2:$E$5000=$A13)*(AttendanceLog!$C$2:$C$5000&gt;=MAX($D13,Settings!$B$3))*((AttendanceLog!$I$2:$I$5000="")+(IFERROR(SEARCH(","&amp;$C13&amp;",",","&amp;AttendanceLog!$I$2:$I$5000&amp;","),0)&gt;0))))</f>
        <v>0</v>
      </c>
      <c r="F13" s="16">
        <f>IF($A13="","",SUMPRODUCT((EventLog!$C$2:$C$5000&gt;=MAX($D13,Settings!$B$3))*(EventLog!$C$2:$C$5000&lt;=TODAY())*((EventLog!$F$2:$F$5000="")+(IFERROR(SEARCH(","&amp;$C13&amp;",",","&amp;EventLog!$F$2:$F$5000&amp;","),0)&gt;0))))</f>
        <v>3</v>
      </c>
      <c r="G13" s="57">
        <f t="shared" si="1"/>
        <v>0</v>
      </c>
      <c r="H13" s="56" t="str">
        <f>IFERROR(__xludf.DUMMYFUNCTION("IFERROR(MAX(FILTER(AttendanceLog!$C:$C,AttendanceLog!$E:$E=$A13,(AttendanceLog!$I:$I="""")+(IFERROR(SEARCH("",""&amp;$C13&amp;"","","",""&amp;AttendanceLog!$I:$I&amp;"",""),0)&gt;0))),"""")"),"")</f>
        <v/>
      </c>
    </row>
    <row r="14">
      <c r="A14" s="53" t="s">
        <v>226</v>
      </c>
      <c r="B14" s="53" t="s">
        <v>61</v>
      </c>
      <c r="C14" s="53" t="s">
        <v>43</v>
      </c>
      <c r="D14" s="55">
        <v>46265.33333333333</v>
      </c>
      <c r="E14" s="16">
        <f>IF($A14="","",SUMPRODUCT((AttendanceLog!$E$2:$E$5000=$A14)*(AttendanceLog!$C$2:$C$5000&gt;=MAX($D14,Settings!$B$3))*((AttendanceLog!$I$2:$I$5000="")+(IFERROR(SEARCH(","&amp;$C14&amp;",",","&amp;AttendanceLog!$I$2:$I$5000&amp;","),0)&gt;0))))</f>
        <v>0</v>
      </c>
      <c r="F14" s="16">
        <f>IF($A14="","",SUMPRODUCT((EventLog!$C$2:$C$5000&gt;=MAX($D14,Settings!$B$3))*(EventLog!$C$2:$C$5000&lt;=TODAY())*((EventLog!$F$2:$F$5000="")+(IFERROR(SEARCH(","&amp;$C14&amp;",",","&amp;EventLog!$F$2:$F$5000&amp;","),0)&gt;0))))</f>
        <v>3</v>
      </c>
      <c r="G14" s="57">
        <f t="shared" si="1"/>
        <v>0</v>
      </c>
      <c r="H14" s="56" t="str">
        <f>IFERROR(__xludf.DUMMYFUNCTION("IFERROR(MAX(FILTER(AttendanceLog!$C:$C,AttendanceLog!$E:$E=$A14,(AttendanceLog!$I:$I="""")+(IFERROR(SEARCH("",""&amp;$C14&amp;"","","",""&amp;AttendanceLog!$I:$I&amp;"",""),0)&gt;0))),"""")"),"")</f>
        <v/>
      </c>
    </row>
    <row r="15">
      <c r="A15" s="53" t="s">
        <v>227</v>
      </c>
      <c r="B15" s="53" t="s">
        <v>61</v>
      </c>
      <c r="C15" s="53" t="s">
        <v>43</v>
      </c>
      <c r="D15" s="55">
        <v>45900.33333333333</v>
      </c>
      <c r="E15" s="16">
        <f>IF($A15="","",SUMPRODUCT((AttendanceLog!$E$2:$E$5000=$A15)*(AttendanceLog!$C$2:$C$5000&gt;=MAX($D15,Settings!$B$3))*((AttendanceLog!$I$2:$I$5000="")+(IFERROR(SEARCH(","&amp;$C15&amp;",",","&amp;AttendanceLog!$I$2:$I$5000&amp;","),0)&gt;0))))</f>
        <v>0</v>
      </c>
      <c r="F15" s="16">
        <f>IF($A15="","",SUMPRODUCT((EventLog!$C$2:$C$5000&gt;=MAX($D15,Settings!$B$3))*(EventLog!$C$2:$C$5000&lt;=TODAY())*((EventLog!$F$2:$F$5000="")+(IFERROR(SEARCH(","&amp;$C15&amp;",",","&amp;EventLog!$F$2:$F$5000&amp;","),0)&gt;0))))</f>
        <v>3</v>
      </c>
      <c r="G15" s="57">
        <f t="shared" si="1"/>
        <v>0</v>
      </c>
      <c r="H15" s="56" t="str">
        <f>IFERROR(__xludf.DUMMYFUNCTION("IFERROR(MAX(FILTER(AttendanceLog!$C:$C,AttendanceLog!$E:$E=$A15,(AttendanceLog!$I:$I="""")+(IFERROR(SEARCH("",""&amp;$C15&amp;"","","",""&amp;AttendanceLog!$I:$I&amp;"",""),0)&gt;0))),"""")"),"")</f>
        <v/>
      </c>
    </row>
    <row r="16">
      <c r="A16" s="53" t="s">
        <v>228</v>
      </c>
      <c r="B16" s="53" t="s">
        <v>61</v>
      </c>
      <c r="C16" s="53" t="s">
        <v>43</v>
      </c>
      <c r="D16" s="55">
        <v>46265.33333333333</v>
      </c>
      <c r="E16" s="16">
        <f>IF($A16="","",SUMPRODUCT((AttendanceLog!$E$2:$E$5000=$A16)*(AttendanceLog!$C$2:$C$5000&gt;=MAX($D16,Settings!$B$3))*((AttendanceLog!$I$2:$I$5000="")+(IFERROR(SEARCH(","&amp;$C16&amp;",",","&amp;AttendanceLog!$I$2:$I$5000&amp;","),0)&gt;0))))</f>
        <v>1</v>
      </c>
      <c r="F16" s="16">
        <f>IF($A16="","",SUMPRODUCT((EventLog!$C$2:$C$5000&gt;=MAX($D16,Settings!$B$3))*(EventLog!$C$2:$C$5000&lt;=TODAY())*((EventLog!$F$2:$F$5000="")+(IFERROR(SEARCH(","&amp;$C16&amp;",",","&amp;EventLog!$F$2:$F$5000&amp;","),0)&gt;0))))</f>
        <v>3</v>
      </c>
      <c r="G16" s="57">
        <f t="shared" si="1"/>
        <v>0.3333333333</v>
      </c>
      <c r="H16" s="56">
        <f>IFERROR(__xludf.DUMMYFUNCTION("IFERROR(MAX(FILTER(AttendanceLog!$C:$C,AttendanceLog!$E:$E=$A16,(AttendanceLog!$I:$I="""")+(IFERROR(SEARCH("",""&amp;$C16&amp;"","","",""&amp;AttendanceLog!$I:$I&amp;"",""),0)&gt;0))),"""")"),46275.33333333333)</f>
        <v>46275.33333</v>
      </c>
    </row>
    <row r="17">
      <c r="A17" s="53" t="s">
        <v>229</v>
      </c>
      <c r="B17" s="53" t="s">
        <v>61</v>
      </c>
      <c r="C17" s="53" t="s">
        <v>43</v>
      </c>
      <c r="D17" s="55">
        <v>46265.33333333333</v>
      </c>
      <c r="E17" s="16">
        <f>IF($A17="","",SUMPRODUCT((AttendanceLog!$E$2:$E$5000=$A17)*(AttendanceLog!$C$2:$C$5000&gt;=MAX($D17,Settings!$B$3))*((AttendanceLog!$I$2:$I$5000="")+(IFERROR(SEARCH(","&amp;$C17&amp;",",","&amp;AttendanceLog!$I$2:$I$5000&amp;","),0)&gt;0))))</f>
        <v>0</v>
      </c>
      <c r="F17" s="16">
        <f>IF($A17="","",SUMPRODUCT((EventLog!$C$2:$C$5000&gt;=MAX($D17,Settings!$B$3))*(EventLog!$C$2:$C$5000&lt;=TODAY())*((EventLog!$F$2:$F$5000="")+(IFERROR(SEARCH(","&amp;$C17&amp;",",","&amp;EventLog!$F$2:$F$5000&amp;","),0)&gt;0))))</f>
        <v>3</v>
      </c>
      <c r="G17" s="57">
        <f t="shared" si="1"/>
        <v>0</v>
      </c>
      <c r="H17" s="56" t="str">
        <f>IFERROR(__xludf.DUMMYFUNCTION("IFERROR(MAX(FILTER(AttendanceLog!$C:$C,AttendanceLog!$E:$E=$A17,(AttendanceLog!$I:$I="""")+(IFERROR(SEARCH("",""&amp;$C17&amp;"","","",""&amp;AttendanceLog!$I:$I&amp;"",""),0)&gt;0))),"""")"),"")</f>
        <v/>
      </c>
    </row>
    <row r="18">
      <c r="A18" s="53" t="s">
        <v>230</v>
      </c>
      <c r="B18" s="53" t="s">
        <v>61</v>
      </c>
      <c r="C18" s="53" t="s">
        <v>43</v>
      </c>
      <c r="D18" s="55">
        <v>45900.33333333333</v>
      </c>
      <c r="E18" s="16">
        <f>IF($A18="","",SUMPRODUCT((AttendanceLog!$E$2:$E$5000=$A18)*(AttendanceLog!$C$2:$C$5000&gt;=MAX($D18,Settings!$B$3))*((AttendanceLog!$I$2:$I$5000="")+(IFERROR(SEARCH(","&amp;$C18&amp;",",","&amp;AttendanceLog!$I$2:$I$5000&amp;","),0)&gt;0))))</f>
        <v>0</v>
      </c>
      <c r="F18" s="16">
        <f>IF($A18="","",SUMPRODUCT((EventLog!$C$2:$C$5000&gt;=MAX($D18,Settings!$B$3))*(EventLog!$C$2:$C$5000&lt;=TODAY())*((EventLog!$F$2:$F$5000="")+(IFERROR(SEARCH(","&amp;$C18&amp;",",","&amp;EventLog!$F$2:$F$5000&amp;","),0)&gt;0))))</f>
        <v>3</v>
      </c>
      <c r="G18" s="57">
        <f t="shared" si="1"/>
        <v>0</v>
      </c>
      <c r="H18" s="56" t="str">
        <f>IFERROR(__xludf.DUMMYFUNCTION("IFERROR(MAX(FILTER(AttendanceLog!$C:$C,AttendanceLog!$E:$E=$A18,(AttendanceLog!$I:$I="""")+(IFERROR(SEARCH("",""&amp;$C18&amp;"","","",""&amp;AttendanceLog!$I:$I&amp;"",""),0)&gt;0))),"""")"),"")</f>
        <v/>
      </c>
    </row>
    <row r="19">
      <c r="A19" s="53" t="s">
        <v>231</v>
      </c>
      <c r="B19" s="53" t="s">
        <v>61</v>
      </c>
      <c r="C19" s="53" t="s">
        <v>43</v>
      </c>
      <c r="D19" s="55">
        <v>45900.33333333333</v>
      </c>
      <c r="E19" s="16">
        <f>IF($A19="","",SUMPRODUCT((AttendanceLog!$E$2:$E$5000=$A19)*(AttendanceLog!$C$2:$C$5000&gt;=MAX($D19,Settings!$B$3))*((AttendanceLog!$I$2:$I$5000="")+(IFERROR(SEARCH(","&amp;$C19&amp;",",","&amp;AttendanceLog!$I$2:$I$5000&amp;","),0)&gt;0))))</f>
        <v>0</v>
      </c>
      <c r="F19" s="16">
        <f>IF($A19="","",SUMPRODUCT((EventLog!$C$2:$C$5000&gt;=MAX($D19,Settings!$B$3))*(EventLog!$C$2:$C$5000&lt;=TODAY())*((EventLog!$F$2:$F$5000="")+(IFERROR(SEARCH(","&amp;$C19&amp;",",","&amp;EventLog!$F$2:$F$5000&amp;","),0)&gt;0))))</f>
        <v>3</v>
      </c>
      <c r="G19" s="57">
        <f t="shared" si="1"/>
        <v>0</v>
      </c>
      <c r="H19" s="56" t="str">
        <f>IFERROR(__xludf.DUMMYFUNCTION("IFERROR(MAX(FILTER(AttendanceLog!$C:$C,AttendanceLog!$E:$E=$A19,(AttendanceLog!$I:$I="""")+(IFERROR(SEARCH("",""&amp;$C19&amp;"","","",""&amp;AttendanceLog!$I:$I&amp;"",""),0)&gt;0))),"""")"),"")</f>
        <v/>
      </c>
    </row>
    <row r="20">
      <c r="A20" s="53" t="s">
        <v>232</v>
      </c>
      <c r="B20" s="53" t="s">
        <v>61</v>
      </c>
      <c r="C20" s="53" t="s">
        <v>43</v>
      </c>
      <c r="D20" s="55">
        <v>46265.33333333333</v>
      </c>
      <c r="E20" s="16">
        <f>IF($A20="","",SUMPRODUCT((AttendanceLog!$E$2:$E$5000=$A20)*(AttendanceLog!$C$2:$C$5000&gt;=MAX($D20,Settings!$B$3))*((AttendanceLog!$I$2:$I$5000="")+(IFERROR(SEARCH(","&amp;$C20&amp;",",","&amp;AttendanceLog!$I$2:$I$5000&amp;","),0)&gt;0))))</f>
        <v>1</v>
      </c>
      <c r="F20" s="16">
        <f>IF($A20="","",SUMPRODUCT((EventLog!$C$2:$C$5000&gt;=MAX($D20,Settings!$B$3))*(EventLog!$C$2:$C$5000&lt;=TODAY())*((EventLog!$F$2:$F$5000="")+(IFERROR(SEARCH(","&amp;$C20&amp;",",","&amp;EventLog!$F$2:$F$5000&amp;","),0)&gt;0))))</f>
        <v>3</v>
      </c>
      <c r="G20" s="57">
        <f t="shared" si="1"/>
        <v>0.3333333333</v>
      </c>
      <c r="H20" s="56">
        <f>IFERROR(__xludf.DUMMYFUNCTION("IFERROR(MAX(FILTER(AttendanceLog!$C:$C,AttendanceLog!$E:$E=$A20,(AttendanceLog!$I:$I="""")+(IFERROR(SEARCH("",""&amp;$C20&amp;"","","",""&amp;AttendanceLog!$I:$I&amp;"",""),0)&gt;0))),"""")"),46275.33333333333)</f>
        <v>46275.33333</v>
      </c>
    </row>
    <row r="21" ht="15.75" customHeight="1">
      <c r="A21" s="53" t="s">
        <v>233</v>
      </c>
      <c r="B21" s="53" t="s">
        <v>61</v>
      </c>
      <c r="C21" s="53" t="s">
        <v>43</v>
      </c>
      <c r="D21" s="55">
        <v>46265.33333333333</v>
      </c>
      <c r="E21" s="16">
        <f>IF($A21="","",SUMPRODUCT((AttendanceLog!$E$2:$E$5000=$A21)*(AttendanceLog!$C$2:$C$5000&gt;=MAX($D21,Settings!$B$3))*((AttendanceLog!$I$2:$I$5000="")+(IFERROR(SEARCH(","&amp;$C21&amp;",",","&amp;AttendanceLog!$I$2:$I$5000&amp;","),0)&gt;0))))</f>
        <v>2</v>
      </c>
      <c r="F21" s="16">
        <f>IF($A21="","",SUMPRODUCT((EventLog!$C$2:$C$5000&gt;=MAX($D21,Settings!$B$3))*(EventLog!$C$2:$C$5000&lt;=TODAY())*((EventLog!$F$2:$F$5000="")+(IFERROR(SEARCH(","&amp;$C21&amp;",",","&amp;EventLog!$F$2:$F$5000&amp;","),0)&gt;0))))</f>
        <v>3</v>
      </c>
      <c r="G21" s="57">
        <f t="shared" si="1"/>
        <v>0.6666666667</v>
      </c>
      <c r="H21" s="56">
        <f>IFERROR(__xludf.DUMMYFUNCTION("IFERROR(MAX(FILTER(AttendanceLog!$C:$C,AttendanceLog!$E:$E=$A21,(AttendanceLog!$I:$I="""")+(IFERROR(SEARCH("",""&amp;$C21&amp;"","","",""&amp;AttendanceLog!$I:$I&amp;"",""),0)&gt;0))),"""")"),46305.33333333333)</f>
        <v>46305.33333</v>
      </c>
    </row>
    <row r="22" ht="15.75" customHeight="1">
      <c r="A22" s="53" t="s">
        <v>234</v>
      </c>
      <c r="B22" s="53" t="s">
        <v>61</v>
      </c>
      <c r="C22" s="53" t="s">
        <v>43</v>
      </c>
      <c r="D22" s="55">
        <v>46265.33333333333</v>
      </c>
      <c r="E22" s="16">
        <f>IF($A22="","",SUMPRODUCT((AttendanceLog!$E$2:$E$5000=$A22)*(AttendanceLog!$C$2:$C$5000&gt;=MAX($D22,Settings!$B$3))*((AttendanceLog!$I$2:$I$5000="")+(IFERROR(SEARCH(","&amp;$C22&amp;",",","&amp;AttendanceLog!$I$2:$I$5000&amp;","),0)&gt;0))))</f>
        <v>0</v>
      </c>
      <c r="F22" s="16">
        <f>IF($A22="","",SUMPRODUCT((EventLog!$C$2:$C$5000&gt;=MAX($D22,Settings!$B$3))*(EventLog!$C$2:$C$5000&lt;=TODAY())*((EventLog!$F$2:$F$5000="")+(IFERROR(SEARCH(","&amp;$C22&amp;",",","&amp;EventLog!$F$2:$F$5000&amp;","),0)&gt;0))))</f>
        <v>3</v>
      </c>
      <c r="G22" s="57">
        <f t="shared" si="1"/>
        <v>0</v>
      </c>
      <c r="H22" s="56" t="str">
        <f>IFERROR(__xludf.DUMMYFUNCTION("IFERROR(MAX(FILTER(AttendanceLog!$C:$C,AttendanceLog!$E:$E=$A22,(AttendanceLog!$I:$I="""")+(IFERROR(SEARCH("",""&amp;$C22&amp;"","","",""&amp;AttendanceLog!$I:$I&amp;"",""),0)&gt;0))),"""")"),"")</f>
        <v/>
      </c>
    </row>
    <row r="23" ht="15.75" customHeight="1">
      <c r="A23" s="53" t="s">
        <v>235</v>
      </c>
      <c r="B23" s="53" t="s">
        <v>61</v>
      </c>
      <c r="C23" s="53" t="s">
        <v>43</v>
      </c>
      <c r="D23" s="55">
        <v>46265.33333333333</v>
      </c>
      <c r="E23" s="16">
        <f>IF($A23="","",SUMPRODUCT((AttendanceLog!$E$2:$E$5000=$A23)*(AttendanceLog!$C$2:$C$5000&gt;=MAX($D23,Settings!$B$3))*((AttendanceLog!$I$2:$I$5000="")+(IFERROR(SEARCH(","&amp;$C23&amp;",",","&amp;AttendanceLog!$I$2:$I$5000&amp;","),0)&gt;0))))</f>
        <v>3</v>
      </c>
      <c r="F23" s="16">
        <f>IF($A23="","",SUMPRODUCT((EventLog!$C$2:$C$5000&gt;=MAX($D23,Settings!$B$3))*(EventLog!$C$2:$C$5000&lt;=TODAY())*((EventLog!$F$2:$F$5000="")+(IFERROR(SEARCH(","&amp;$C23&amp;",",","&amp;EventLog!$F$2:$F$5000&amp;","),0)&gt;0))))</f>
        <v>3</v>
      </c>
      <c r="G23" s="57">
        <f t="shared" si="1"/>
        <v>1</v>
      </c>
      <c r="H23" s="56">
        <f>IFERROR(__xludf.DUMMYFUNCTION("IFERROR(MAX(FILTER(AttendanceLog!$C:$C,AttendanceLog!$E:$E=$A23,(AttendanceLog!$I:$I="""")+(IFERROR(SEARCH("",""&amp;$C23&amp;"","","",""&amp;AttendanceLog!$I:$I&amp;"",""),0)&gt;0))),"""")"),46305.33333333333)</f>
        <v>46305.33333</v>
      </c>
    </row>
    <row r="24" ht="15.75" customHeight="1">
      <c r="A24" s="53" t="s">
        <v>236</v>
      </c>
      <c r="B24" s="53" t="s">
        <v>61</v>
      </c>
      <c r="C24" s="53" t="s">
        <v>43</v>
      </c>
      <c r="D24" s="55">
        <v>46265.33333333333</v>
      </c>
      <c r="E24" s="16">
        <f>IF($A24="","",SUMPRODUCT((AttendanceLog!$E$2:$E$5000=$A24)*(AttendanceLog!$C$2:$C$5000&gt;=MAX($D24,Settings!$B$3))*((AttendanceLog!$I$2:$I$5000="")+(IFERROR(SEARCH(","&amp;$C24&amp;",",","&amp;AttendanceLog!$I$2:$I$5000&amp;","),0)&gt;0))))</f>
        <v>2</v>
      </c>
      <c r="F24" s="16">
        <f>IF($A24="","",SUMPRODUCT((EventLog!$C$2:$C$5000&gt;=MAX($D24,Settings!$B$3))*(EventLog!$C$2:$C$5000&lt;=TODAY())*((EventLog!$F$2:$F$5000="")+(IFERROR(SEARCH(","&amp;$C24&amp;",",","&amp;EventLog!$F$2:$F$5000&amp;","),0)&gt;0))))</f>
        <v>3</v>
      </c>
      <c r="G24" s="57">
        <f t="shared" si="1"/>
        <v>0.6666666667</v>
      </c>
      <c r="H24" s="56">
        <f>IFERROR(__xludf.DUMMYFUNCTION("IFERROR(MAX(FILTER(AttendanceLog!$C:$C,AttendanceLog!$E:$E=$A24,(AttendanceLog!$I:$I="""")+(IFERROR(SEARCH("",""&amp;$C24&amp;"","","",""&amp;AttendanceLog!$I:$I&amp;"",""),0)&gt;0))),"""")"),46305.33333333333)</f>
        <v>46305.33333</v>
      </c>
    </row>
    <row r="25" ht="15.75" customHeight="1">
      <c r="A25" s="53" t="s">
        <v>84</v>
      </c>
      <c r="B25" s="53" t="s">
        <v>61</v>
      </c>
      <c r="C25" s="53" t="s">
        <v>43</v>
      </c>
      <c r="D25" s="55">
        <v>46265.33333333333</v>
      </c>
      <c r="E25" s="16">
        <f>IF($A25="","",SUMPRODUCT((AttendanceLog!$E$2:$E$5000=$A25)*(AttendanceLog!$C$2:$C$5000&gt;=MAX($D25,Settings!$B$3))*((AttendanceLog!$I$2:$I$5000="")+(IFERROR(SEARCH(","&amp;$C25&amp;",",","&amp;AttendanceLog!$I$2:$I$5000&amp;","),0)&gt;0))))</f>
        <v>2</v>
      </c>
      <c r="F25" s="16">
        <f>IF($A25="","",SUMPRODUCT((EventLog!$C$2:$C$5000&gt;=MAX($D25,Settings!$B$3))*(EventLog!$C$2:$C$5000&lt;=TODAY())*((EventLog!$F$2:$F$5000="")+(IFERROR(SEARCH(","&amp;$C25&amp;",",","&amp;EventLog!$F$2:$F$5000&amp;","),0)&gt;0))))</f>
        <v>3</v>
      </c>
      <c r="G25" s="57">
        <f t="shared" si="1"/>
        <v>0.6666666667</v>
      </c>
      <c r="H25" s="56">
        <f>IFERROR(__xludf.DUMMYFUNCTION("IFERROR(MAX(FILTER(AttendanceLog!$C:$C,AttendanceLog!$E:$E=$A25,(AttendanceLog!$I:$I="""")+(IFERROR(SEARCH("",""&amp;$C25&amp;"","","",""&amp;AttendanceLog!$I:$I&amp;"",""),0)&gt;0))),"""")"),46305.33333333333)</f>
        <v>46305.33333</v>
      </c>
    </row>
    <row r="26" ht="15.75" customHeight="1">
      <c r="A26" s="53" t="s">
        <v>237</v>
      </c>
      <c r="B26" s="53" t="s">
        <v>61</v>
      </c>
      <c r="C26" s="53" t="s">
        <v>43</v>
      </c>
      <c r="D26" s="55">
        <v>46265.33333333333</v>
      </c>
      <c r="E26" s="16">
        <f>IF($A26="","",SUMPRODUCT((AttendanceLog!$E$2:$E$5000=$A26)*(AttendanceLog!$C$2:$C$5000&gt;=MAX($D26,Settings!$B$3))*((AttendanceLog!$I$2:$I$5000="")+(IFERROR(SEARCH(","&amp;$C26&amp;",",","&amp;AttendanceLog!$I$2:$I$5000&amp;","),0)&gt;0))))</f>
        <v>1</v>
      </c>
      <c r="F26" s="16">
        <f>IF($A26="","",SUMPRODUCT((EventLog!$C$2:$C$5000&gt;=MAX($D26,Settings!$B$3))*(EventLog!$C$2:$C$5000&lt;=TODAY())*((EventLog!$F$2:$F$5000="")+(IFERROR(SEARCH(","&amp;$C26&amp;",",","&amp;EventLog!$F$2:$F$5000&amp;","),0)&gt;0))))</f>
        <v>3</v>
      </c>
      <c r="G26" s="57">
        <f t="shared" si="1"/>
        <v>0.3333333333</v>
      </c>
      <c r="H26" s="56">
        <f>IFERROR(__xludf.DUMMYFUNCTION("IFERROR(MAX(FILTER(AttendanceLog!$C:$C,AttendanceLog!$E:$E=$A26,(AttendanceLog!$I:$I="""")+(IFERROR(SEARCH("",""&amp;$C26&amp;"","","",""&amp;AttendanceLog!$I:$I&amp;"",""),0)&gt;0))),"""")"),46305.33333333333)</f>
        <v>46305.33333</v>
      </c>
    </row>
    <row r="27" ht="15.75" customHeight="1">
      <c r="A27" s="53" t="s">
        <v>238</v>
      </c>
      <c r="B27" s="53" t="s">
        <v>61</v>
      </c>
      <c r="C27" s="53" t="s">
        <v>43</v>
      </c>
      <c r="D27" s="55">
        <v>46265.33333333333</v>
      </c>
      <c r="E27" s="16">
        <f>IF($A27="","",SUMPRODUCT((AttendanceLog!$E$2:$E$5000=$A27)*(AttendanceLog!$C$2:$C$5000&gt;=MAX($D27,Settings!$B$3))*((AttendanceLog!$I$2:$I$5000="")+(IFERROR(SEARCH(","&amp;$C27&amp;",",","&amp;AttendanceLog!$I$2:$I$5000&amp;","),0)&gt;0))))</f>
        <v>1</v>
      </c>
      <c r="F27" s="16">
        <f>IF($A27="","",SUMPRODUCT((EventLog!$C$2:$C$5000&gt;=MAX($D27,Settings!$B$3))*(EventLog!$C$2:$C$5000&lt;=TODAY())*((EventLog!$F$2:$F$5000="")+(IFERROR(SEARCH(","&amp;$C27&amp;",",","&amp;EventLog!$F$2:$F$5000&amp;","),0)&gt;0))))</f>
        <v>3</v>
      </c>
      <c r="G27" s="57">
        <f t="shared" si="1"/>
        <v>0.3333333333</v>
      </c>
      <c r="H27" s="56">
        <f>IFERROR(__xludf.DUMMYFUNCTION("IFERROR(MAX(FILTER(AttendanceLog!$C:$C,AttendanceLog!$E:$E=$A27,(AttendanceLog!$I:$I="""")+(IFERROR(SEARCH("",""&amp;$C27&amp;"","","",""&amp;AttendanceLog!$I:$I&amp;"",""),0)&gt;0))),"""")"),46275.33333333333)</f>
        <v>46275.33333</v>
      </c>
    </row>
    <row r="28" ht="15.75" customHeight="1">
      <c r="A28" s="53" t="s">
        <v>239</v>
      </c>
      <c r="B28" s="53" t="s">
        <v>61</v>
      </c>
      <c r="C28" s="53" t="s">
        <v>43</v>
      </c>
      <c r="D28" s="55">
        <v>46265.33333333333</v>
      </c>
      <c r="E28" s="16">
        <f>IF($A28="","",SUMPRODUCT((AttendanceLog!$E$2:$E$5000=$A28)*(AttendanceLog!$C$2:$C$5000&gt;=MAX($D28,Settings!$B$3))*((AttendanceLog!$I$2:$I$5000="")+(IFERROR(SEARCH(","&amp;$C28&amp;",",","&amp;AttendanceLog!$I$2:$I$5000&amp;","),0)&gt;0))))</f>
        <v>1</v>
      </c>
      <c r="F28" s="16">
        <f>IF($A28="","",SUMPRODUCT((EventLog!$C$2:$C$5000&gt;=MAX($D28,Settings!$B$3))*(EventLog!$C$2:$C$5000&lt;=TODAY())*((EventLog!$F$2:$F$5000="")+(IFERROR(SEARCH(","&amp;$C28&amp;",",","&amp;EventLog!$F$2:$F$5000&amp;","),0)&gt;0))))</f>
        <v>3</v>
      </c>
      <c r="G28" s="57">
        <f t="shared" si="1"/>
        <v>0.3333333333</v>
      </c>
      <c r="H28" s="56">
        <f>IFERROR(__xludf.DUMMYFUNCTION("IFERROR(MAX(FILTER(AttendanceLog!$C:$C,AttendanceLog!$E:$E=$A28,(AttendanceLog!$I:$I="""")+(IFERROR(SEARCH("",""&amp;$C28&amp;"","","",""&amp;AttendanceLog!$I:$I&amp;"",""),0)&gt;0))),"""")"),46305.33333333333)</f>
        <v>46305.33333</v>
      </c>
    </row>
    <row r="29" ht="15.75" customHeight="1">
      <c r="A29" s="53" t="s">
        <v>240</v>
      </c>
      <c r="B29" s="53" t="s">
        <v>61</v>
      </c>
      <c r="C29" s="53" t="s">
        <v>43</v>
      </c>
      <c r="D29" s="55">
        <v>46265.33333333333</v>
      </c>
      <c r="E29" s="16">
        <f>IF($A29="","",SUMPRODUCT((AttendanceLog!$E$2:$E$5000=$A29)*(AttendanceLog!$C$2:$C$5000&gt;=MAX($D29,Settings!$B$3))*((AttendanceLog!$I$2:$I$5000="")+(IFERROR(SEARCH(","&amp;$C29&amp;",",","&amp;AttendanceLog!$I$2:$I$5000&amp;","),0)&gt;0))))</f>
        <v>2</v>
      </c>
      <c r="F29" s="16">
        <f>IF($A29="","",SUMPRODUCT((EventLog!$C$2:$C$5000&gt;=MAX($D29,Settings!$B$3))*(EventLog!$C$2:$C$5000&lt;=TODAY())*((EventLog!$F$2:$F$5000="")+(IFERROR(SEARCH(","&amp;$C29&amp;",",","&amp;EventLog!$F$2:$F$5000&amp;","),0)&gt;0))))</f>
        <v>3</v>
      </c>
      <c r="G29" s="57">
        <f t="shared" si="1"/>
        <v>0.6666666667</v>
      </c>
      <c r="H29" s="56">
        <f>IFERROR(__xludf.DUMMYFUNCTION("IFERROR(MAX(FILTER(AttendanceLog!$C:$C,AttendanceLog!$E:$E=$A29,(AttendanceLog!$I:$I="""")+(IFERROR(SEARCH("",""&amp;$C29&amp;"","","",""&amp;AttendanceLog!$I:$I&amp;"",""),0)&gt;0))),"""")"),46305.33333333333)</f>
        <v>46305.33333</v>
      </c>
    </row>
    <row r="30" ht="15.75" customHeight="1">
      <c r="A30" s="53" t="s">
        <v>241</v>
      </c>
      <c r="B30" s="53" t="s">
        <v>61</v>
      </c>
      <c r="C30" s="53" t="s">
        <v>43</v>
      </c>
      <c r="D30" s="55">
        <v>46265.33333333333</v>
      </c>
      <c r="E30" s="16">
        <f>IF($A30="","",SUMPRODUCT((AttendanceLog!$E$2:$E$5000=$A30)*(AttendanceLog!$C$2:$C$5000&gt;=MAX($D30,Settings!$B$3))*((AttendanceLog!$I$2:$I$5000="")+(IFERROR(SEARCH(","&amp;$C30&amp;",",","&amp;AttendanceLog!$I$2:$I$5000&amp;","),0)&gt;0))))</f>
        <v>3</v>
      </c>
      <c r="F30" s="16">
        <f>IF($A30="","",SUMPRODUCT((EventLog!$C$2:$C$5000&gt;=MAX($D30,Settings!$B$3))*(EventLog!$C$2:$C$5000&lt;=TODAY())*((EventLog!$F$2:$F$5000="")+(IFERROR(SEARCH(","&amp;$C30&amp;",",","&amp;EventLog!$F$2:$F$5000&amp;","),0)&gt;0))))</f>
        <v>3</v>
      </c>
      <c r="G30" s="57">
        <f t="shared" si="1"/>
        <v>1</v>
      </c>
      <c r="H30" s="56">
        <f>IFERROR(__xludf.DUMMYFUNCTION("IFERROR(MAX(FILTER(AttendanceLog!$C:$C,AttendanceLog!$E:$E=$A30,(AttendanceLog!$I:$I="""")+(IFERROR(SEARCH("",""&amp;$C30&amp;"","","",""&amp;AttendanceLog!$I:$I&amp;"",""),0)&gt;0))),"""")"),46305.33333333333)</f>
        <v>46305.33333</v>
      </c>
    </row>
    <row r="31" ht="15.75" customHeight="1">
      <c r="A31" s="53" t="s">
        <v>242</v>
      </c>
      <c r="B31" s="53" t="s">
        <v>61</v>
      </c>
      <c r="C31" s="53" t="s">
        <v>43</v>
      </c>
      <c r="D31" s="55">
        <v>46265.33333333333</v>
      </c>
      <c r="E31" s="16">
        <f>IF($A31="","",SUMPRODUCT((AttendanceLog!$E$2:$E$5000=$A31)*(AttendanceLog!$C$2:$C$5000&gt;=MAX($D31,Settings!$B$3))*((AttendanceLog!$I$2:$I$5000="")+(IFERROR(SEARCH(","&amp;$C31&amp;",",","&amp;AttendanceLog!$I$2:$I$5000&amp;","),0)&gt;0))))</f>
        <v>3</v>
      </c>
      <c r="F31" s="16">
        <f>IF($A31="","",SUMPRODUCT((EventLog!$C$2:$C$5000&gt;=MAX($D31,Settings!$B$3))*(EventLog!$C$2:$C$5000&lt;=TODAY())*((EventLog!$F$2:$F$5000="")+(IFERROR(SEARCH(","&amp;$C31&amp;",",","&amp;EventLog!$F$2:$F$5000&amp;","),0)&gt;0))))</f>
        <v>3</v>
      </c>
      <c r="G31" s="57">
        <f t="shared" si="1"/>
        <v>1</v>
      </c>
      <c r="H31" s="56">
        <f>IFERROR(__xludf.DUMMYFUNCTION("IFERROR(MAX(FILTER(AttendanceLog!$C:$C,AttendanceLog!$E:$E=$A31,(AttendanceLog!$I:$I="""")+(IFERROR(SEARCH("",""&amp;$C31&amp;"","","",""&amp;AttendanceLog!$I:$I&amp;"",""),0)&gt;0))),"""")"),46305.33333333333)</f>
        <v>46305.33333</v>
      </c>
    </row>
    <row r="32" ht="15.75" customHeight="1">
      <c r="A32" s="53" t="s">
        <v>243</v>
      </c>
      <c r="B32" s="53" t="s">
        <v>61</v>
      </c>
      <c r="C32" s="53" t="s">
        <v>43</v>
      </c>
      <c r="D32" s="55">
        <v>46265.33333333333</v>
      </c>
      <c r="E32" s="16">
        <f>IF($A32="","",SUMPRODUCT((AttendanceLog!$E$2:$E$5000=$A32)*(AttendanceLog!$C$2:$C$5000&gt;=MAX($D32,Settings!$B$3))*((AttendanceLog!$I$2:$I$5000="")+(IFERROR(SEARCH(","&amp;$C32&amp;",",","&amp;AttendanceLog!$I$2:$I$5000&amp;","),0)&gt;0))))</f>
        <v>1</v>
      </c>
      <c r="F32" s="16">
        <f>IF($A32="","",SUMPRODUCT((EventLog!$C$2:$C$5000&gt;=MAX($D32,Settings!$B$3))*(EventLog!$C$2:$C$5000&lt;=TODAY())*((EventLog!$F$2:$F$5000="")+(IFERROR(SEARCH(","&amp;$C32&amp;",",","&amp;EventLog!$F$2:$F$5000&amp;","),0)&gt;0))))</f>
        <v>3</v>
      </c>
      <c r="G32" s="57">
        <f t="shared" si="1"/>
        <v>0.3333333333</v>
      </c>
      <c r="H32" s="56">
        <f>IFERROR(__xludf.DUMMYFUNCTION("IFERROR(MAX(FILTER(AttendanceLog!$C:$C,AttendanceLog!$E:$E=$A32,(AttendanceLog!$I:$I="""")+(IFERROR(SEARCH("",""&amp;$C32&amp;"","","",""&amp;AttendanceLog!$I:$I&amp;"",""),0)&gt;0))),"""")"),46305.33333333333)</f>
        <v>46305.33333</v>
      </c>
    </row>
    <row r="33" ht="15.75" customHeight="1">
      <c r="A33" s="53" t="s">
        <v>244</v>
      </c>
      <c r="B33" s="53" t="s">
        <v>61</v>
      </c>
      <c r="C33" s="53" t="s">
        <v>43</v>
      </c>
      <c r="D33" s="55">
        <v>46265.33333333333</v>
      </c>
      <c r="E33" s="16">
        <f>IF($A33="","",SUMPRODUCT((AttendanceLog!$E$2:$E$5000=$A33)*(AttendanceLog!$C$2:$C$5000&gt;=MAX($D33,Settings!$B$3))*((AttendanceLog!$I$2:$I$5000="")+(IFERROR(SEARCH(","&amp;$C33&amp;",",","&amp;AttendanceLog!$I$2:$I$5000&amp;","),0)&gt;0))))</f>
        <v>0</v>
      </c>
      <c r="F33" s="16">
        <f>IF($A33="","",SUMPRODUCT((EventLog!$C$2:$C$5000&gt;=MAX($D33,Settings!$B$3))*(EventLog!$C$2:$C$5000&lt;=TODAY())*((EventLog!$F$2:$F$5000="")+(IFERROR(SEARCH(","&amp;$C33&amp;",",","&amp;EventLog!$F$2:$F$5000&amp;","),0)&gt;0))))</f>
        <v>3</v>
      </c>
      <c r="G33" s="57">
        <f t="shared" si="1"/>
        <v>0</v>
      </c>
      <c r="H33" s="56" t="str">
        <f>IFERROR(__xludf.DUMMYFUNCTION("IFERROR(MAX(FILTER(AttendanceLog!$C:$C,AttendanceLog!$E:$E=$A33,(AttendanceLog!$I:$I="""")+(IFERROR(SEARCH("",""&amp;$C33&amp;"","","",""&amp;AttendanceLog!$I:$I&amp;"",""),0)&gt;0))),"""")"),"")</f>
        <v/>
      </c>
    </row>
    <row r="34" ht="15.75" customHeight="1">
      <c r="A34" s="53" t="s">
        <v>245</v>
      </c>
      <c r="B34" s="53" t="s">
        <v>61</v>
      </c>
      <c r="C34" s="53" t="s">
        <v>43</v>
      </c>
      <c r="D34" s="55">
        <v>46265.33333333333</v>
      </c>
      <c r="E34" s="16">
        <f>IF($A34="","",SUMPRODUCT((AttendanceLog!$E$2:$E$5000=$A34)*(AttendanceLog!$C$2:$C$5000&gt;=MAX($D34,Settings!$B$3))*((AttendanceLog!$I$2:$I$5000="")+(IFERROR(SEARCH(","&amp;$C34&amp;",",","&amp;AttendanceLog!$I$2:$I$5000&amp;","),0)&gt;0))))</f>
        <v>3</v>
      </c>
      <c r="F34" s="16">
        <f>IF($A34="","",SUMPRODUCT((EventLog!$C$2:$C$5000&gt;=MAX($D34,Settings!$B$3))*(EventLog!$C$2:$C$5000&lt;=TODAY())*((EventLog!$F$2:$F$5000="")+(IFERROR(SEARCH(","&amp;$C34&amp;",",","&amp;EventLog!$F$2:$F$5000&amp;","),0)&gt;0))))</f>
        <v>3</v>
      </c>
      <c r="G34" s="57">
        <f t="shared" si="1"/>
        <v>1</v>
      </c>
      <c r="H34" s="56">
        <f>IFERROR(__xludf.DUMMYFUNCTION("IFERROR(MAX(FILTER(AttendanceLog!$C:$C,AttendanceLog!$E:$E=$A34,(AttendanceLog!$I:$I="""")+(IFERROR(SEARCH("",""&amp;$C34&amp;"","","",""&amp;AttendanceLog!$I:$I&amp;"",""),0)&gt;0))),"""")"),46305.33333333333)</f>
        <v>46305.33333</v>
      </c>
    </row>
    <row r="35" ht="15.75" customHeight="1">
      <c r="A35" s="53" t="s">
        <v>246</v>
      </c>
      <c r="B35" s="53" t="s">
        <v>61</v>
      </c>
      <c r="C35" s="53" t="s">
        <v>43</v>
      </c>
      <c r="D35" s="55">
        <v>46265.33333333333</v>
      </c>
      <c r="E35" s="16">
        <f>IF($A35="","",SUMPRODUCT((AttendanceLog!$E$2:$E$5000=$A35)*(AttendanceLog!$C$2:$C$5000&gt;=MAX($D35,Settings!$B$3))*((AttendanceLog!$I$2:$I$5000="")+(IFERROR(SEARCH(","&amp;$C35&amp;",",","&amp;AttendanceLog!$I$2:$I$5000&amp;","),0)&gt;0))))</f>
        <v>1</v>
      </c>
      <c r="F35" s="16">
        <f>IF($A35="","",SUMPRODUCT((EventLog!$C$2:$C$5000&gt;=MAX($D35,Settings!$B$3))*(EventLog!$C$2:$C$5000&lt;=TODAY())*((EventLog!$F$2:$F$5000="")+(IFERROR(SEARCH(","&amp;$C35&amp;",",","&amp;EventLog!$F$2:$F$5000&amp;","),0)&gt;0))))</f>
        <v>3</v>
      </c>
      <c r="G35" s="57">
        <f t="shared" si="1"/>
        <v>0.3333333333</v>
      </c>
      <c r="H35" s="56">
        <f>IFERROR(__xludf.DUMMYFUNCTION("IFERROR(MAX(FILTER(AttendanceLog!$C:$C,AttendanceLog!$E:$E=$A35,(AttendanceLog!$I:$I="""")+(IFERROR(SEARCH("",""&amp;$C35&amp;"","","",""&amp;AttendanceLog!$I:$I&amp;"",""),0)&gt;0))),"""")"),46305.33333333333)</f>
        <v>46305.33333</v>
      </c>
    </row>
    <row r="36" ht="15.75" customHeight="1">
      <c r="A36" s="53" t="s">
        <v>247</v>
      </c>
      <c r="B36" s="53" t="s">
        <v>61</v>
      </c>
      <c r="C36" s="53" t="s">
        <v>43</v>
      </c>
      <c r="D36" s="55">
        <v>46265.33333333333</v>
      </c>
      <c r="E36" s="16">
        <f>IF($A36="","",SUMPRODUCT((AttendanceLog!$E$2:$E$5000=$A36)*(AttendanceLog!$C$2:$C$5000&gt;=MAX($D36,Settings!$B$3))*((AttendanceLog!$I$2:$I$5000="")+(IFERROR(SEARCH(","&amp;$C36&amp;",",","&amp;AttendanceLog!$I$2:$I$5000&amp;","),0)&gt;0))))</f>
        <v>3</v>
      </c>
      <c r="F36" s="16">
        <f>IF($A36="","",SUMPRODUCT((EventLog!$C$2:$C$5000&gt;=MAX($D36,Settings!$B$3))*(EventLog!$C$2:$C$5000&lt;=TODAY())*((EventLog!$F$2:$F$5000="")+(IFERROR(SEARCH(","&amp;$C36&amp;",",","&amp;EventLog!$F$2:$F$5000&amp;","),0)&gt;0))))</f>
        <v>3</v>
      </c>
      <c r="G36" s="57">
        <f t="shared" si="1"/>
        <v>1</v>
      </c>
      <c r="H36" s="56">
        <f>IFERROR(__xludf.DUMMYFUNCTION("IFERROR(MAX(FILTER(AttendanceLog!$C:$C,AttendanceLog!$E:$E=$A36,(AttendanceLog!$I:$I="""")+(IFERROR(SEARCH("",""&amp;$C36&amp;"","","",""&amp;AttendanceLog!$I:$I&amp;"",""),0)&gt;0))),"""")"),46305.33333333333)</f>
        <v>46305.33333</v>
      </c>
    </row>
    <row r="37" ht="15.75" customHeight="1">
      <c r="A37" s="53" t="s">
        <v>248</v>
      </c>
      <c r="B37" s="53" t="s">
        <v>61</v>
      </c>
      <c r="C37" s="53" t="s">
        <v>43</v>
      </c>
      <c r="D37" s="55">
        <v>46265.33333333333</v>
      </c>
      <c r="E37" s="16">
        <f>IF($A37="","",SUMPRODUCT((AttendanceLog!$E$2:$E$5000=$A37)*(AttendanceLog!$C$2:$C$5000&gt;=MAX($D37,Settings!$B$3))*((AttendanceLog!$I$2:$I$5000="")+(IFERROR(SEARCH(","&amp;$C37&amp;",",","&amp;AttendanceLog!$I$2:$I$5000&amp;","),0)&gt;0))))</f>
        <v>3</v>
      </c>
      <c r="F37" s="16">
        <f>IF($A37="","",SUMPRODUCT((EventLog!$C$2:$C$5000&gt;=MAX($D37,Settings!$B$3))*(EventLog!$C$2:$C$5000&lt;=TODAY())*((EventLog!$F$2:$F$5000="")+(IFERROR(SEARCH(","&amp;$C37&amp;",",","&amp;EventLog!$F$2:$F$5000&amp;","),0)&gt;0))))</f>
        <v>3</v>
      </c>
      <c r="G37" s="57">
        <f t="shared" si="1"/>
        <v>1</v>
      </c>
      <c r="H37" s="56">
        <f>IFERROR(__xludf.DUMMYFUNCTION("IFERROR(MAX(FILTER(AttendanceLog!$C:$C,AttendanceLog!$E:$E=$A37,(AttendanceLog!$I:$I="""")+(IFERROR(SEARCH("",""&amp;$C37&amp;"","","",""&amp;AttendanceLog!$I:$I&amp;"",""),0)&gt;0))),"""")"),46305.33333333333)</f>
        <v>46305.33333</v>
      </c>
    </row>
    <row r="38" ht="15.75" customHeight="1">
      <c r="A38" s="53" t="s">
        <v>81</v>
      </c>
      <c r="B38" s="53" t="s">
        <v>61</v>
      </c>
      <c r="C38" s="53" t="s">
        <v>43</v>
      </c>
      <c r="D38" s="55">
        <v>46265.33333333333</v>
      </c>
      <c r="E38" s="16">
        <f>IF($A38="","",SUMPRODUCT((AttendanceLog!$E$2:$E$5000=$A38)*(AttendanceLog!$C$2:$C$5000&gt;=MAX($D38,Settings!$B$3))*((AttendanceLog!$I$2:$I$5000="")+(IFERROR(SEARCH(","&amp;$C38&amp;",",","&amp;AttendanceLog!$I$2:$I$5000&amp;","),0)&gt;0))))</f>
        <v>3</v>
      </c>
      <c r="F38" s="16">
        <f>IF($A38="","",SUMPRODUCT((EventLog!$C$2:$C$5000&gt;=MAX($D38,Settings!$B$3))*(EventLog!$C$2:$C$5000&lt;=TODAY())*((EventLog!$F$2:$F$5000="")+(IFERROR(SEARCH(","&amp;$C38&amp;",",","&amp;EventLog!$F$2:$F$5000&amp;","),0)&gt;0))))</f>
        <v>3</v>
      </c>
      <c r="G38" s="57">
        <f t="shared" si="1"/>
        <v>1</v>
      </c>
      <c r="H38" s="56">
        <f>IFERROR(__xludf.DUMMYFUNCTION("IFERROR(MAX(FILTER(AttendanceLog!$C:$C,AttendanceLog!$E:$E=$A38,(AttendanceLog!$I:$I="""")+(IFERROR(SEARCH("",""&amp;$C38&amp;"","","",""&amp;AttendanceLog!$I:$I&amp;"",""),0)&gt;0))),"""")"),46305.33333333333)</f>
        <v>46305.33333</v>
      </c>
    </row>
    <row r="39" ht="15.75" customHeight="1">
      <c r="A39" s="53" t="s">
        <v>249</v>
      </c>
      <c r="B39" s="53" t="s">
        <v>61</v>
      </c>
      <c r="C39" s="53" t="s">
        <v>43</v>
      </c>
      <c r="D39" s="55">
        <v>46265.33333333333</v>
      </c>
      <c r="E39" s="16">
        <f>IF($A39="","",SUMPRODUCT((AttendanceLog!$E$2:$E$5000=$A39)*(AttendanceLog!$C$2:$C$5000&gt;=MAX($D39,Settings!$B$3))*((AttendanceLog!$I$2:$I$5000="")+(IFERROR(SEARCH(","&amp;$C39&amp;",",","&amp;AttendanceLog!$I$2:$I$5000&amp;","),0)&gt;0))))</f>
        <v>2</v>
      </c>
      <c r="F39" s="16">
        <f>IF($A39="","",SUMPRODUCT((EventLog!$C$2:$C$5000&gt;=MAX($D39,Settings!$B$3))*(EventLog!$C$2:$C$5000&lt;=TODAY())*((EventLog!$F$2:$F$5000="")+(IFERROR(SEARCH(","&amp;$C39&amp;",",","&amp;EventLog!$F$2:$F$5000&amp;","),0)&gt;0))))</f>
        <v>3</v>
      </c>
      <c r="G39" s="57">
        <f t="shared" si="1"/>
        <v>0.6666666667</v>
      </c>
      <c r="H39" s="56">
        <f>IFERROR(__xludf.DUMMYFUNCTION("IFERROR(MAX(FILTER(AttendanceLog!$C:$C,AttendanceLog!$E:$E=$A39,(AttendanceLog!$I:$I="""")+(IFERROR(SEARCH("",""&amp;$C39&amp;"","","",""&amp;AttendanceLog!$I:$I&amp;"",""),0)&gt;0))),"""")"),46305.33333333333)</f>
        <v>46305.33333</v>
      </c>
    </row>
    <row r="40" ht="15.75" customHeight="1">
      <c r="A40" s="53" t="s">
        <v>90</v>
      </c>
      <c r="B40" s="53" t="s">
        <v>61</v>
      </c>
      <c r="C40" s="53" t="s">
        <v>43</v>
      </c>
      <c r="D40" s="55">
        <v>46265.33333333333</v>
      </c>
      <c r="E40" s="16">
        <f>IF($A40="","",SUMPRODUCT((AttendanceLog!$E$2:$E$5000=$A40)*(AttendanceLog!$C$2:$C$5000&gt;=MAX($D40,Settings!$B$3))*((AttendanceLog!$I$2:$I$5000="")+(IFERROR(SEARCH(","&amp;$C40&amp;",",","&amp;AttendanceLog!$I$2:$I$5000&amp;","),0)&gt;0))))</f>
        <v>3</v>
      </c>
      <c r="F40" s="16">
        <f>IF($A40="","",SUMPRODUCT((EventLog!$C$2:$C$5000&gt;=MAX($D40,Settings!$B$3))*(EventLog!$C$2:$C$5000&lt;=TODAY())*((EventLog!$F$2:$F$5000="")+(IFERROR(SEARCH(","&amp;$C40&amp;",",","&amp;EventLog!$F$2:$F$5000&amp;","),0)&gt;0))))</f>
        <v>3</v>
      </c>
      <c r="G40" s="57">
        <f t="shared" si="1"/>
        <v>1</v>
      </c>
      <c r="H40" s="56">
        <f>IFERROR(__xludf.DUMMYFUNCTION("IFERROR(MAX(FILTER(AttendanceLog!$C:$C,AttendanceLog!$E:$E=$A40,(AttendanceLog!$I:$I="""")+(IFERROR(SEARCH("",""&amp;$C40&amp;"","","",""&amp;AttendanceLog!$I:$I&amp;"",""),0)&gt;0))),"""")"),46305.33333333333)</f>
        <v>46305.33333</v>
      </c>
    </row>
    <row r="41" ht="15.75" customHeight="1">
      <c r="A41" s="53" t="s">
        <v>250</v>
      </c>
      <c r="B41" s="53" t="s">
        <v>61</v>
      </c>
      <c r="C41" s="53" t="s">
        <v>43</v>
      </c>
      <c r="D41" s="55">
        <v>46265.33333333333</v>
      </c>
      <c r="E41" s="16">
        <f>IF($A41="","",SUMPRODUCT((AttendanceLog!$E$2:$E$5000=$A41)*(AttendanceLog!$C$2:$C$5000&gt;=MAX($D41,Settings!$B$3))*((AttendanceLog!$I$2:$I$5000="")+(IFERROR(SEARCH(","&amp;$C41&amp;",",","&amp;AttendanceLog!$I$2:$I$5000&amp;","),0)&gt;0))))</f>
        <v>2</v>
      </c>
      <c r="F41" s="16">
        <f>IF($A41="","",SUMPRODUCT((EventLog!$C$2:$C$5000&gt;=MAX($D41,Settings!$B$3))*(EventLog!$C$2:$C$5000&lt;=TODAY())*((EventLog!$F$2:$F$5000="")+(IFERROR(SEARCH(","&amp;$C41&amp;",",","&amp;EventLog!$F$2:$F$5000&amp;","),0)&gt;0))))</f>
        <v>3</v>
      </c>
      <c r="G41" s="57">
        <f t="shared" si="1"/>
        <v>0.6666666667</v>
      </c>
      <c r="H41" s="56">
        <f>IFERROR(__xludf.DUMMYFUNCTION("IFERROR(MAX(FILTER(AttendanceLog!$C:$C,AttendanceLog!$E:$E=$A41,(AttendanceLog!$I:$I="""")+(IFERROR(SEARCH("",""&amp;$C41&amp;"","","",""&amp;AttendanceLog!$I:$I&amp;"",""),0)&gt;0))),"""")"),46305.33333333333)</f>
        <v>46305.33333</v>
      </c>
    </row>
    <row r="42" ht="15.75" customHeight="1">
      <c r="A42" s="53" t="s">
        <v>251</v>
      </c>
      <c r="B42" s="53" t="s">
        <v>61</v>
      </c>
      <c r="C42" s="53" t="s">
        <v>43</v>
      </c>
      <c r="D42" s="55">
        <v>46265.33333333333</v>
      </c>
      <c r="E42" s="16">
        <f>IF($A42="","",SUMPRODUCT((AttendanceLog!$E$2:$E$5000=$A42)*(AttendanceLog!$C$2:$C$5000&gt;=MAX($D42,Settings!$B$3))*((AttendanceLog!$I$2:$I$5000="")+(IFERROR(SEARCH(","&amp;$C42&amp;",",","&amp;AttendanceLog!$I$2:$I$5000&amp;","),0)&gt;0))))</f>
        <v>1</v>
      </c>
      <c r="F42" s="16">
        <f>IF($A42="","",SUMPRODUCT((EventLog!$C$2:$C$5000&gt;=MAX($D42,Settings!$B$3))*(EventLog!$C$2:$C$5000&lt;=TODAY())*((EventLog!$F$2:$F$5000="")+(IFERROR(SEARCH(","&amp;$C42&amp;",",","&amp;EventLog!$F$2:$F$5000&amp;","),0)&gt;0))))</f>
        <v>3</v>
      </c>
      <c r="G42" s="57">
        <f t="shared" si="1"/>
        <v>0.3333333333</v>
      </c>
      <c r="H42" s="56">
        <f>IFERROR(__xludf.DUMMYFUNCTION("IFERROR(MAX(FILTER(AttendanceLog!$C:$C,AttendanceLog!$E:$E=$A42,(AttendanceLog!$I:$I="""")+(IFERROR(SEARCH("",""&amp;$C42&amp;"","","",""&amp;AttendanceLog!$I:$I&amp;"",""),0)&gt;0))),"""")"),46305.33333333333)</f>
        <v>46305.33333</v>
      </c>
    </row>
    <row r="43" ht="15.75" customHeight="1">
      <c r="A43" s="53" t="s">
        <v>252</v>
      </c>
      <c r="B43" s="53" t="s">
        <v>61</v>
      </c>
      <c r="C43" s="53" t="s">
        <v>43</v>
      </c>
      <c r="D43" s="55">
        <v>46265.33333333333</v>
      </c>
      <c r="E43" s="16">
        <f>IF($A43="","",SUMPRODUCT((AttendanceLog!$E$2:$E$5000=$A43)*(AttendanceLog!$C$2:$C$5000&gt;=MAX($D43,Settings!$B$3))*((AttendanceLog!$I$2:$I$5000="")+(IFERROR(SEARCH(","&amp;$C43&amp;",",","&amp;AttendanceLog!$I$2:$I$5000&amp;","),0)&gt;0))))</f>
        <v>2</v>
      </c>
      <c r="F43" s="16">
        <f>IF($A43="","",SUMPRODUCT((EventLog!$C$2:$C$5000&gt;=MAX($D43,Settings!$B$3))*(EventLog!$C$2:$C$5000&lt;=TODAY())*((EventLog!$F$2:$F$5000="")+(IFERROR(SEARCH(","&amp;$C43&amp;",",","&amp;EventLog!$F$2:$F$5000&amp;","),0)&gt;0))))</f>
        <v>3</v>
      </c>
      <c r="G43" s="57">
        <f t="shared" si="1"/>
        <v>0.6666666667</v>
      </c>
      <c r="H43" s="56">
        <f>IFERROR(__xludf.DUMMYFUNCTION("IFERROR(MAX(FILTER(AttendanceLog!$C:$C,AttendanceLog!$E:$E=$A43,(AttendanceLog!$I:$I="""")+(IFERROR(SEARCH("",""&amp;$C43&amp;"","","",""&amp;AttendanceLog!$I:$I&amp;"",""),0)&gt;0))),"""")"),46305.33333333333)</f>
        <v>46305.33333</v>
      </c>
    </row>
    <row r="44" ht="15.75" customHeight="1">
      <c r="A44" s="53" t="s">
        <v>253</v>
      </c>
      <c r="B44" s="53" t="s">
        <v>61</v>
      </c>
      <c r="C44" s="53" t="s">
        <v>43</v>
      </c>
      <c r="D44" s="55">
        <v>46265.33333333333</v>
      </c>
      <c r="E44" s="16">
        <f>IF($A44="","",SUMPRODUCT((AttendanceLog!$E$2:$E$5000=$A44)*(AttendanceLog!$C$2:$C$5000&gt;=MAX($D44,Settings!$B$3))*((AttendanceLog!$I$2:$I$5000="")+(IFERROR(SEARCH(","&amp;$C44&amp;",",","&amp;AttendanceLog!$I$2:$I$5000&amp;","),0)&gt;0))))</f>
        <v>3</v>
      </c>
      <c r="F44" s="16">
        <f>IF($A44="","",SUMPRODUCT((EventLog!$C$2:$C$5000&gt;=MAX($D44,Settings!$B$3))*(EventLog!$C$2:$C$5000&lt;=TODAY())*((EventLog!$F$2:$F$5000="")+(IFERROR(SEARCH(","&amp;$C44&amp;",",","&amp;EventLog!$F$2:$F$5000&amp;","),0)&gt;0))))</f>
        <v>3</v>
      </c>
      <c r="G44" s="57">
        <f t="shared" si="1"/>
        <v>1</v>
      </c>
      <c r="H44" s="56">
        <f>IFERROR(__xludf.DUMMYFUNCTION("IFERROR(MAX(FILTER(AttendanceLog!$C:$C,AttendanceLog!$E:$E=$A44,(AttendanceLog!$I:$I="""")+(IFERROR(SEARCH("",""&amp;$C44&amp;"","","",""&amp;AttendanceLog!$I:$I&amp;"",""),0)&gt;0))),"""")"),46305.33333333333)</f>
        <v>46305.33333</v>
      </c>
    </row>
    <row r="45" ht="15.75" customHeight="1">
      <c r="A45" s="53" t="s">
        <v>254</v>
      </c>
      <c r="B45" s="53" t="s">
        <v>61</v>
      </c>
      <c r="C45" s="53" t="s">
        <v>43</v>
      </c>
      <c r="D45" s="55">
        <v>46265.33333333333</v>
      </c>
      <c r="E45" s="16">
        <f>IF($A45="","",SUMPRODUCT((AttendanceLog!$E$2:$E$5000=$A45)*(AttendanceLog!$C$2:$C$5000&gt;=MAX($D45,Settings!$B$3))*((AttendanceLog!$I$2:$I$5000="")+(IFERROR(SEARCH(","&amp;$C45&amp;",",","&amp;AttendanceLog!$I$2:$I$5000&amp;","),0)&gt;0))))</f>
        <v>1</v>
      </c>
      <c r="F45" s="16">
        <f>IF($A45="","",SUMPRODUCT((EventLog!$C$2:$C$5000&gt;=MAX($D45,Settings!$B$3))*(EventLog!$C$2:$C$5000&lt;=TODAY())*((EventLog!$F$2:$F$5000="")+(IFERROR(SEARCH(","&amp;$C45&amp;",",","&amp;EventLog!$F$2:$F$5000&amp;","),0)&gt;0))))</f>
        <v>3</v>
      </c>
      <c r="G45" s="57">
        <f t="shared" si="1"/>
        <v>0.3333333333</v>
      </c>
      <c r="H45" s="56">
        <f>IFERROR(__xludf.DUMMYFUNCTION("IFERROR(MAX(FILTER(AttendanceLog!$C:$C,AttendanceLog!$E:$E=$A45,(AttendanceLog!$I:$I="""")+(IFERROR(SEARCH("",""&amp;$C45&amp;"","","",""&amp;AttendanceLog!$I:$I&amp;"",""),0)&gt;0))),"""")"),46275.33333333333)</f>
        <v>46275.33333</v>
      </c>
    </row>
    <row r="46" ht="15.75" customHeight="1">
      <c r="A46" s="53" t="s">
        <v>95</v>
      </c>
      <c r="B46" s="53" t="s">
        <v>61</v>
      </c>
      <c r="C46" s="53" t="s">
        <v>43</v>
      </c>
      <c r="D46" s="55">
        <v>46265.33333333333</v>
      </c>
      <c r="E46" s="16">
        <f>IF($A46="","",SUMPRODUCT((AttendanceLog!$E$2:$E$5000=$A46)*(AttendanceLog!$C$2:$C$5000&gt;=MAX($D46,Settings!$B$3))*((AttendanceLog!$I$2:$I$5000="")+(IFERROR(SEARCH(","&amp;$C46&amp;",",","&amp;AttendanceLog!$I$2:$I$5000&amp;","),0)&gt;0))))</f>
        <v>3</v>
      </c>
      <c r="F46" s="16">
        <f>IF($A46="","",SUMPRODUCT((EventLog!$C$2:$C$5000&gt;=MAX($D46,Settings!$B$3))*(EventLog!$C$2:$C$5000&lt;=TODAY())*((EventLog!$F$2:$F$5000="")+(IFERROR(SEARCH(","&amp;$C46&amp;",",","&amp;EventLog!$F$2:$F$5000&amp;","),0)&gt;0))))</f>
        <v>3</v>
      </c>
      <c r="G46" s="57">
        <f t="shared" si="1"/>
        <v>1</v>
      </c>
      <c r="H46" s="56">
        <f>IFERROR(__xludf.DUMMYFUNCTION("IFERROR(MAX(FILTER(AttendanceLog!$C:$C,AttendanceLog!$E:$E=$A46,(AttendanceLog!$I:$I="""")+(IFERROR(SEARCH("",""&amp;$C46&amp;"","","",""&amp;AttendanceLog!$I:$I&amp;"",""),0)&gt;0))),"""")"),46305.33333333333)</f>
        <v>46305.33333</v>
      </c>
    </row>
    <row r="47" ht="15.75" customHeight="1">
      <c r="A47" s="53" t="s">
        <v>255</v>
      </c>
      <c r="B47" s="53" t="s">
        <v>61</v>
      </c>
      <c r="C47" s="53" t="s">
        <v>43</v>
      </c>
      <c r="D47" s="55">
        <v>46265.33333333333</v>
      </c>
      <c r="E47" s="16">
        <f>IF($A47="","",SUMPRODUCT((AttendanceLog!$E$2:$E$5000=$A47)*(AttendanceLog!$C$2:$C$5000&gt;=MAX($D47,Settings!$B$3))*((AttendanceLog!$I$2:$I$5000="")+(IFERROR(SEARCH(","&amp;$C47&amp;",",","&amp;AttendanceLog!$I$2:$I$5000&amp;","),0)&gt;0))))</f>
        <v>0</v>
      </c>
      <c r="F47" s="16">
        <f>IF($A47="","",SUMPRODUCT((EventLog!$C$2:$C$5000&gt;=MAX($D47,Settings!$B$3))*(EventLog!$C$2:$C$5000&lt;=TODAY())*((EventLog!$F$2:$F$5000="")+(IFERROR(SEARCH(","&amp;$C47&amp;",",","&amp;EventLog!$F$2:$F$5000&amp;","),0)&gt;0))))</f>
        <v>3</v>
      </c>
      <c r="G47" s="57">
        <f t="shared" si="1"/>
        <v>0</v>
      </c>
      <c r="H47" s="56" t="str">
        <f>IFERROR(__xludf.DUMMYFUNCTION("IFERROR(MAX(FILTER(AttendanceLog!$C:$C,AttendanceLog!$E:$E=$A47,(AttendanceLog!$I:$I="""")+(IFERROR(SEARCH("",""&amp;$C47&amp;"","","",""&amp;AttendanceLog!$I:$I&amp;"",""),0)&gt;0))),"""")"),"")</f>
        <v/>
      </c>
    </row>
    <row r="48" ht="15.75" customHeight="1">
      <c r="A48" s="53" t="s">
        <v>92</v>
      </c>
      <c r="B48" s="53" t="s">
        <v>61</v>
      </c>
      <c r="C48" s="53" t="s">
        <v>43</v>
      </c>
      <c r="D48" s="55">
        <v>46265.33333333333</v>
      </c>
      <c r="E48" s="16">
        <f>IF($A48="","",SUMPRODUCT((AttendanceLog!$E$2:$E$5000=$A48)*(AttendanceLog!$C$2:$C$5000&gt;=MAX($D48,Settings!$B$3))*((AttendanceLog!$I$2:$I$5000="")+(IFERROR(SEARCH(","&amp;$C48&amp;",",","&amp;AttendanceLog!$I$2:$I$5000&amp;","),0)&gt;0))))</f>
        <v>3</v>
      </c>
      <c r="F48" s="16">
        <f>IF($A48="","",SUMPRODUCT((EventLog!$C$2:$C$5000&gt;=MAX($D48,Settings!$B$3))*(EventLog!$C$2:$C$5000&lt;=TODAY())*((EventLog!$F$2:$F$5000="")+(IFERROR(SEARCH(","&amp;$C48&amp;",",","&amp;EventLog!$F$2:$F$5000&amp;","),0)&gt;0))))</f>
        <v>3</v>
      </c>
      <c r="G48" s="57">
        <f t="shared" si="1"/>
        <v>1</v>
      </c>
      <c r="H48" s="56">
        <f>IFERROR(__xludf.DUMMYFUNCTION("IFERROR(MAX(FILTER(AttendanceLog!$C:$C,AttendanceLog!$E:$E=$A48,(AttendanceLog!$I:$I="""")+(IFERROR(SEARCH("",""&amp;$C48&amp;"","","",""&amp;AttendanceLog!$I:$I&amp;"",""),0)&gt;0))),"""")"),46305.33333333333)</f>
        <v>46305.33333</v>
      </c>
    </row>
    <row r="49" ht="15.75" customHeight="1">
      <c r="A49" s="53" t="s">
        <v>256</v>
      </c>
      <c r="B49" s="53" t="s">
        <v>61</v>
      </c>
      <c r="C49" s="53" t="s">
        <v>43</v>
      </c>
      <c r="D49" s="55">
        <v>46265.33333333333</v>
      </c>
      <c r="E49" s="16">
        <f>IF($A49="","",SUMPRODUCT((AttendanceLog!$E$2:$E$5000=$A49)*(AttendanceLog!$C$2:$C$5000&gt;=MAX($D49,Settings!$B$3))*((AttendanceLog!$I$2:$I$5000="")+(IFERROR(SEARCH(","&amp;$C49&amp;",",","&amp;AttendanceLog!$I$2:$I$5000&amp;","),0)&gt;0))))</f>
        <v>3</v>
      </c>
      <c r="F49" s="16">
        <f>IF($A49="","",SUMPRODUCT((EventLog!$C$2:$C$5000&gt;=MAX($D49,Settings!$B$3))*(EventLog!$C$2:$C$5000&lt;=TODAY())*((EventLog!$F$2:$F$5000="")+(IFERROR(SEARCH(","&amp;$C49&amp;",",","&amp;EventLog!$F$2:$F$5000&amp;","),0)&gt;0))))</f>
        <v>3</v>
      </c>
      <c r="G49" s="57">
        <f t="shared" si="1"/>
        <v>1</v>
      </c>
      <c r="H49" s="56">
        <f>IFERROR(__xludf.DUMMYFUNCTION("IFERROR(MAX(FILTER(AttendanceLog!$C:$C,AttendanceLog!$E:$E=$A49,(AttendanceLog!$I:$I="""")+(IFERROR(SEARCH("",""&amp;$C49&amp;"","","",""&amp;AttendanceLog!$I:$I&amp;"",""),0)&gt;0))),"""")"),46305.33333333333)</f>
        <v>46305.33333</v>
      </c>
    </row>
    <row r="50" ht="15.75" customHeight="1">
      <c r="A50" s="53" t="s">
        <v>257</v>
      </c>
      <c r="B50" s="53" t="s">
        <v>61</v>
      </c>
      <c r="C50" s="53" t="s">
        <v>43</v>
      </c>
      <c r="D50" s="55">
        <v>46265.33333333333</v>
      </c>
      <c r="E50" s="16">
        <f>IF($A50="","",SUMPRODUCT((AttendanceLog!$E$2:$E$5000=$A50)*(AttendanceLog!$C$2:$C$5000&gt;=MAX($D50,Settings!$B$3))*((AttendanceLog!$I$2:$I$5000="")+(IFERROR(SEARCH(","&amp;$C50&amp;",",","&amp;AttendanceLog!$I$2:$I$5000&amp;","),0)&gt;0))))</f>
        <v>3</v>
      </c>
      <c r="F50" s="16">
        <f>IF($A50="","",SUMPRODUCT((EventLog!$C$2:$C$5000&gt;=MAX($D50,Settings!$B$3))*(EventLog!$C$2:$C$5000&lt;=TODAY())*((EventLog!$F$2:$F$5000="")+(IFERROR(SEARCH(","&amp;$C50&amp;",",","&amp;EventLog!$F$2:$F$5000&amp;","),0)&gt;0))))</f>
        <v>3</v>
      </c>
      <c r="G50" s="57">
        <f t="shared" si="1"/>
        <v>1</v>
      </c>
      <c r="H50" s="56">
        <f>IFERROR(__xludf.DUMMYFUNCTION("IFERROR(MAX(FILTER(AttendanceLog!$C:$C,AttendanceLog!$E:$E=$A50,(AttendanceLog!$I:$I="""")+(IFERROR(SEARCH("",""&amp;$C50&amp;"","","",""&amp;AttendanceLog!$I:$I&amp;"",""),0)&gt;0))),"""")"),46305.33333333333)</f>
        <v>46305.33333</v>
      </c>
    </row>
    <row r="51" ht="15.75" customHeight="1">
      <c r="A51" s="53" t="s">
        <v>258</v>
      </c>
      <c r="B51" s="53" t="s">
        <v>61</v>
      </c>
      <c r="C51" s="53" t="s">
        <v>43</v>
      </c>
      <c r="D51" s="55">
        <v>46265.33333333333</v>
      </c>
      <c r="E51" s="16">
        <f>IF($A51="","",SUMPRODUCT((AttendanceLog!$E$2:$E$5000=$A51)*(AttendanceLog!$C$2:$C$5000&gt;=MAX($D51,Settings!$B$3))*((AttendanceLog!$I$2:$I$5000="")+(IFERROR(SEARCH(","&amp;$C51&amp;",",","&amp;AttendanceLog!$I$2:$I$5000&amp;","),0)&gt;0))))</f>
        <v>1</v>
      </c>
      <c r="F51" s="16">
        <f>IF($A51="","",SUMPRODUCT((EventLog!$C$2:$C$5000&gt;=MAX($D51,Settings!$B$3))*(EventLog!$C$2:$C$5000&lt;=TODAY())*((EventLog!$F$2:$F$5000="")+(IFERROR(SEARCH(","&amp;$C51&amp;",",","&amp;EventLog!$F$2:$F$5000&amp;","),0)&gt;0))))</f>
        <v>3</v>
      </c>
      <c r="G51" s="57">
        <f t="shared" si="1"/>
        <v>0.3333333333</v>
      </c>
      <c r="H51" s="56">
        <f>IFERROR(__xludf.DUMMYFUNCTION("IFERROR(MAX(FILTER(AttendanceLog!$C:$C,AttendanceLog!$E:$E=$A51,(AttendanceLog!$I:$I="""")+(IFERROR(SEARCH("",""&amp;$C51&amp;"","","",""&amp;AttendanceLog!$I:$I&amp;"",""),0)&gt;0))),"""")"),46305.33333333333)</f>
        <v>46305.33333</v>
      </c>
    </row>
    <row r="52" ht="15.75" customHeight="1">
      <c r="A52" s="53" t="s">
        <v>99</v>
      </c>
      <c r="B52" s="53" t="s">
        <v>61</v>
      </c>
      <c r="C52" s="53" t="s">
        <v>43</v>
      </c>
      <c r="D52" s="55">
        <v>46265.33333333333</v>
      </c>
      <c r="E52" s="16">
        <f>IF($A52="","",SUMPRODUCT((AttendanceLog!$E$2:$E$5000=$A52)*(AttendanceLog!$C$2:$C$5000&gt;=MAX($D52,Settings!$B$3))*((AttendanceLog!$I$2:$I$5000="")+(IFERROR(SEARCH(","&amp;$C52&amp;",",","&amp;AttendanceLog!$I$2:$I$5000&amp;","),0)&gt;0))))</f>
        <v>3</v>
      </c>
      <c r="F52" s="16">
        <f>IF($A52="","",SUMPRODUCT((EventLog!$C$2:$C$5000&gt;=MAX($D52,Settings!$B$3))*(EventLog!$C$2:$C$5000&lt;=TODAY())*((EventLog!$F$2:$F$5000="")+(IFERROR(SEARCH(","&amp;$C52&amp;",",","&amp;EventLog!$F$2:$F$5000&amp;","),0)&gt;0))))</f>
        <v>3</v>
      </c>
      <c r="G52" s="57">
        <f t="shared" si="1"/>
        <v>1</v>
      </c>
      <c r="H52" s="56">
        <f>IFERROR(__xludf.DUMMYFUNCTION("IFERROR(MAX(FILTER(AttendanceLog!$C:$C,AttendanceLog!$E:$E=$A52,(AttendanceLog!$I:$I="""")+(IFERROR(SEARCH("",""&amp;$C52&amp;"","","",""&amp;AttendanceLog!$I:$I&amp;"",""),0)&gt;0))),"""")"),46305.33333333333)</f>
        <v>46305.33333</v>
      </c>
    </row>
    <row r="53" ht="15.75" customHeight="1">
      <c r="A53" s="53" t="s">
        <v>259</v>
      </c>
      <c r="B53" s="53" t="s">
        <v>61</v>
      </c>
      <c r="C53" s="53" t="s">
        <v>43</v>
      </c>
      <c r="D53" s="55">
        <v>46265.33333333333</v>
      </c>
      <c r="E53" s="16">
        <f>IF($A53="","",SUMPRODUCT((AttendanceLog!$E$2:$E$5000=$A53)*(AttendanceLog!$C$2:$C$5000&gt;=MAX($D53,Settings!$B$3))*((AttendanceLog!$I$2:$I$5000="")+(IFERROR(SEARCH(","&amp;$C53&amp;",",","&amp;AttendanceLog!$I$2:$I$5000&amp;","),0)&gt;0))))</f>
        <v>3</v>
      </c>
      <c r="F53" s="16">
        <f>IF($A53="","",SUMPRODUCT((EventLog!$C$2:$C$5000&gt;=MAX($D53,Settings!$B$3))*(EventLog!$C$2:$C$5000&lt;=TODAY())*((EventLog!$F$2:$F$5000="")+(IFERROR(SEARCH(","&amp;$C53&amp;",",","&amp;EventLog!$F$2:$F$5000&amp;","),0)&gt;0))))</f>
        <v>3</v>
      </c>
      <c r="G53" s="57">
        <f t="shared" si="1"/>
        <v>1</v>
      </c>
      <c r="H53" s="56">
        <f>IFERROR(__xludf.DUMMYFUNCTION("IFERROR(MAX(FILTER(AttendanceLog!$C:$C,AttendanceLog!$E:$E=$A53,(AttendanceLog!$I:$I="""")+(IFERROR(SEARCH("",""&amp;$C53&amp;"","","",""&amp;AttendanceLog!$I:$I&amp;"",""),0)&gt;0))),"""")"),46305.33333333333)</f>
        <v>46305.33333</v>
      </c>
    </row>
    <row r="54" ht="15.75" customHeight="1">
      <c r="A54" s="53" t="s">
        <v>260</v>
      </c>
      <c r="B54" s="53" t="s">
        <v>61</v>
      </c>
      <c r="C54" s="53" t="s">
        <v>43</v>
      </c>
      <c r="D54" s="55">
        <v>46265.33333333333</v>
      </c>
      <c r="E54" s="16">
        <f>IF($A54="","",SUMPRODUCT((AttendanceLog!$E$2:$E$5000=$A54)*(AttendanceLog!$C$2:$C$5000&gt;=MAX($D54,Settings!$B$3))*((AttendanceLog!$I$2:$I$5000="")+(IFERROR(SEARCH(","&amp;$C54&amp;",",","&amp;AttendanceLog!$I$2:$I$5000&amp;","),0)&gt;0))))</f>
        <v>2</v>
      </c>
      <c r="F54" s="16">
        <f>IF($A54="","",SUMPRODUCT((EventLog!$C$2:$C$5000&gt;=MAX($D54,Settings!$B$3))*(EventLog!$C$2:$C$5000&lt;=TODAY())*((EventLog!$F$2:$F$5000="")+(IFERROR(SEARCH(","&amp;$C54&amp;",",","&amp;EventLog!$F$2:$F$5000&amp;","),0)&gt;0))))</f>
        <v>3</v>
      </c>
      <c r="G54" s="57">
        <f t="shared" si="1"/>
        <v>0.6666666667</v>
      </c>
      <c r="H54" s="56">
        <f>IFERROR(__xludf.DUMMYFUNCTION("IFERROR(MAX(FILTER(AttendanceLog!$C:$C,AttendanceLog!$E:$E=$A54,(AttendanceLog!$I:$I="""")+(IFERROR(SEARCH("",""&amp;$C54&amp;"","","",""&amp;AttendanceLog!$I:$I&amp;"",""),0)&gt;0))),"""")"),46305.33333333333)</f>
        <v>46305.33333</v>
      </c>
    </row>
    <row r="55" ht="15.75" customHeight="1">
      <c r="A55" s="53" t="s">
        <v>261</v>
      </c>
      <c r="B55" s="53" t="s">
        <v>61</v>
      </c>
      <c r="C55" s="53" t="s">
        <v>43</v>
      </c>
      <c r="D55" s="55">
        <v>46265.33333333333</v>
      </c>
      <c r="E55" s="16">
        <f>IF($A55="","",SUMPRODUCT((AttendanceLog!$E$2:$E$5000=$A55)*(AttendanceLog!$C$2:$C$5000&gt;=MAX($D55,Settings!$B$3))*((AttendanceLog!$I$2:$I$5000="")+(IFERROR(SEARCH(","&amp;$C55&amp;",",","&amp;AttendanceLog!$I$2:$I$5000&amp;","),0)&gt;0))))</f>
        <v>2</v>
      </c>
      <c r="F55" s="16">
        <f>IF($A55="","",SUMPRODUCT((EventLog!$C$2:$C$5000&gt;=MAX($D55,Settings!$B$3))*(EventLog!$C$2:$C$5000&lt;=TODAY())*((EventLog!$F$2:$F$5000="")+(IFERROR(SEARCH(","&amp;$C55&amp;",",","&amp;EventLog!$F$2:$F$5000&amp;","),0)&gt;0))))</f>
        <v>3</v>
      </c>
      <c r="G55" s="57">
        <f t="shared" si="1"/>
        <v>0.6666666667</v>
      </c>
      <c r="H55" s="56">
        <f>IFERROR(__xludf.DUMMYFUNCTION("IFERROR(MAX(FILTER(AttendanceLog!$C:$C,AttendanceLog!$E:$E=$A55,(AttendanceLog!$I:$I="""")+(IFERROR(SEARCH("",""&amp;$C55&amp;"","","",""&amp;AttendanceLog!$I:$I&amp;"",""),0)&gt;0))),"""")"),46305.33333333333)</f>
        <v>46305.33333</v>
      </c>
    </row>
    <row r="56" ht="15.75" customHeight="1">
      <c r="A56" s="53" t="s">
        <v>262</v>
      </c>
      <c r="B56" s="53" t="s">
        <v>61</v>
      </c>
      <c r="C56" s="53" t="s">
        <v>43</v>
      </c>
      <c r="D56" s="55">
        <v>46265.33333333333</v>
      </c>
      <c r="E56" s="16">
        <f>IF($A56="","",SUMPRODUCT((AttendanceLog!$E$2:$E$5000=$A56)*(AttendanceLog!$C$2:$C$5000&gt;=MAX($D56,Settings!$B$3))*((AttendanceLog!$I$2:$I$5000="")+(IFERROR(SEARCH(","&amp;$C56&amp;",",","&amp;AttendanceLog!$I$2:$I$5000&amp;","),0)&gt;0))))</f>
        <v>1</v>
      </c>
      <c r="F56" s="16">
        <f>IF($A56="","",SUMPRODUCT((EventLog!$C$2:$C$5000&gt;=MAX($D56,Settings!$B$3))*(EventLog!$C$2:$C$5000&lt;=TODAY())*((EventLog!$F$2:$F$5000="")+(IFERROR(SEARCH(","&amp;$C56&amp;",",","&amp;EventLog!$F$2:$F$5000&amp;","),0)&gt;0))))</f>
        <v>3</v>
      </c>
      <c r="G56" s="57">
        <f t="shared" si="1"/>
        <v>0.3333333333</v>
      </c>
      <c r="H56" s="56">
        <f>IFERROR(__xludf.DUMMYFUNCTION("IFERROR(MAX(FILTER(AttendanceLog!$C:$C,AttendanceLog!$E:$E=$A56,(AttendanceLog!$I:$I="""")+(IFERROR(SEARCH("",""&amp;$C56&amp;"","","",""&amp;AttendanceLog!$I:$I&amp;"",""),0)&gt;0))),"""")"),46305.33333333333)</f>
        <v>46305.33333</v>
      </c>
    </row>
    <row r="57" ht="15.75" customHeight="1">
      <c r="A57" s="53" t="s">
        <v>263</v>
      </c>
      <c r="B57" s="53" t="s">
        <v>61</v>
      </c>
      <c r="C57" s="53" t="s">
        <v>43</v>
      </c>
      <c r="D57" s="55">
        <v>46265.33333333333</v>
      </c>
      <c r="E57" s="16">
        <f>IF($A57="","",SUMPRODUCT((AttendanceLog!$E$2:$E$5000=$A57)*(AttendanceLog!$C$2:$C$5000&gt;=MAX($D57,Settings!$B$3))*((AttendanceLog!$I$2:$I$5000="")+(IFERROR(SEARCH(","&amp;$C57&amp;",",","&amp;AttendanceLog!$I$2:$I$5000&amp;","),0)&gt;0))))</f>
        <v>1</v>
      </c>
      <c r="F57" s="16">
        <f>IF($A57="","",SUMPRODUCT((EventLog!$C$2:$C$5000&gt;=MAX($D57,Settings!$B$3))*(EventLog!$C$2:$C$5000&lt;=TODAY())*((EventLog!$F$2:$F$5000="")+(IFERROR(SEARCH(","&amp;$C57&amp;",",","&amp;EventLog!$F$2:$F$5000&amp;","),0)&gt;0))))</f>
        <v>3</v>
      </c>
      <c r="G57" s="57">
        <f t="shared" si="1"/>
        <v>0.3333333333</v>
      </c>
      <c r="H57" s="56">
        <f>IFERROR(__xludf.DUMMYFUNCTION("IFERROR(MAX(FILTER(AttendanceLog!$C:$C,AttendanceLog!$E:$E=$A57,(AttendanceLog!$I:$I="""")+(IFERROR(SEARCH("",""&amp;$C57&amp;"","","",""&amp;AttendanceLog!$I:$I&amp;"",""),0)&gt;0))),"""")"),46305.33333333333)</f>
        <v>46305.33333</v>
      </c>
    </row>
    <row r="58" ht="15.75" customHeight="1">
      <c r="A58" s="53" t="s">
        <v>264</v>
      </c>
      <c r="B58" s="53" t="s">
        <v>61</v>
      </c>
      <c r="C58" s="53" t="s">
        <v>43</v>
      </c>
      <c r="D58" s="55">
        <v>46265.33333333333</v>
      </c>
      <c r="E58" s="16">
        <f>IF($A58="","",SUMPRODUCT((AttendanceLog!$E$2:$E$5000=$A58)*(AttendanceLog!$C$2:$C$5000&gt;=MAX($D58,Settings!$B$3))*((AttendanceLog!$I$2:$I$5000="")+(IFERROR(SEARCH(","&amp;$C58&amp;",",","&amp;AttendanceLog!$I$2:$I$5000&amp;","),0)&gt;0))))</f>
        <v>1</v>
      </c>
      <c r="F58" s="16">
        <f>IF($A58="","",SUMPRODUCT((EventLog!$C$2:$C$5000&gt;=MAX($D58,Settings!$B$3))*(EventLog!$C$2:$C$5000&lt;=TODAY())*((EventLog!$F$2:$F$5000="")+(IFERROR(SEARCH(","&amp;$C58&amp;",",","&amp;EventLog!$F$2:$F$5000&amp;","),0)&gt;0))))</f>
        <v>3</v>
      </c>
      <c r="G58" s="57">
        <f t="shared" si="1"/>
        <v>0.3333333333</v>
      </c>
      <c r="H58" s="56">
        <f>IFERROR(__xludf.DUMMYFUNCTION("IFERROR(MAX(FILTER(AttendanceLog!$C:$C,AttendanceLog!$E:$E=$A58,(AttendanceLog!$I:$I="""")+(IFERROR(SEARCH("",""&amp;$C58&amp;"","","",""&amp;AttendanceLog!$I:$I&amp;"",""),0)&gt;0))),"""")"),46305.33333333333)</f>
        <v>46305.33333</v>
      </c>
    </row>
    <row r="59" ht="15.75" customHeight="1">
      <c r="A59" s="53" t="s">
        <v>265</v>
      </c>
      <c r="B59" s="53" t="s">
        <v>61</v>
      </c>
      <c r="C59" s="53" t="s">
        <v>43</v>
      </c>
      <c r="D59" s="55">
        <v>46265.33333333333</v>
      </c>
      <c r="E59" s="16">
        <f>IF($A59="","",SUMPRODUCT((AttendanceLog!$E$2:$E$5000=$A59)*(AttendanceLog!$C$2:$C$5000&gt;=MAX($D59,Settings!$B$3))*((AttendanceLog!$I$2:$I$5000="")+(IFERROR(SEARCH(","&amp;$C59&amp;",",","&amp;AttendanceLog!$I$2:$I$5000&amp;","),0)&gt;0))))</f>
        <v>3</v>
      </c>
      <c r="F59" s="16">
        <f>IF($A59="","",SUMPRODUCT((EventLog!$C$2:$C$5000&gt;=MAX($D59,Settings!$B$3))*(EventLog!$C$2:$C$5000&lt;=TODAY())*((EventLog!$F$2:$F$5000="")+(IFERROR(SEARCH(","&amp;$C59&amp;",",","&amp;EventLog!$F$2:$F$5000&amp;","),0)&gt;0))))</f>
        <v>3</v>
      </c>
      <c r="G59" s="57">
        <f t="shared" si="1"/>
        <v>1</v>
      </c>
      <c r="H59" s="56">
        <f>IFERROR(__xludf.DUMMYFUNCTION("IFERROR(MAX(FILTER(AttendanceLog!$C:$C,AttendanceLog!$E:$E=$A59,(AttendanceLog!$I:$I="""")+(IFERROR(SEARCH("",""&amp;$C59&amp;"","","",""&amp;AttendanceLog!$I:$I&amp;"",""),0)&gt;0))),"""")"),46305.33333333333)</f>
        <v>46305.33333</v>
      </c>
    </row>
    <row r="60" ht="15.75" customHeight="1">
      <c r="A60" s="53" t="s">
        <v>266</v>
      </c>
      <c r="B60" s="53" t="s">
        <v>61</v>
      </c>
      <c r="C60" s="53" t="s">
        <v>43</v>
      </c>
      <c r="D60" s="55">
        <v>46265.33333333333</v>
      </c>
      <c r="E60" s="16">
        <f>IF($A60="","",SUMPRODUCT((AttendanceLog!$E$2:$E$5000=$A60)*(AttendanceLog!$C$2:$C$5000&gt;=MAX($D60,Settings!$B$3))*((AttendanceLog!$I$2:$I$5000="")+(IFERROR(SEARCH(","&amp;$C60&amp;",",","&amp;AttendanceLog!$I$2:$I$5000&amp;","),0)&gt;0))))</f>
        <v>2</v>
      </c>
      <c r="F60" s="16">
        <f>IF($A60="","",SUMPRODUCT((EventLog!$C$2:$C$5000&gt;=MAX($D60,Settings!$B$3))*(EventLog!$C$2:$C$5000&lt;=TODAY())*((EventLog!$F$2:$F$5000="")+(IFERROR(SEARCH(","&amp;$C60&amp;",",","&amp;EventLog!$F$2:$F$5000&amp;","),0)&gt;0))))</f>
        <v>3</v>
      </c>
      <c r="G60" s="57">
        <f t="shared" si="1"/>
        <v>0.6666666667</v>
      </c>
      <c r="H60" s="56">
        <f>IFERROR(__xludf.DUMMYFUNCTION("IFERROR(MAX(FILTER(AttendanceLog!$C:$C,AttendanceLog!$E:$E=$A60,(AttendanceLog!$I:$I="""")+(IFERROR(SEARCH("",""&amp;$C60&amp;"","","",""&amp;AttendanceLog!$I:$I&amp;"",""),0)&gt;0))),"""")"),46305.33333333333)</f>
        <v>46305.33333</v>
      </c>
    </row>
    <row r="61" ht="15.75" customHeight="1">
      <c r="A61" s="53" t="s">
        <v>267</v>
      </c>
      <c r="B61" s="53" t="s">
        <v>61</v>
      </c>
      <c r="C61" s="53" t="s">
        <v>43</v>
      </c>
      <c r="D61" s="55">
        <v>46265.33333333333</v>
      </c>
      <c r="E61" s="16">
        <f>IF($A61="","",SUMPRODUCT((AttendanceLog!$E$2:$E$5000=$A61)*(AttendanceLog!$C$2:$C$5000&gt;=MAX($D61,Settings!$B$3))*((AttendanceLog!$I$2:$I$5000="")+(IFERROR(SEARCH(","&amp;$C61&amp;",",","&amp;AttendanceLog!$I$2:$I$5000&amp;","),0)&gt;0))))</f>
        <v>2</v>
      </c>
      <c r="F61" s="16">
        <f>IF($A61="","",SUMPRODUCT((EventLog!$C$2:$C$5000&gt;=MAX($D61,Settings!$B$3))*(EventLog!$C$2:$C$5000&lt;=TODAY())*((EventLog!$F$2:$F$5000="")+(IFERROR(SEARCH(","&amp;$C61&amp;",",","&amp;EventLog!$F$2:$F$5000&amp;","),0)&gt;0))))</f>
        <v>3</v>
      </c>
      <c r="G61" s="57">
        <f t="shared" si="1"/>
        <v>0.6666666667</v>
      </c>
      <c r="H61" s="56">
        <f>IFERROR(__xludf.DUMMYFUNCTION("IFERROR(MAX(FILTER(AttendanceLog!$C:$C,AttendanceLog!$E:$E=$A61,(AttendanceLog!$I:$I="""")+(IFERROR(SEARCH("",""&amp;$C61&amp;"","","",""&amp;AttendanceLog!$I:$I&amp;"",""),0)&gt;0))),"""")"),46305.33333333333)</f>
        <v>46305.33333</v>
      </c>
    </row>
    <row r="62" ht="15.75" customHeight="1">
      <c r="A62" s="53" t="s">
        <v>268</v>
      </c>
      <c r="B62" s="53" t="s">
        <v>61</v>
      </c>
      <c r="C62" s="53" t="s">
        <v>43</v>
      </c>
      <c r="D62" s="55">
        <v>46265.33333333333</v>
      </c>
      <c r="E62" s="16">
        <f>IF($A62="","",SUMPRODUCT((AttendanceLog!$E$2:$E$5000=$A62)*(AttendanceLog!$C$2:$C$5000&gt;=MAX($D62,Settings!$B$3))*((AttendanceLog!$I$2:$I$5000="")+(IFERROR(SEARCH(","&amp;$C62&amp;",",","&amp;AttendanceLog!$I$2:$I$5000&amp;","),0)&gt;0))))</f>
        <v>1</v>
      </c>
      <c r="F62" s="16">
        <f>IF($A62="","",SUMPRODUCT((EventLog!$C$2:$C$5000&gt;=MAX($D62,Settings!$B$3))*(EventLog!$C$2:$C$5000&lt;=TODAY())*((EventLog!$F$2:$F$5000="")+(IFERROR(SEARCH(","&amp;$C62&amp;",",","&amp;EventLog!$F$2:$F$5000&amp;","),0)&gt;0))))</f>
        <v>3</v>
      </c>
      <c r="G62" s="57">
        <f t="shared" si="1"/>
        <v>0.3333333333</v>
      </c>
      <c r="H62" s="56">
        <f>IFERROR(__xludf.DUMMYFUNCTION("IFERROR(MAX(FILTER(AttendanceLog!$C:$C,AttendanceLog!$E:$E=$A62,(AttendanceLog!$I:$I="""")+(IFERROR(SEARCH("",""&amp;$C62&amp;"","","",""&amp;AttendanceLog!$I:$I&amp;"",""),0)&gt;0))),"""")"),46303.33333333333)</f>
        <v>46303.33333</v>
      </c>
    </row>
    <row r="63" ht="15.75" customHeight="1">
      <c r="A63" s="53" t="s">
        <v>269</v>
      </c>
      <c r="B63" s="53" t="s">
        <v>61</v>
      </c>
      <c r="C63" s="53" t="s">
        <v>43</v>
      </c>
      <c r="D63" s="55">
        <v>46265.33333333333</v>
      </c>
      <c r="E63" s="16">
        <f>IF($A63="","",SUMPRODUCT((AttendanceLog!$E$2:$E$5000=$A63)*(AttendanceLog!$C$2:$C$5000&gt;=MAX($D63,Settings!$B$3))*((AttendanceLog!$I$2:$I$5000="")+(IFERROR(SEARCH(","&amp;$C63&amp;",",","&amp;AttendanceLog!$I$2:$I$5000&amp;","),0)&gt;0))))</f>
        <v>0</v>
      </c>
      <c r="F63" s="16">
        <f>IF($A63="","",SUMPRODUCT((EventLog!$C$2:$C$5000&gt;=MAX($D63,Settings!$B$3))*(EventLog!$C$2:$C$5000&lt;=TODAY())*((EventLog!$F$2:$F$5000="")+(IFERROR(SEARCH(","&amp;$C63&amp;",",","&amp;EventLog!$F$2:$F$5000&amp;","),0)&gt;0))))</f>
        <v>3</v>
      </c>
      <c r="G63" s="57">
        <f t="shared" si="1"/>
        <v>0</v>
      </c>
      <c r="H63" s="56" t="str">
        <f>IFERROR(__xludf.DUMMYFUNCTION("IFERROR(MAX(FILTER(AttendanceLog!$C:$C,AttendanceLog!$E:$E=$A63,(AttendanceLog!$I:$I="""")+(IFERROR(SEARCH("",""&amp;$C63&amp;"","","",""&amp;AttendanceLog!$I:$I&amp;"",""),0)&gt;0))),"""")"),"")</f>
        <v/>
      </c>
    </row>
    <row r="64" ht="15.75" customHeight="1">
      <c r="A64" s="16"/>
      <c r="B64" s="16"/>
      <c r="C64" s="16"/>
      <c r="D64" s="56"/>
      <c r="E64" s="16"/>
      <c r="F64" s="16"/>
      <c r="G64" s="57"/>
      <c r="H64" s="56"/>
    </row>
    <row r="65" ht="15.75" customHeight="1">
      <c r="A65" s="16"/>
      <c r="B65" s="16"/>
      <c r="C65" s="16"/>
      <c r="D65" s="56"/>
      <c r="E65" s="16"/>
      <c r="F65" s="16"/>
      <c r="G65" s="57"/>
      <c r="H65" s="56"/>
    </row>
    <row r="66" ht="15.75" customHeight="1">
      <c r="A66" s="16"/>
      <c r="B66" s="16"/>
      <c r="C66" s="16"/>
      <c r="D66" s="56"/>
      <c r="E66" s="16"/>
      <c r="F66" s="16"/>
      <c r="G66" s="57"/>
      <c r="H66" s="56"/>
    </row>
    <row r="67" ht="15.75" customHeight="1">
      <c r="A67" s="16"/>
      <c r="B67" s="16"/>
      <c r="C67" s="16"/>
      <c r="D67" s="56"/>
      <c r="E67" s="16"/>
      <c r="F67" s="16"/>
      <c r="G67" s="57"/>
      <c r="H67" s="56"/>
    </row>
    <row r="68" ht="15.75" customHeight="1">
      <c r="A68" s="16"/>
      <c r="B68" s="16"/>
      <c r="C68" s="16"/>
      <c r="D68" s="56"/>
      <c r="E68" s="16"/>
      <c r="F68" s="16"/>
      <c r="G68" s="57"/>
      <c r="H68" s="56"/>
    </row>
    <row r="69" ht="15.75" customHeight="1">
      <c r="A69" s="16"/>
      <c r="B69" s="16"/>
      <c r="C69" s="16"/>
      <c r="D69" s="56"/>
      <c r="E69" s="16"/>
      <c r="F69" s="16"/>
      <c r="G69" s="57"/>
      <c r="H69" s="56"/>
    </row>
    <row r="70" ht="15.75" customHeight="1">
      <c r="A70" s="16"/>
      <c r="B70" s="16"/>
      <c r="C70" s="16"/>
      <c r="D70" s="56"/>
      <c r="E70" s="16"/>
      <c r="F70" s="16"/>
      <c r="G70" s="57"/>
      <c r="H70" s="56"/>
    </row>
    <row r="71" ht="15.75" customHeight="1">
      <c r="A71" s="16"/>
      <c r="B71" s="16"/>
      <c r="C71" s="16"/>
      <c r="D71" s="56"/>
      <c r="E71" s="16"/>
      <c r="F71" s="16"/>
      <c r="G71" s="57"/>
      <c r="H71" s="56"/>
    </row>
    <row r="72" ht="15.75" customHeight="1">
      <c r="A72" s="16"/>
      <c r="B72" s="16"/>
      <c r="C72" s="16"/>
      <c r="D72" s="56"/>
      <c r="E72" s="16"/>
      <c r="F72" s="16"/>
      <c r="G72" s="57"/>
      <c r="H72" s="56"/>
    </row>
    <row r="73" ht="15.75" customHeight="1">
      <c r="A73" s="16"/>
      <c r="B73" s="16"/>
      <c r="C73" s="16"/>
      <c r="D73" s="56"/>
      <c r="E73" s="16"/>
      <c r="F73" s="16"/>
      <c r="G73" s="57"/>
      <c r="H73" s="56"/>
    </row>
    <row r="74" ht="15.75" customHeight="1">
      <c r="A74" s="16"/>
      <c r="B74" s="16"/>
      <c r="C74" s="16"/>
      <c r="D74" s="56"/>
      <c r="E74" s="16"/>
      <c r="F74" s="16"/>
      <c r="G74" s="57"/>
      <c r="H74" s="56"/>
    </row>
    <row r="75" ht="15.75" customHeight="1">
      <c r="A75" s="16"/>
      <c r="B75" s="16"/>
      <c r="C75" s="16"/>
      <c r="D75" s="56"/>
      <c r="E75" s="16"/>
      <c r="F75" s="16"/>
      <c r="G75" s="57"/>
      <c r="H75" s="56"/>
    </row>
    <row r="76" ht="15.75" customHeight="1">
      <c r="A76" s="16"/>
      <c r="B76" s="16"/>
      <c r="C76" s="16"/>
      <c r="D76" s="56"/>
      <c r="E76" s="16"/>
      <c r="F76" s="16"/>
      <c r="G76" s="57"/>
      <c r="H76" s="56"/>
    </row>
    <row r="77" ht="15.75" customHeight="1">
      <c r="A77" s="16"/>
      <c r="B77" s="16"/>
      <c r="C77" s="16"/>
      <c r="D77" s="56"/>
      <c r="E77" s="16"/>
      <c r="F77" s="16"/>
      <c r="G77" s="57"/>
      <c r="H77" s="56"/>
    </row>
    <row r="78" ht="15.75" customHeight="1">
      <c r="A78" s="16"/>
      <c r="B78" s="16"/>
      <c r="C78" s="16"/>
      <c r="D78" s="56"/>
      <c r="E78" s="16"/>
      <c r="F78" s="16"/>
      <c r="G78" s="57"/>
      <c r="H78" s="56"/>
    </row>
    <row r="79" ht="15.75" customHeight="1">
      <c r="A79" s="16"/>
      <c r="B79" s="16"/>
      <c r="C79" s="16"/>
      <c r="D79" s="56"/>
      <c r="E79" s="16"/>
      <c r="F79" s="16"/>
      <c r="G79" s="57"/>
      <c r="H79" s="56"/>
    </row>
    <row r="80" ht="15.75" customHeight="1">
      <c r="A80" s="16"/>
      <c r="B80" s="16"/>
      <c r="C80" s="16"/>
      <c r="D80" s="56"/>
      <c r="E80" s="16"/>
      <c r="F80" s="16"/>
      <c r="G80" s="57"/>
      <c r="H80" s="56"/>
    </row>
    <row r="81" ht="15.75" customHeight="1">
      <c r="A81" s="16"/>
      <c r="B81" s="16"/>
      <c r="C81" s="16"/>
      <c r="D81" s="56"/>
      <c r="E81" s="16"/>
      <c r="F81" s="16"/>
      <c r="G81" s="57"/>
      <c r="H81" s="56"/>
    </row>
    <row r="82" ht="15.75" customHeight="1">
      <c r="A82" s="16"/>
      <c r="B82" s="16"/>
      <c r="C82" s="16"/>
      <c r="D82" s="56"/>
      <c r="E82" s="16"/>
      <c r="F82" s="16"/>
      <c r="G82" s="57"/>
      <c r="H82" s="56"/>
    </row>
    <row r="83" ht="15.75" customHeight="1">
      <c r="A83" s="16"/>
      <c r="B83" s="16"/>
      <c r="C83" s="16"/>
      <c r="D83" s="56"/>
      <c r="E83" s="16"/>
      <c r="F83" s="16"/>
      <c r="G83" s="57"/>
      <c r="H83" s="56"/>
    </row>
    <row r="84" ht="15.75" customHeight="1">
      <c r="A84" s="16"/>
      <c r="B84" s="16"/>
      <c r="C84" s="16"/>
      <c r="D84" s="56"/>
      <c r="E84" s="16"/>
      <c r="F84" s="16"/>
      <c r="G84" s="57"/>
      <c r="H84" s="56"/>
    </row>
    <row r="85" ht="15.75" customHeight="1">
      <c r="A85" s="16"/>
      <c r="B85" s="16"/>
      <c r="C85" s="16"/>
      <c r="D85" s="56"/>
      <c r="E85" s="16"/>
      <c r="F85" s="16"/>
      <c r="G85" s="57"/>
      <c r="H85" s="56"/>
    </row>
    <row r="86" ht="15.75" customHeight="1">
      <c r="A86" s="16"/>
      <c r="B86" s="16"/>
      <c r="C86" s="16"/>
      <c r="D86" s="56"/>
      <c r="E86" s="16"/>
      <c r="F86" s="16"/>
      <c r="G86" s="57"/>
      <c r="H86" s="56"/>
    </row>
    <row r="87" ht="15.75" customHeight="1">
      <c r="A87" s="16"/>
      <c r="B87" s="16"/>
      <c r="C87" s="16"/>
      <c r="D87" s="56"/>
      <c r="E87" s="16"/>
      <c r="F87" s="16"/>
      <c r="G87" s="57"/>
      <c r="H87" s="56"/>
    </row>
    <row r="88" ht="15.75" customHeight="1">
      <c r="A88" s="16"/>
      <c r="B88" s="16"/>
      <c r="C88" s="16"/>
      <c r="D88" s="56"/>
      <c r="E88" s="16"/>
      <c r="F88" s="16"/>
      <c r="G88" s="57"/>
      <c r="H88" s="56"/>
    </row>
    <row r="89" ht="15.75" customHeight="1">
      <c r="A89" s="16"/>
      <c r="B89" s="16"/>
      <c r="C89" s="16"/>
      <c r="D89" s="56"/>
      <c r="E89" s="16"/>
      <c r="F89" s="16"/>
      <c r="G89" s="57"/>
      <c r="H89" s="56"/>
    </row>
    <row r="90" ht="15.75" customHeight="1">
      <c r="A90" s="16"/>
      <c r="B90" s="16"/>
      <c r="C90" s="16"/>
      <c r="D90" s="56"/>
      <c r="E90" s="16"/>
      <c r="F90" s="16"/>
      <c r="G90" s="57"/>
      <c r="H90" s="56"/>
    </row>
    <row r="91" ht="15.75" customHeight="1">
      <c r="A91" s="16"/>
      <c r="B91" s="16"/>
      <c r="C91" s="16"/>
      <c r="D91" s="56"/>
      <c r="E91" s="16"/>
      <c r="F91" s="16"/>
      <c r="G91" s="57"/>
      <c r="H91" s="56"/>
    </row>
    <row r="92" ht="15.75" customHeight="1">
      <c r="A92" s="16"/>
      <c r="B92" s="16"/>
      <c r="C92" s="16"/>
      <c r="D92" s="56"/>
      <c r="E92" s="16"/>
      <c r="F92" s="16"/>
      <c r="G92" s="57"/>
      <c r="H92" s="56"/>
    </row>
    <row r="93" ht="15.75" customHeight="1">
      <c r="A93" s="16"/>
      <c r="B93" s="16"/>
      <c r="C93" s="16"/>
      <c r="D93" s="56"/>
      <c r="E93" s="16"/>
      <c r="F93" s="16"/>
      <c r="G93" s="57"/>
      <c r="H93" s="56"/>
    </row>
    <row r="94" ht="15.75" customHeight="1">
      <c r="A94" s="16"/>
      <c r="B94" s="16"/>
      <c r="C94" s="16"/>
      <c r="D94" s="56"/>
      <c r="E94" s="16"/>
      <c r="F94" s="16"/>
      <c r="G94" s="57"/>
      <c r="H94" s="56"/>
    </row>
    <row r="95" ht="15.75" customHeight="1">
      <c r="A95" s="16"/>
      <c r="B95" s="16"/>
      <c r="C95" s="16"/>
      <c r="D95" s="56"/>
      <c r="E95" s="16"/>
      <c r="F95" s="16"/>
      <c r="G95" s="57"/>
      <c r="H95" s="56"/>
    </row>
    <row r="96" ht="15.75" customHeight="1">
      <c r="A96" s="16"/>
      <c r="B96" s="16"/>
      <c r="C96" s="16"/>
      <c r="D96" s="56"/>
      <c r="E96" s="16"/>
      <c r="F96" s="16"/>
      <c r="G96" s="57"/>
      <c r="H96" s="56"/>
    </row>
    <row r="97" ht="15.75" customHeight="1">
      <c r="A97" s="16"/>
      <c r="B97" s="16"/>
      <c r="C97" s="16"/>
      <c r="D97" s="56"/>
      <c r="E97" s="16"/>
      <c r="F97" s="16"/>
      <c r="G97" s="57"/>
      <c r="H97" s="56"/>
    </row>
    <row r="98" ht="15.75" customHeight="1">
      <c r="A98" s="16"/>
      <c r="B98" s="16"/>
      <c r="C98" s="16"/>
      <c r="D98" s="56"/>
      <c r="E98" s="16"/>
      <c r="F98" s="16"/>
      <c r="G98" s="57"/>
      <c r="H98" s="56"/>
    </row>
    <row r="99" ht="15.75" customHeight="1">
      <c r="A99" s="16"/>
      <c r="B99" s="16"/>
      <c r="C99" s="16"/>
      <c r="D99" s="56"/>
      <c r="E99" s="16"/>
      <c r="F99" s="16"/>
      <c r="G99" s="57"/>
      <c r="H99" s="56"/>
    </row>
    <row r="100" ht="15.75" customHeight="1">
      <c r="A100" s="16"/>
      <c r="B100" s="16"/>
      <c r="C100" s="16"/>
      <c r="D100" s="56"/>
      <c r="E100" s="16"/>
      <c r="F100" s="16"/>
      <c r="G100" s="57"/>
      <c r="H100" s="56"/>
    </row>
    <row r="101" ht="15.75" customHeight="1">
      <c r="D101" s="61"/>
      <c r="G101" s="62"/>
      <c r="H101" s="61"/>
    </row>
    <row r="102" ht="15.75" customHeight="1">
      <c r="D102" s="61"/>
      <c r="G102" s="62"/>
      <c r="H102" s="61"/>
    </row>
    <row r="103" ht="15.75" customHeight="1">
      <c r="D103" s="61"/>
      <c r="G103" s="62"/>
      <c r="H103" s="61"/>
    </row>
    <row r="104" ht="15.75" customHeight="1">
      <c r="D104" s="61"/>
      <c r="G104" s="62"/>
      <c r="H104" s="61"/>
    </row>
    <row r="105" ht="15.75" customHeight="1">
      <c r="D105" s="61"/>
      <c r="G105" s="62"/>
      <c r="H105" s="61"/>
    </row>
    <row r="106" ht="15.75" customHeight="1">
      <c r="D106" s="61"/>
      <c r="G106" s="62"/>
      <c r="H106" s="61"/>
    </row>
    <row r="107" ht="15.75" customHeight="1">
      <c r="D107" s="61"/>
      <c r="G107" s="62"/>
      <c r="H107" s="61"/>
    </row>
    <row r="108" ht="15.75" customHeight="1">
      <c r="D108" s="61"/>
      <c r="G108" s="62"/>
      <c r="H108" s="61"/>
    </row>
    <row r="109" ht="15.75" customHeight="1">
      <c r="D109" s="61"/>
      <c r="G109" s="62"/>
      <c r="H109" s="61"/>
    </row>
    <row r="110" ht="15.75" customHeight="1">
      <c r="D110" s="61"/>
      <c r="G110" s="62"/>
      <c r="H110" s="61"/>
    </row>
    <row r="111" ht="15.75" customHeight="1">
      <c r="D111" s="61"/>
      <c r="G111" s="62"/>
      <c r="H111" s="61"/>
    </row>
    <row r="112" ht="15.75" customHeight="1">
      <c r="D112" s="61"/>
      <c r="G112" s="62"/>
      <c r="H112" s="61"/>
    </row>
    <row r="113" ht="15.75" customHeight="1">
      <c r="D113" s="61"/>
      <c r="G113" s="62"/>
      <c r="H113" s="61"/>
    </row>
    <row r="114" ht="15.75" customHeight="1">
      <c r="D114" s="61"/>
      <c r="G114" s="62"/>
      <c r="H114" s="61"/>
    </row>
    <row r="115" ht="15.75" customHeight="1">
      <c r="D115" s="61"/>
      <c r="G115" s="62"/>
      <c r="H115" s="61"/>
    </row>
    <row r="116" ht="15.75" customHeight="1">
      <c r="D116" s="61"/>
      <c r="G116" s="62"/>
      <c r="H116" s="61"/>
    </row>
    <row r="117" ht="15.75" customHeight="1">
      <c r="D117" s="61"/>
      <c r="G117" s="62"/>
      <c r="H117" s="61"/>
    </row>
    <row r="118" ht="15.75" customHeight="1">
      <c r="D118" s="61"/>
      <c r="G118" s="62"/>
      <c r="H118" s="61"/>
    </row>
    <row r="119" ht="15.75" customHeight="1">
      <c r="D119" s="61"/>
      <c r="G119" s="62"/>
      <c r="H119" s="61"/>
    </row>
    <row r="120" ht="15.75" customHeight="1">
      <c r="D120" s="61"/>
      <c r="G120" s="62"/>
      <c r="H120" s="61"/>
    </row>
    <row r="121" ht="15.75" customHeight="1">
      <c r="D121" s="61"/>
      <c r="G121" s="62"/>
      <c r="H121" s="61"/>
    </row>
    <row r="122" ht="15.75" customHeight="1">
      <c r="D122" s="61"/>
      <c r="G122" s="62"/>
      <c r="H122" s="61"/>
    </row>
    <row r="123" ht="15.75" customHeight="1">
      <c r="D123" s="61"/>
      <c r="G123" s="62"/>
      <c r="H123" s="61"/>
    </row>
    <row r="124" ht="15.75" customHeight="1">
      <c r="D124" s="61"/>
      <c r="G124" s="62"/>
      <c r="H124" s="61"/>
    </row>
    <row r="125" ht="15.75" customHeight="1">
      <c r="D125" s="61"/>
      <c r="G125" s="62"/>
      <c r="H125" s="61"/>
    </row>
    <row r="126" ht="15.75" customHeight="1">
      <c r="D126" s="61"/>
      <c r="G126" s="62"/>
      <c r="H126" s="61"/>
    </row>
    <row r="127" ht="15.75" customHeight="1">
      <c r="D127" s="61"/>
      <c r="G127" s="62"/>
      <c r="H127" s="61"/>
    </row>
    <row r="128" ht="15.75" customHeight="1">
      <c r="D128" s="61"/>
      <c r="G128" s="62"/>
      <c r="H128" s="61"/>
    </row>
    <row r="129" ht="15.75" customHeight="1">
      <c r="D129" s="61"/>
      <c r="G129" s="62"/>
      <c r="H129" s="61"/>
    </row>
    <row r="130" ht="15.75" customHeight="1">
      <c r="D130" s="61"/>
      <c r="G130" s="62"/>
      <c r="H130" s="61"/>
    </row>
    <row r="131" ht="15.75" customHeight="1">
      <c r="D131" s="61"/>
      <c r="G131" s="62"/>
      <c r="H131" s="61"/>
    </row>
    <row r="132" ht="15.75" customHeight="1">
      <c r="D132" s="61"/>
      <c r="G132" s="62"/>
      <c r="H132" s="61"/>
    </row>
    <row r="133" ht="15.75" customHeight="1">
      <c r="D133" s="61"/>
      <c r="G133" s="62"/>
      <c r="H133" s="61"/>
    </row>
    <row r="134" ht="15.75" customHeight="1">
      <c r="D134" s="61"/>
      <c r="G134" s="62"/>
      <c r="H134" s="61"/>
    </row>
    <row r="135" ht="15.75" customHeight="1">
      <c r="D135" s="61"/>
      <c r="G135" s="62"/>
      <c r="H135" s="61"/>
    </row>
    <row r="136" ht="15.75" customHeight="1">
      <c r="D136" s="61"/>
      <c r="G136" s="62"/>
      <c r="H136" s="61"/>
    </row>
    <row r="137" ht="15.75" customHeight="1">
      <c r="D137" s="61"/>
      <c r="G137" s="62"/>
      <c r="H137" s="61"/>
    </row>
    <row r="138" ht="15.75" customHeight="1">
      <c r="D138" s="61"/>
      <c r="G138" s="62"/>
      <c r="H138" s="61"/>
    </row>
    <row r="139" ht="15.75" customHeight="1">
      <c r="D139" s="61"/>
      <c r="G139" s="62"/>
      <c r="H139" s="61"/>
    </row>
    <row r="140" ht="15.75" customHeight="1">
      <c r="D140" s="61"/>
      <c r="G140" s="62"/>
      <c r="H140" s="61"/>
    </row>
    <row r="141" ht="15.75" customHeight="1">
      <c r="D141" s="61"/>
      <c r="G141" s="62"/>
      <c r="H141" s="61"/>
    </row>
    <row r="142" ht="15.75" customHeight="1">
      <c r="D142" s="61"/>
      <c r="G142" s="62"/>
      <c r="H142" s="61"/>
    </row>
    <row r="143" ht="15.75" customHeight="1">
      <c r="D143" s="61"/>
      <c r="G143" s="62"/>
      <c r="H143" s="61"/>
    </row>
    <row r="144" ht="15.75" customHeight="1">
      <c r="D144" s="61"/>
      <c r="G144" s="62"/>
      <c r="H144" s="61"/>
    </row>
    <row r="145" ht="15.75" customHeight="1">
      <c r="D145" s="61"/>
      <c r="G145" s="62"/>
      <c r="H145" s="61"/>
    </row>
    <row r="146" ht="15.75" customHeight="1">
      <c r="D146" s="61"/>
      <c r="G146" s="62"/>
      <c r="H146" s="61"/>
    </row>
    <row r="147" ht="15.75" customHeight="1">
      <c r="D147" s="61"/>
      <c r="G147" s="62"/>
      <c r="H147" s="61"/>
    </row>
    <row r="148" ht="15.75" customHeight="1">
      <c r="D148" s="61"/>
      <c r="G148" s="62"/>
      <c r="H148" s="61"/>
    </row>
    <row r="149" ht="15.75" customHeight="1">
      <c r="D149" s="61"/>
      <c r="G149" s="62"/>
      <c r="H149" s="61"/>
    </row>
    <row r="150" ht="15.75" customHeight="1">
      <c r="D150" s="61"/>
      <c r="G150" s="62"/>
      <c r="H150" s="61"/>
    </row>
    <row r="151" ht="15.75" customHeight="1">
      <c r="D151" s="61"/>
      <c r="G151" s="62"/>
      <c r="H151" s="61"/>
    </row>
    <row r="152" ht="15.75" customHeight="1">
      <c r="D152" s="61"/>
      <c r="G152" s="62"/>
      <c r="H152" s="61"/>
    </row>
    <row r="153" ht="15.75" customHeight="1">
      <c r="D153" s="61"/>
      <c r="G153" s="62"/>
      <c r="H153" s="61"/>
    </row>
    <row r="154" ht="15.75" customHeight="1">
      <c r="D154" s="61"/>
      <c r="G154" s="62"/>
      <c r="H154" s="61"/>
    </row>
    <row r="155" ht="15.75" customHeight="1">
      <c r="D155" s="61"/>
      <c r="G155" s="62"/>
      <c r="H155" s="61"/>
    </row>
    <row r="156" ht="15.75" customHeight="1">
      <c r="D156" s="61"/>
      <c r="G156" s="62"/>
      <c r="H156" s="61"/>
    </row>
    <row r="157" ht="15.75" customHeight="1">
      <c r="D157" s="61"/>
      <c r="G157" s="62"/>
      <c r="H157" s="61"/>
    </row>
    <row r="158" ht="15.75" customHeight="1">
      <c r="D158" s="61"/>
      <c r="G158" s="62"/>
      <c r="H158" s="61"/>
    </row>
    <row r="159" ht="15.75" customHeight="1">
      <c r="D159" s="61"/>
      <c r="G159" s="62"/>
      <c r="H159" s="61"/>
    </row>
    <row r="160" ht="15.75" customHeight="1">
      <c r="D160" s="61"/>
      <c r="G160" s="62"/>
      <c r="H160" s="61"/>
    </row>
    <row r="161" ht="15.75" customHeight="1">
      <c r="D161" s="61"/>
      <c r="G161" s="62"/>
      <c r="H161" s="61"/>
    </row>
    <row r="162" ht="15.75" customHeight="1">
      <c r="D162" s="61"/>
      <c r="G162" s="62"/>
      <c r="H162" s="61"/>
    </row>
    <row r="163" ht="15.75" customHeight="1">
      <c r="D163" s="61"/>
      <c r="G163" s="62"/>
      <c r="H163" s="61"/>
    </row>
    <row r="164" ht="15.75" customHeight="1">
      <c r="D164" s="61"/>
      <c r="G164" s="62"/>
      <c r="H164" s="61"/>
    </row>
    <row r="165" ht="15.75" customHeight="1">
      <c r="D165" s="61"/>
      <c r="G165" s="62"/>
      <c r="H165" s="61"/>
    </row>
    <row r="166" ht="15.75" customHeight="1">
      <c r="D166" s="61"/>
      <c r="G166" s="62"/>
      <c r="H166" s="61"/>
    </row>
    <row r="167" ht="15.75" customHeight="1">
      <c r="D167" s="61"/>
      <c r="G167" s="62"/>
      <c r="H167" s="61"/>
    </row>
    <row r="168" ht="15.75" customHeight="1">
      <c r="D168" s="61"/>
      <c r="G168" s="62"/>
      <c r="H168" s="61"/>
    </row>
    <row r="169" ht="15.75" customHeight="1">
      <c r="D169" s="61"/>
      <c r="G169" s="62"/>
      <c r="H169" s="61"/>
    </row>
    <row r="170" ht="15.75" customHeight="1">
      <c r="D170" s="61"/>
      <c r="G170" s="62"/>
      <c r="H170" s="61"/>
    </row>
    <row r="171" ht="15.75" customHeight="1">
      <c r="D171" s="61"/>
      <c r="G171" s="62"/>
      <c r="H171" s="61"/>
    </row>
    <row r="172" ht="15.75" customHeight="1">
      <c r="D172" s="61"/>
      <c r="G172" s="62"/>
      <c r="H172" s="61"/>
    </row>
    <row r="173" ht="15.75" customHeight="1">
      <c r="D173" s="61"/>
      <c r="G173" s="62"/>
      <c r="H173" s="61"/>
    </row>
    <row r="174" ht="15.75" customHeight="1">
      <c r="D174" s="61"/>
      <c r="G174" s="62"/>
      <c r="H174" s="61"/>
    </row>
    <row r="175" ht="15.75" customHeight="1">
      <c r="D175" s="61"/>
      <c r="G175" s="62"/>
      <c r="H175" s="61"/>
    </row>
    <row r="176" ht="15.75" customHeight="1">
      <c r="D176" s="61"/>
      <c r="G176" s="62"/>
      <c r="H176" s="61"/>
    </row>
    <row r="177" ht="15.75" customHeight="1">
      <c r="D177" s="61"/>
      <c r="G177" s="62"/>
      <c r="H177" s="61"/>
    </row>
    <row r="178" ht="15.75" customHeight="1">
      <c r="D178" s="61"/>
      <c r="G178" s="62"/>
      <c r="H178" s="61"/>
    </row>
    <row r="179" ht="15.75" customHeight="1">
      <c r="D179" s="61"/>
      <c r="G179" s="62"/>
      <c r="H179" s="61"/>
    </row>
    <row r="180" ht="15.75" customHeight="1">
      <c r="D180" s="61"/>
      <c r="G180" s="62"/>
      <c r="H180" s="61"/>
    </row>
    <row r="181" ht="15.75" customHeight="1">
      <c r="D181" s="61"/>
      <c r="G181" s="62"/>
      <c r="H181" s="61"/>
    </row>
    <row r="182" ht="15.75" customHeight="1">
      <c r="D182" s="61"/>
      <c r="G182" s="62"/>
      <c r="H182" s="61"/>
    </row>
    <row r="183" ht="15.75" customHeight="1">
      <c r="D183" s="61"/>
      <c r="G183" s="62"/>
      <c r="H183" s="61"/>
    </row>
    <row r="184" ht="15.75" customHeight="1">
      <c r="D184" s="61"/>
      <c r="G184" s="62"/>
      <c r="H184" s="61"/>
    </row>
    <row r="185" ht="15.75" customHeight="1">
      <c r="D185" s="61"/>
      <c r="G185" s="62"/>
      <c r="H185" s="61"/>
    </row>
    <row r="186" ht="15.75" customHeight="1">
      <c r="D186" s="61"/>
      <c r="G186" s="62"/>
      <c r="H186" s="61"/>
    </row>
    <row r="187" ht="15.75" customHeight="1">
      <c r="D187" s="61"/>
      <c r="G187" s="62"/>
      <c r="H187" s="61"/>
    </row>
    <row r="188" ht="15.75" customHeight="1">
      <c r="D188" s="61"/>
      <c r="G188" s="62"/>
      <c r="H188" s="61"/>
    </row>
    <row r="189" ht="15.75" customHeight="1">
      <c r="D189" s="61"/>
      <c r="G189" s="62"/>
      <c r="H189" s="61"/>
    </row>
    <row r="190" ht="15.75" customHeight="1">
      <c r="D190" s="61"/>
      <c r="G190" s="62"/>
      <c r="H190" s="61"/>
    </row>
    <row r="191" ht="15.75" customHeight="1">
      <c r="D191" s="61"/>
      <c r="G191" s="62"/>
      <c r="H191" s="61"/>
    </row>
    <row r="192" ht="15.75" customHeight="1">
      <c r="D192" s="61"/>
      <c r="G192" s="62"/>
      <c r="H192" s="61"/>
    </row>
    <row r="193" ht="15.75" customHeight="1">
      <c r="D193" s="61"/>
      <c r="G193" s="62"/>
      <c r="H193" s="61"/>
    </row>
    <row r="194" ht="15.75" customHeight="1">
      <c r="D194" s="61"/>
      <c r="G194" s="62"/>
      <c r="H194" s="61"/>
    </row>
    <row r="195" ht="15.75" customHeight="1">
      <c r="D195" s="61"/>
      <c r="G195" s="62"/>
      <c r="H195" s="61"/>
    </row>
    <row r="196" ht="15.75" customHeight="1">
      <c r="D196" s="61"/>
      <c r="G196" s="62"/>
      <c r="H196" s="61"/>
    </row>
    <row r="197" ht="15.75" customHeight="1">
      <c r="D197" s="61"/>
      <c r="G197" s="62"/>
      <c r="H197" s="61"/>
    </row>
    <row r="198" ht="15.75" customHeight="1">
      <c r="D198" s="61"/>
      <c r="G198" s="62"/>
      <c r="H198" s="61"/>
    </row>
    <row r="199" ht="15.75" customHeight="1">
      <c r="D199" s="61"/>
      <c r="G199" s="62"/>
      <c r="H199" s="61"/>
    </row>
    <row r="200" ht="15.75" customHeight="1">
      <c r="D200" s="61"/>
      <c r="G200" s="62"/>
      <c r="H200" s="61"/>
    </row>
    <row r="201" ht="15.75" customHeight="1">
      <c r="D201" s="61"/>
      <c r="G201" s="62"/>
      <c r="H201" s="61"/>
    </row>
    <row r="202" ht="15.75" customHeight="1">
      <c r="D202" s="61"/>
      <c r="G202" s="62"/>
      <c r="H202" s="61"/>
    </row>
    <row r="203" ht="15.75" customHeight="1">
      <c r="D203" s="61"/>
      <c r="G203" s="62"/>
      <c r="H203" s="61"/>
    </row>
    <row r="204" ht="15.75" customHeight="1">
      <c r="D204" s="61"/>
      <c r="G204" s="62"/>
      <c r="H204" s="61"/>
    </row>
    <row r="205" ht="15.75" customHeight="1">
      <c r="D205" s="61"/>
      <c r="G205" s="62"/>
      <c r="H205" s="61"/>
    </row>
    <row r="206" ht="15.75" customHeight="1">
      <c r="D206" s="61"/>
      <c r="G206" s="62"/>
      <c r="H206" s="61"/>
    </row>
    <row r="207" ht="15.75" customHeight="1">
      <c r="D207" s="61"/>
      <c r="G207" s="62"/>
      <c r="H207" s="61"/>
    </row>
    <row r="208" ht="15.75" customHeight="1">
      <c r="D208" s="61"/>
      <c r="G208" s="62"/>
      <c r="H208" s="61"/>
    </row>
    <row r="209" ht="15.75" customHeight="1">
      <c r="D209" s="61"/>
      <c r="G209" s="62"/>
      <c r="H209" s="61"/>
    </row>
    <row r="210" ht="15.75" customHeight="1">
      <c r="D210" s="61"/>
      <c r="G210" s="62"/>
      <c r="H210" s="61"/>
    </row>
    <row r="211" ht="15.75" customHeight="1">
      <c r="D211" s="61"/>
      <c r="G211" s="62"/>
      <c r="H211" s="61"/>
    </row>
    <row r="212" ht="15.75" customHeight="1">
      <c r="D212" s="61"/>
      <c r="G212" s="62"/>
      <c r="H212" s="61"/>
    </row>
    <row r="213" ht="15.75" customHeight="1">
      <c r="D213" s="61"/>
      <c r="G213" s="62"/>
      <c r="H213" s="61"/>
    </row>
    <row r="214" ht="15.75" customHeight="1">
      <c r="D214" s="61"/>
      <c r="G214" s="62"/>
      <c r="H214" s="61"/>
    </row>
    <row r="215" ht="15.75" customHeight="1">
      <c r="D215" s="61"/>
      <c r="G215" s="62"/>
      <c r="H215" s="61"/>
    </row>
    <row r="216" ht="15.75" customHeight="1">
      <c r="D216" s="61"/>
      <c r="G216" s="62"/>
      <c r="H216" s="61"/>
    </row>
    <row r="217" ht="15.75" customHeight="1">
      <c r="D217" s="61"/>
      <c r="G217" s="62"/>
      <c r="H217" s="61"/>
    </row>
    <row r="218" ht="15.75" customHeight="1">
      <c r="D218" s="61"/>
      <c r="G218" s="62"/>
      <c r="H218" s="61"/>
    </row>
    <row r="219" ht="15.75" customHeight="1">
      <c r="D219" s="61"/>
      <c r="G219" s="62"/>
      <c r="H219" s="61"/>
    </row>
    <row r="220" ht="15.75" customHeight="1">
      <c r="D220" s="61"/>
      <c r="G220" s="62"/>
      <c r="H220" s="61"/>
    </row>
    <row r="221" ht="15.75" customHeight="1">
      <c r="D221" s="61"/>
      <c r="G221" s="62"/>
      <c r="H221" s="61"/>
    </row>
    <row r="222" ht="15.75" customHeight="1">
      <c r="D222" s="61"/>
      <c r="G222" s="62"/>
      <c r="H222" s="61"/>
    </row>
    <row r="223" ht="15.75" customHeight="1">
      <c r="D223" s="61"/>
      <c r="G223" s="62"/>
      <c r="H223" s="61"/>
    </row>
    <row r="224" ht="15.75" customHeight="1">
      <c r="D224" s="61"/>
      <c r="G224" s="62"/>
      <c r="H224" s="61"/>
    </row>
    <row r="225" ht="15.75" customHeight="1">
      <c r="D225" s="61"/>
      <c r="G225" s="62"/>
      <c r="H225" s="61"/>
    </row>
    <row r="226" ht="15.75" customHeight="1">
      <c r="D226" s="61"/>
      <c r="G226" s="62"/>
      <c r="H226" s="61"/>
    </row>
    <row r="227" ht="15.75" customHeight="1">
      <c r="D227" s="61"/>
      <c r="G227" s="62"/>
      <c r="H227" s="61"/>
    </row>
    <row r="228" ht="15.75" customHeight="1">
      <c r="D228" s="61"/>
      <c r="G228" s="62"/>
      <c r="H228" s="61"/>
    </row>
    <row r="229" ht="15.75" customHeight="1">
      <c r="D229" s="61"/>
      <c r="G229" s="62"/>
      <c r="H229" s="61"/>
    </row>
    <row r="230" ht="15.75" customHeight="1">
      <c r="D230" s="61"/>
      <c r="G230" s="62"/>
      <c r="H230" s="61"/>
    </row>
    <row r="231" ht="15.75" customHeight="1">
      <c r="D231" s="61"/>
      <c r="G231" s="62"/>
      <c r="H231" s="61"/>
    </row>
    <row r="232" ht="15.75" customHeight="1">
      <c r="D232" s="61"/>
      <c r="G232" s="62"/>
      <c r="H232" s="61"/>
    </row>
    <row r="233" ht="15.75" customHeight="1">
      <c r="D233" s="61"/>
      <c r="G233" s="62"/>
      <c r="H233" s="61"/>
    </row>
    <row r="234" ht="15.75" customHeight="1">
      <c r="D234" s="61"/>
      <c r="G234" s="62"/>
      <c r="H234" s="61"/>
    </row>
    <row r="235" ht="15.75" customHeight="1">
      <c r="D235" s="61"/>
      <c r="G235" s="62"/>
      <c r="H235" s="61"/>
    </row>
    <row r="236" ht="15.75" customHeight="1">
      <c r="D236" s="61"/>
      <c r="G236" s="62"/>
      <c r="H236" s="61"/>
    </row>
    <row r="237" ht="15.75" customHeight="1">
      <c r="D237" s="61"/>
      <c r="G237" s="62"/>
      <c r="H237" s="61"/>
    </row>
    <row r="238" ht="15.75" customHeight="1">
      <c r="D238" s="61"/>
      <c r="G238" s="62"/>
      <c r="H238" s="61"/>
    </row>
    <row r="239" ht="15.75" customHeight="1">
      <c r="D239" s="61"/>
      <c r="G239" s="62"/>
      <c r="H239" s="61"/>
    </row>
    <row r="240" ht="15.75" customHeight="1">
      <c r="D240" s="61"/>
      <c r="G240" s="62"/>
      <c r="H240" s="61"/>
    </row>
    <row r="241" ht="15.75" customHeight="1">
      <c r="D241" s="61"/>
      <c r="G241" s="62"/>
      <c r="H241" s="61"/>
    </row>
    <row r="242" ht="15.75" customHeight="1">
      <c r="D242" s="61"/>
      <c r="G242" s="62"/>
      <c r="H242" s="61"/>
    </row>
    <row r="243" ht="15.75" customHeight="1">
      <c r="D243" s="61"/>
      <c r="G243" s="62"/>
      <c r="H243" s="61"/>
    </row>
    <row r="244" ht="15.75" customHeight="1">
      <c r="D244" s="61"/>
      <c r="G244" s="62"/>
      <c r="H244" s="61"/>
    </row>
    <row r="245" ht="15.75" customHeight="1">
      <c r="D245" s="61"/>
      <c r="G245" s="62"/>
      <c r="H245" s="61"/>
    </row>
    <row r="246" ht="15.75" customHeight="1">
      <c r="D246" s="61"/>
      <c r="G246" s="62"/>
      <c r="H246" s="61"/>
    </row>
    <row r="247" ht="15.75" customHeight="1">
      <c r="D247" s="61"/>
      <c r="G247" s="62"/>
      <c r="H247" s="61"/>
    </row>
    <row r="248" ht="15.75" customHeight="1">
      <c r="D248" s="61"/>
      <c r="G248" s="62"/>
      <c r="H248" s="61"/>
    </row>
    <row r="249" ht="15.75" customHeight="1">
      <c r="D249" s="61"/>
      <c r="G249" s="62"/>
      <c r="H249" s="61"/>
    </row>
    <row r="250" ht="15.75" customHeight="1">
      <c r="D250" s="61"/>
      <c r="G250" s="62"/>
      <c r="H250" s="61"/>
    </row>
    <row r="251" ht="15.75" customHeight="1">
      <c r="D251" s="61"/>
      <c r="G251" s="62"/>
      <c r="H251" s="61"/>
    </row>
    <row r="252" ht="15.75" customHeight="1">
      <c r="D252" s="61"/>
      <c r="G252" s="62"/>
      <c r="H252" s="61"/>
    </row>
    <row r="253" ht="15.75" customHeight="1">
      <c r="D253" s="61"/>
      <c r="G253" s="62"/>
      <c r="H253" s="61"/>
    </row>
    <row r="254" ht="15.75" customHeight="1">
      <c r="D254" s="61"/>
      <c r="G254" s="62"/>
      <c r="H254" s="61"/>
    </row>
    <row r="255" ht="15.75" customHeight="1">
      <c r="D255" s="61"/>
      <c r="G255" s="62"/>
      <c r="H255" s="61"/>
    </row>
    <row r="256" ht="15.75" customHeight="1">
      <c r="D256" s="61"/>
      <c r="G256" s="62"/>
      <c r="H256" s="61"/>
    </row>
    <row r="257" ht="15.75" customHeight="1">
      <c r="D257" s="61"/>
      <c r="G257" s="62"/>
      <c r="H257" s="61"/>
    </row>
    <row r="258" ht="15.75" customHeight="1">
      <c r="D258" s="61"/>
      <c r="G258" s="62"/>
      <c r="H258" s="61"/>
    </row>
    <row r="259" ht="15.75" customHeight="1">
      <c r="D259" s="61"/>
      <c r="G259" s="62"/>
      <c r="H259" s="61"/>
    </row>
    <row r="260" ht="15.75" customHeight="1">
      <c r="D260" s="61"/>
      <c r="G260" s="62"/>
      <c r="H260" s="61"/>
    </row>
    <row r="261" ht="15.75" customHeight="1">
      <c r="D261" s="61"/>
      <c r="G261" s="62"/>
      <c r="H261" s="61"/>
    </row>
    <row r="262" ht="15.75" customHeight="1">
      <c r="D262" s="61"/>
      <c r="G262" s="62"/>
      <c r="H262" s="61"/>
    </row>
    <row r="263" ht="15.75" customHeight="1">
      <c r="D263" s="61"/>
      <c r="G263" s="62"/>
      <c r="H263" s="61"/>
    </row>
    <row r="264" ht="15.75" customHeight="1">
      <c r="D264" s="61"/>
      <c r="G264" s="62"/>
      <c r="H264" s="61"/>
    </row>
    <row r="265" ht="15.75" customHeight="1">
      <c r="D265" s="61"/>
      <c r="G265" s="62"/>
      <c r="H265" s="61"/>
    </row>
    <row r="266" ht="15.75" customHeight="1">
      <c r="D266" s="61"/>
      <c r="G266" s="62"/>
      <c r="H266" s="61"/>
    </row>
    <row r="267" ht="15.75" customHeight="1">
      <c r="D267" s="61"/>
      <c r="G267" s="62"/>
      <c r="H267" s="61"/>
    </row>
    <row r="268" ht="15.75" customHeight="1">
      <c r="D268" s="61"/>
      <c r="G268" s="62"/>
      <c r="H268" s="61"/>
    </row>
    <row r="269" ht="15.75" customHeight="1">
      <c r="D269" s="61"/>
      <c r="G269" s="62"/>
      <c r="H269" s="61"/>
    </row>
    <row r="270" ht="15.75" customHeight="1">
      <c r="D270" s="61"/>
      <c r="G270" s="62"/>
      <c r="H270" s="61"/>
    </row>
    <row r="271" ht="15.75" customHeight="1">
      <c r="D271" s="61"/>
      <c r="G271" s="62"/>
      <c r="H271" s="61"/>
    </row>
    <row r="272" ht="15.75" customHeight="1">
      <c r="D272" s="61"/>
      <c r="G272" s="62"/>
      <c r="H272" s="61"/>
    </row>
    <row r="273" ht="15.75" customHeight="1">
      <c r="D273" s="61"/>
      <c r="G273" s="62"/>
      <c r="H273" s="61"/>
    </row>
    <row r="274" ht="15.75" customHeight="1">
      <c r="D274" s="61"/>
      <c r="G274" s="62"/>
      <c r="H274" s="61"/>
    </row>
    <row r="275" ht="15.75" customHeight="1">
      <c r="D275" s="61"/>
      <c r="G275" s="62"/>
      <c r="H275" s="61"/>
    </row>
    <row r="276" ht="15.75" customHeight="1">
      <c r="D276" s="61"/>
      <c r="G276" s="62"/>
      <c r="H276" s="61"/>
    </row>
    <row r="277" ht="15.75" customHeight="1">
      <c r="D277" s="61"/>
      <c r="G277" s="62"/>
      <c r="H277" s="61"/>
    </row>
    <row r="278" ht="15.75" customHeight="1">
      <c r="D278" s="61"/>
      <c r="G278" s="62"/>
      <c r="H278" s="61"/>
    </row>
    <row r="279" ht="15.75" customHeight="1">
      <c r="D279" s="61"/>
      <c r="G279" s="62"/>
      <c r="H279" s="61"/>
    </row>
    <row r="280" ht="15.75" customHeight="1">
      <c r="D280" s="61"/>
      <c r="G280" s="62"/>
      <c r="H280" s="61"/>
    </row>
    <row r="281" ht="15.75" customHeight="1">
      <c r="D281" s="61"/>
      <c r="G281" s="62"/>
      <c r="H281" s="61"/>
    </row>
    <row r="282" ht="15.75" customHeight="1">
      <c r="D282" s="61"/>
      <c r="G282" s="62"/>
      <c r="H282" s="61"/>
    </row>
    <row r="283" ht="15.75" customHeight="1">
      <c r="D283" s="61"/>
      <c r="G283" s="62"/>
      <c r="H283" s="61"/>
    </row>
    <row r="284" ht="15.75" customHeight="1">
      <c r="D284" s="61"/>
      <c r="G284" s="62"/>
      <c r="H284" s="61"/>
    </row>
    <row r="285" ht="15.75" customHeight="1">
      <c r="D285" s="61"/>
      <c r="G285" s="62"/>
      <c r="H285" s="61"/>
    </row>
    <row r="286" ht="15.75" customHeight="1">
      <c r="D286" s="61"/>
      <c r="G286" s="62"/>
      <c r="H286" s="61"/>
    </row>
    <row r="287" ht="15.75" customHeight="1">
      <c r="D287" s="61"/>
      <c r="G287" s="62"/>
      <c r="H287" s="61"/>
    </row>
    <row r="288" ht="15.75" customHeight="1">
      <c r="D288" s="61"/>
      <c r="G288" s="62"/>
      <c r="H288" s="61"/>
    </row>
    <row r="289" ht="15.75" customHeight="1">
      <c r="D289" s="61"/>
      <c r="G289" s="62"/>
      <c r="H289" s="61"/>
    </row>
    <row r="290" ht="15.75" customHeight="1">
      <c r="D290" s="61"/>
      <c r="G290" s="62"/>
      <c r="H290" s="61"/>
    </row>
    <row r="291" ht="15.75" customHeight="1">
      <c r="D291" s="61"/>
      <c r="G291" s="62"/>
      <c r="H291" s="61"/>
    </row>
    <row r="292" ht="15.75" customHeight="1">
      <c r="D292" s="61"/>
      <c r="G292" s="62"/>
      <c r="H292" s="61"/>
    </row>
    <row r="293" ht="15.75" customHeight="1">
      <c r="D293" s="61"/>
      <c r="G293" s="62"/>
      <c r="H293" s="61"/>
    </row>
    <row r="294" ht="15.75" customHeight="1">
      <c r="D294" s="61"/>
      <c r="G294" s="62"/>
      <c r="H294" s="61"/>
    </row>
    <row r="295" ht="15.75" customHeight="1">
      <c r="D295" s="61"/>
      <c r="G295" s="62"/>
      <c r="H295" s="61"/>
    </row>
    <row r="296" ht="15.75" customHeight="1">
      <c r="D296" s="61"/>
      <c r="G296" s="62"/>
      <c r="H296" s="61"/>
    </row>
    <row r="297" ht="15.75" customHeight="1">
      <c r="D297" s="61"/>
      <c r="G297" s="62"/>
      <c r="H297" s="61"/>
    </row>
    <row r="298" ht="15.75" customHeight="1">
      <c r="D298" s="61"/>
      <c r="G298" s="62"/>
      <c r="H298" s="61"/>
    </row>
    <row r="299" ht="15.75" customHeight="1">
      <c r="D299" s="61"/>
      <c r="G299" s="62"/>
      <c r="H299" s="61"/>
    </row>
    <row r="300" ht="15.75" customHeight="1">
      <c r="D300" s="61"/>
      <c r="G300" s="62"/>
      <c r="H300" s="61"/>
    </row>
    <row r="301" ht="15.75" customHeight="1">
      <c r="D301" s="61"/>
      <c r="G301" s="62"/>
      <c r="H301" s="61"/>
    </row>
    <row r="302" ht="15.75" customHeight="1">
      <c r="D302" s="61"/>
      <c r="G302" s="62"/>
      <c r="H302" s="61"/>
    </row>
    <row r="303" ht="15.75" customHeight="1">
      <c r="D303" s="61"/>
      <c r="G303" s="62"/>
      <c r="H303" s="61"/>
    </row>
    <row r="304" ht="15.75" customHeight="1">
      <c r="D304" s="61"/>
      <c r="G304" s="62"/>
      <c r="H304" s="61"/>
    </row>
    <row r="305" ht="15.75" customHeight="1">
      <c r="D305" s="20"/>
      <c r="G305" s="26"/>
      <c r="H305" s="20"/>
    </row>
    <row r="306" ht="15.75" customHeight="1">
      <c r="D306" s="20"/>
      <c r="G306" s="26"/>
      <c r="H306" s="20"/>
    </row>
    <row r="307" ht="15.75" customHeight="1">
      <c r="D307" s="20"/>
      <c r="G307" s="26"/>
      <c r="H307" s="20"/>
    </row>
    <row r="308" ht="15.75" customHeight="1">
      <c r="D308" s="20"/>
      <c r="G308" s="26"/>
      <c r="H308" s="20"/>
    </row>
    <row r="309" ht="15.75" customHeight="1">
      <c r="D309" s="20"/>
      <c r="G309" s="26"/>
      <c r="H309" s="20"/>
    </row>
    <row r="310" ht="15.75" customHeight="1">
      <c r="D310" s="20"/>
      <c r="G310" s="26"/>
      <c r="H310" s="20"/>
    </row>
    <row r="311" ht="15.75" customHeight="1">
      <c r="D311" s="20"/>
      <c r="G311" s="26"/>
      <c r="H311" s="20"/>
    </row>
    <row r="312" ht="15.75" customHeight="1">
      <c r="D312" s="20"/>
      <c r="G312" s="26"/>
      <c r="H312" s="20"/>
    </row>
    <row r="313" ht="15.75" customHeight="1">
      <c r="D313" s="20"/>
      <c r="G313" s="26"/>
      <c r="H313" s="20"/>
    </row>
    <row r="314" ht="15.75" customHeight="1">
      <c r="D314" s="20"/>
      <c r="G314" s="26"/>
      <c r="H314" s="20"/>
    </row>
    <row r="315" ht="15.75" customHeight="1">
      <c r="D315" s="20"/>
      <c r="G315" s="26"/>
      <c r="H315" s="20"/>
    </row>
    <row r="316" ht="15.75" customHeight="1">
      <c r="D316" s="20"/>
      <c r="G316" s="26"/>
      <c r="H316" s="20"/>
    </row>
    <row r="317" ht="15.75" customHeight="1">
      <c r="D317" s="20"/>
      <c r="G317" s="26"/>
      <c r="H317" s="20"/>
    </row>
    <row r="318" ht="15.75" customHeight="1">
      <c r="D318" s="20"/>
      <c r="G318" s="26"/>
      <c r="H318" s="20"/>
    </row>
    <row r="319" ht="15.75" customHeight="1">
      <c r="D319" s="20"/>
      <c r="G319" s="26"/>
      <c r="H319" s="20"/>
    </row>
    <row r="320" ht="15.75" customHeight="1">
      <c r="D320" s="20"/>
      <c r="G320" s="26"/>
      <c r="H320" s="20"/>
    </row>
    <row r="321" ht="15.75" customHeight="1">
      <c r="D321" s="20"/>
      <c r="G321" s="26"/>
      <c r="H321" s="20"/>
    </row>
    <row r="322" ht="15.75" customHeight="1">
      <c r="D322" s="20"/>
      <c r="G322" s="26"/>
      <c r="H322" s="20"/>
    </row>
    <row r="323" ht="15.75" customHeight="1">
      <c r="D323" s="20"/>
      <c r="G323" s="26"/>
      <c r="H323" s="20"/>
    </row>
    <row r="324" ht="15.75" customHeight="1">
      <c r="D324" s="20"/>
      <c r="G324" s="26"/>
      <c r="H324" s="20"/>
    </row>
    <row r="325" ht="15.75" customHeight="1">
      <c r="D325" s="20"/>
      <c r="G325" s="26"/>
      <c r="H325" s="20"/>
    </row>
    <row r="326" ht="15.75" customHeight="1">
      <c r="D326" s="20"/>
      <c r="G326" s="26"/>
      <c r="H326" s="20"/>
    </row>
    <row r="327" ht="15.75" customHeight="1">
      <c r="D327" s="20"/>
      <c r="G327" s="26"/>
      <c r="H327" s="20"/>
    </row>
    <row r="328" ht="15.75" customHeight="1">
      <c r="D328" s="20"/>
      <c r="G328" s="26"/>
      <c r="H328" s="20"/>
    </row>
    <row r="329" ht="15.75" customHeight="1">
      <c r="D329" s="20"/>
      <c r="G329" s="26"/>
      <c r="H329" s="20"/>
    </row>
    <row r="330" ht="15.75" customHeight="1">
      <c r="D330" s="20"/>
      <c r="G330" s="26"/>
      <c r="H330" s="20"/>
    </row>
    <row r="331" ht="15.75" customHeight="1">
      <c r="D331" s="20"/>
      <c r="G331" s="26"/>
      <c r="H331" s="20"/>
    </row>
    <row r="332" ht="15.75" customHeight="1">
      <c r="D332" s="20"/>
      <c r="G332" s="26"/>
      <c r="H332" s="20"/>
    </row>
    <row r="333" ht="15.75" customHeight="1">
      <c r="D333" s="20"/>
      <c r="G333" s="26"/>
      <c r="H333" s="20"/>
    </row>
    <row r="334" ht="15.75" customHeight="1">
      <c r="D334" s="20"/>
      <c r="G334" s="26"/>
      <c r="H334" s="20"/>
    </row>
    <row r="335" ht="15.75" customHeight="1">
      <c r="D335" s="20"/>
      <c r="G335" s="26"/>
      <c r="H335" s="20"/>
    </row>
    <row r="336" ht="15.75" customHeight="1">
      <c r="D336" s="20"/>
      <c r="G336" s="26"/>
      <c r="H336" s="20"/>
    </row>
    <row r="337" ht="15.75" customHeight="1">
      <c r="D337" s="20"/>
      <c r="G337" s="26"/>
      <c r="H337" s="20"/>
    </row>
    <row r="338" ht="15.75" customHeight="1">
      <c r="D338" s="20"/>
      <c r="G338" s="26"/>
      <c r="H338" s="20"/>
    </row>
    <row r="339" ht="15.75" customHeight="1">
      <c r="D339" s="20"/>
      <c r="G339" s="26"/>
      <c r="H339" s="20"/>
    </row>
    <row r="340" ht="15.75" customHeight="1">
      <c r="D340" s="20"/>
      <c r="G340" s="26"/>
      <c r="H340" s="20"/>
    </row>
    <row r="341" ht="15.75" customHeight="1">
      <c r="D341" s="20"/>
      <c r="G341" s="26"/>
      <c r="H341" s="20"/>
    </row>
    <row r="342" ht="15.75" customHeight="1">
      <c r="D342" s="20"/>
      <c r="G342" s="26"/>
      <c r="H342" s="20"/>
    </row>
    <row r="343" ht="15.75" customHeight="1">
      <c r="D343" s="20"/>
      <c r="G343" s="26"/>
      <c r="H343" s="20"/>
    </row>
    <row r="344" ht="15.75" customHeight="1">
      <c r="D344" s="20"/>
      <c r="G344" s="26"/>
      <c r="H344" s="20"/>
    </row>
    <row r="345" ht="15.75" customHeight="1">
      <c r="D345" s="20"/>
      <c r="G345" s="26"/>
      <c r="H345" s="20"/>
    </row>
    <row r="346" ht="15.75" customHeight="1">
      <c r="D346" s="20"/>
      <c r="G346" s="26"/>
      <c r="H346" s="20"/>
    </row>
    <row r="347" ht="15.75" customHeight="1">
      <c r="D347" s="20"/>
      <c r="G347" s="26"/>
      <c r="H347" s="20"/>
    </row>
    <row r="348" ht="15.75" customHeight="1">
      <c r="D348" s="20"/>
      <c r="G348" s="26"/>
      <c r="H348" s="20"/>
    </row>
    <row r="349" ht="15.75" customHeight="1">
      <c r="D349" s="20"/>
      <c r="G349" s="26"/>
      <c r="H349" s="20"/>
    </row>
    <row r="350" ht="15.75" customHeight="1">
      <c r="D350" s="20"/>
      <c r="G350" s="26"/>
      <c r="H350" s="20"/>
    </row>
    <row r="351" ht="15.75" customHeight="1">
      <c r="D351" s="20"/>
      <c r="G351" s="26"/>
      <c r="H351" s="20"/>
    </row>
    <row r="352" ht="15.75" customHeight="1">
      <c r="D352" s="20"/>
      <c r="G352" s="26"/>
      <c r="H352" s="20"/>
    </row>
    <row r="353" ht="15.75" customHeight="1">
      <c r="D353" s="20"/>
      <c r="G353" s="26"/>
      <c r="H353" s="20"/>
    </row>
    <row r="354" ht="15.75" customHeight="1">
      <c r="D354" s="20"/>
      <c r="G354" s="26"/>
      <c r="H354" s="20"/>
    </row>
    <row r="355" ht="15.75" customHeight="1">
      <c r="D355" s="20"/>
      <c r="G355" s="26"/>
      <c r="H355" s="20"/>
    </row>
    <row r="356" ht="15.75" customHeight="1">
      <c r="D356" s="20"/>
      <c r="G356" s="26"/>
      <c r="H356" s="20"/>
    </row>
    <row r="357" ht="15.75" customHeight="1">
      <c r="D357" s="20"/>
      <c r="G357" s="26"/>
      <c r="H357" s="20"/>
    </row>
    <row r="358" ht="15.75" customHeight="1">
      <c r="D358" s="20"/>
      <c r="G358" s="26"/>
      <c r="H358" s="20"/>
    </row>
    <row r="359" ht="15.75" customHeight="1">
      <c r="D359" s="20"/>
      <c r="G359" s="26"/>
      <c r="H359" s="20"/>
    </row>
    <row r="360" ht="15.75" customHeight="1">
      <c r="D360" s="20"/>
      <c r="G360" s="26"/>
      <c r="H360" s="20"/>
    </row>
    <row r="361" ht="15.75" customHeight="1">
      <c r="D361" s="20"/>
      <c r="G361" s="26"/>
      <c r="H361" s="20"/>
    </row>
    <row r="362" ht="15.75" customHeight="1">
      <c r="D362" s="20"/>
      <c r="G362" s="26"/>
      <c r="H362" s="20"/>
    </row>
    <row r="363" ht="15.75" customHeight="1">
      <c r="D363" s="20"/>
      <c r="G363" s="26"/>
      <c r="H363" s="20"/>
    </row>
    <row r="364" ht="15.75" customHeight="1">
      <c r="D364" s="20"/>
      <c r="G364" s="26"/>
      <c r="H364" s="20"/>
    </row>
    <row r="365" ht="15.75" customHeight="1">
      <c r="D365" s="20"/>
      <c r="G365" s="26"/>
      <c r="H365" s="20"/>
    </row>
    <row r="366" ht="15.75" customHeight="1">
      <c r="D366" s="20"/>
      <c r="G366" s="26"/>
      <c r="H366" s="20"/>
    </row>
    <row r="367" ht="15.75" customHeight="1">
      <c r="D367" s="20"/>
      <c r="G367" s="26"/>
      <c r="H367" s="20"/>
    </row>
    <row r="368" ht="15.75" customHeight="1">
      <c r="D368" s="20"/>
      <c r="G368" s="26"/>
      <c r="H368" s="20"/>
    </row>
    <row r="369" ht="15.75" customHeight="1">
      <c r="D369" s="20"/>
      <c r="G369" s="26"/>
      <c r="H369" s="20"/>
    </row>
    <row r="370" ht="15.75" customHeight="1">
      <c r="D370" s="20"/>
      <c r="G370" s="26"/>
      <c r="H370" s="20"/>
    </row>
    <row r="371" ht="15.75" customHeight="1">
      <c r="D371" s="20"/>
      <c r="G371" s="26"/>
      <c r="H371" s="20"/>
    </row>
    <row r="372" ht="15.75" customHeight="1">
      <c r="D372" s="20"/>
      <c r="G372" s="26"/>
      <c r="H372" s="20"/>
    </row>
    <row r="373" ht="15.75" customHeight="1">
      <c r="D373" s="20"/>
      <c r="G373" s="26"/>
      <c r="H373" s="20"/>
    </row>
    <row r="374" ht="15.75" customHeight="1">
      <c r="D374" s="20"/>
      <c r="G374" s="26"/>
      <c r="H374" s="20"/>
    </row>
    <row r="375" ht="15.75" customHeight="1">
      <c r="D375" s="20"/>
      <c r="G375" s="26"/>
      <c r="H375" s="20"/>
    </row>
    <row r="376" ht="15.75" customHeight="1">
      <c r="D376" s="20"/>
      <c r="G376" s="26"/>
      <c r="H376" s="20"/>
    </row>
    <row r="377" ht="15.75" customHeight="1">
      <c r="D377" s="20"/>
      <c r="G377" s="26"/>
      <c r="H377" s="20"/>
    </row>
    <row r="378" ht="15.75" customHeight="1">
      <c r="D378" s="20"/>
      <c r="G378" s="26"/>
      <c r="H378" s="20"/>
    </row>
    <row r="379" ht="15.75" customHeight="1">
      <c r="D379" s="20"/>
      <c r="G379" s="26"/>
      <c r="H379" s="20"/>
    </row>
    <row r="380" ht="15.75" customHeight="1">
      <c r="D380" s="20"/>
      <c r="G380" s="26"/>
      <c r="H380" s="20"/>
    </row>
    <row r="381" ht="15.75" customHeight="1">
      <c r="D381" s="20"/>
      <c r="G381" s="26"/>
      <c r="H381" s="20"/>
    </row>
    <row r="382" ht="15.75" customHeight="1">
      <c r="D382" s="20"/>
      <c r="G382" s="26"/>
      <c r="H382" s="20"/>
    </row>
    <row r="383" ht="15.75" customHeight="1">
      <c r="D383" s="20"/>
      <c r="G383" s="26"/>
      <c r="H383" s="20"/>
    </row>
    <row r="384" ht="15.75" customHeight="1">
      <c r="D384" s="20"/>
      <c r="G384" s="26"/>
      <c r="H384" s="20"/>
    </row>
    <row r="385" ht="15.75" customHeight="1">
      <c r="D385" s="20"/>
      <c r="G385" s="26"/>
      <c r="H385" s="20"/>
    </row>
    <row r="386" ht="15.75" customHeight="1">
      <c r="D386" s="20"/>
      <c r="G386" s="26"/>
      <c r="H386" s="20"/>
    </row>
    <row r="387" ht="15.75" customHeight="1">
      <c r="D387" s="20"/>
      <c r="G387" s="26"/>
      <c r="H387" s="20"/>
    </row>
    <row r="388" ht="15.75" customHeight="1">
      <c r="D388" s="20"/>
      <c r="G388" s="26"/>
      <c r="H388" s="20"/>
    </row>
    <row r="389" ht="15.75" customHeight="1">
      <c r="D389" s="20"/>
      <c r="G389" s="26"/>
      <c r="H389" s="20"/>
    </row>
    <row r="390" ht="15.75" customHeight="1">
      <c r="D390" s="20"/>
      <c r="G390" s="26"/>
      <c r="H390" s="20"/>
    </row>
    <row r="391" ht="15.75" customHeight="1">
      <c r="D391" s="20"/>
      <c r="G391" s="26"/>
      <c r="H391" s="20"/>
    </row>
    <row r="392" ht="15.75" customHeight="1">
      <c r="D392" s="20"/>
      <c r="G392" s="26"/>
      <c r="H392" s="20"/>
    </row>
    <row r="393" ht="15.75" customHeight="1">
      <c r="D393" s="20"/>
      <c r="G393" s="26"/>
      <c r="H393" s="20"/>
    </row>
    <row r="394" ht="15.75" customHeight="1">
      <c r="D394" s="20"/>
      <c r="G394" s="26"/>
      <c r="H394" s="20"/>
    </row>
    <row r="395" ht="15.75" customHeight="1">
      <c r="D395" s="20"/>
      <c r="G395" s="26"/>
      <c r="H395" s="20"/>
    </row>
    <row r="396" ht="15.75" customHeight="1">
      <c r="D396" s="20"/>
      <c r="G396" s="26"/>
      <c r="H396" s="20"/>
    </row>
    <row r="397" ht="15.75" customHeight="1">
      <c r="D397" s="20"/>
      <c r="G397" s="26"/>
      <c r="H397" s="20"/>
    </row>
    <row r="398" ht="15.75" customHeight="1">
      <c r="D398" s="20"/>
      <c r="G398" s="26"/>
      <c r="H398" s="20"/>
    </row>
    <row r="399" ht="15.75" customHeight="1">
      <c r="D399" s="20"/>
      <c r="G399" s="26"/>
      <c r="H399" s="20"/>
    </row>
    <row r="400" ht="15.75" customHeight="1">
      <c r="D400" s="20"/>
      <c r="G400" s="26"/>
      <c r="H400" s="20"/>
    </row>
    <row r="401" ht="15.75" customHeight="1">
      <c r="D401" s="20"/>
      <c r="G401" s="26"/>
      <c r="H401" s="20"/>
    </row>
    <row r="402" ht="15.75" customHeight="1">
      <c r="D402" s="20"/>
      <c r="G402" s="26"/>
      <c r="H402" s="20"/>
    </row>
    <row r="403" ht="15.75" customHeight="1">
      <c r="D403" s="20"/>
      <c r="G403" s="26"/>
      <c r="H403" s="20"/>
    </row>
    <row r="404" ht="15.75" customHeight="1">
      <c r="D404" s="20"/>
      <c r="G404" s="26"/>
      <c r="H404" s="20"/>
    </row>
    <row r="405" ht="15.75" customHeight="1">
      <c r="D405" s="20"/>
      <c r="G405" s="26"/>
      <c r="H405" s="20"/>
    </row>
    <row r="406" ht="15.75" customHeight="1">
      <c r="D406" s="20"/>
      <c r="G406" s="26"/>
      <c r="H406" s="20"/>
    </row>
    <row r="407" ht="15.75" customHeight="1">
      <c r="D407" s="20"/>
      <c r="G407" s="26"/>
      <c r="H407" s="20"/>
    </row>
    <row r="408" ht="15.75" customHeight="1">
      <c r="D408" s="20"/>
      <c r="G408" s="26"/>
      <c r="H408" s="20"/>
    </row>
    <row r="409" ht="15.75" customHeight="1">
      <c r="D409" s="20"/>
      <c r="G409" s="26"/>
      <c r="H409" s="20"/>
    </row>
    <row r="410" ht="15.75" customHeight="1">
      <c r="D410" s="20"/>
      <c r="G410" s="26"/>
      <c r="H410" s="20"/>
    </row>
    <row r="411" ht="15.75" customHeight="1">
      <c r="D411" s="20"/>
      <c r="G411" s="26"/>
      <c r="H411" s="20"/>
    </row>
    <row r="412" ht="15.75" customHeight="1">
      <c r="D412" s="20"/>
      <c r="G412" s="26"/>
      <c r="H412" s="20"/>
    </row>
    <row r="413" ht="15.75" customHeight="1">
      <c r="D413" s="20"/>
      <c r="G413" s="26"/>
      <c r="H413" s="20"/>
    </row>
    <row r="414" ht="15.75" customHeight="1">
      <c r="D414" s="20"/>
      <c r="G414" s="26"/>
      <c r="H414" s="20"/>
    </row>
    <row r="415" ht="15.75" customHeight="1">
      <c r="D415" s="20"/>
      <c r="G415" s="26"/>
      <c r="H415" s="20"/>
    </row>
    <row r="416" ht="15.75" customHeight="1">
      <c r="D416" s="20"/>
      <c r="G416" s="26"/>
      <c r="H416" s="20"/>
    </row>
    <row r="417" ht="15.75" customHeight="1">
      <c r="D417" s="20"/>
      <c r="G417" s="26"/>
      <c r="H417" s="20"/>
    </row>
    <row r="418" ht="15.75" customHeight="1">
      <c r="D418" s="20"/>
      <c r="G418" s="26"/>
      <c r="H418" s="20"/>
    </row>
    <row r="419" ht="15.75" customHeight="1">
      <c r="D419" s="20"/>
      <c r="G419" s="26"/>
      <c r="H419" s="20"/>
    </row>
    <row r="420" ht="15.75" customHeight="1">
      <c r="D420" s="20"/>
      <c r="G420" s="26"/>
      <c r="H420" s="20"/>
    </row>
    <row r="421" ht="15.75" customHeight="1">
      <c r="D421" s="20"/>
      <c r="G421" s="26"/>
      <c r="H421" s="20"/>
    </row>
    <row r="422" ht="15.75" customHeight="1">
      <c r="D422" s="20"/>
      <c r="G422" s="26"/>
      <c r="H422" s="20"/>
    </row>
    <row r="423" ht="15.75" customHeight="1">
      <c r="D423" s="20"/>
      <c r="G423" s="26"/>
      <c r="H423" s="20"/>
    </row>
    <row r="424" ht="15.75" customHeight="1">
      <c r="D424" s="20"/>
      <c r="G424" s="26"/>
      <c r="H424" s="20"/>
    </row>
    <row r="425" ht="15.75" customHeight="1">
      <c r="D425" s="20"/>
      <c r="G425" s="26"/>
      <c r="H425" s="20"/>
    </row>
    <row r="426" ht="15.75" customHeight="1">
      <c r="D426" s="20"/>
      <c r="G426" s="26"/>
      <c r="H426" s="20"/>
    </row>
    <row r="427" ht="15.75" customHeight="1">
      <c r="D427" s="20"/>
      <c r="G427" s="26"/>
      <c r="H427" s="20"/>
    </row>
    <row r="428" ht="15.75" customHeight="1">
      <c r="D428" s="20"/>
      <c r="G428" s="26"/>
      <c r="H428" s="20"/>
    </row>
    <row r="429" ht="15.75" customHeight="1">
      <c r="D429" s="20"/>
      <c r="G429" s="26"/>
      <c r="H429" s="20"/>
    </row>
    <row r="430" ht="15.75" customHeight="1">
      <c r="D430" s="20"/>
      <c r="G430" s="26"/>
      <c r="H430" s="20"/>
    </row>
    <row r="431" ht="15.75" customHeight="1">
      <c r="D431" s="20"/>
      <c r="G431" s="26"/>
      <c r="H431" s="20"/>
    </row>
    <row r="432" ht="15.75" customHeight="1">
      <c r="D432" s="20"/>
      <c r="G432" s="26"/>
      <c r="H432" s="20"/>
    </row>
    <row r="433" ht="15.75" customHeight="1">
      <c r="D433" s="20"/>
      <c r="G433" s="26"/>
      <c r="H433" s="20"/>
    </row>
    <row r="434" ht="15.75" customHeight="1">
      <c r="D434" s="20"/>
      <c r="G434" s="26"/>
      <c r="H434" s="20"/>
    </row>
    <row r="435" ht="15.75" customHeight="1">
      <c r="D435" s="20"/>
      <c r="G435" s="26"/>
      <c r="H435" s="20"/>
    </row>
    <row r="436" ht="15.75" customHeight="1">
      <c r="D436" s="20"/>
      <c r="G436" s="26"/>
      <c r="H436" s="20"/>
    </row>
    <row r="437" ht="15.75" customHeight="1">
      <c r="D437" s="20"/>
      <c r="G437" s="26"/>
      <c r="H437" s="20"/>
    </row>
    <row r="438" ht="15.75" customHeight="1">
      <c r="D438" s="20"/>
      <c r="G438" s="26"/>
      <c r="H438" s="20"/>
    </row>
    <row r="439" ht="15.75" customHeight="1">
      <c r="D439" s="20"/>
      <c r="G439" s="26"/>
      <c r="H439" s="20"/>
    </row>
    <row r="440" ht="15.75" customHeight="1">
      <c r="D440" s="20"/>
      <c r="G440" s="26"/>
      <c r="H440" s="20"/>
    </row>
    <row r="441" ht="15.75" customHeight="1">
      <c r="D441" s="20"/>
      <c r="G441" s="26"/>
      <c r="H441" s="20"/>
    </row>
    <row r="442" ht="15.75" customHeight="1">
      <c r="D442" s="20"/>
      <c r="G442" s="26"/>
      <c r="H442" s="20"/>
    </row>
    <row r="443" ht="15.75" customHeight="1">
      <c r="D443" s="20"/>
      <c r="G443" s="26"/>
      <c r="H443" s="20"/>
    </row>
    <row r="444" ht="15.75" customHeight="1">
      <c r="D444" s="20"/>
      <c r="G444" s="26"/>
      <c r="H444" s="20"/>
    </row>
    <row r="445" ht="15.75" customHeight="1">
      <c r="D445" s="20"/>
      <c r="G445" s="26"/>
      <c r="H445" s="20"/>
    </row>
    <row r="446" ht="15.75" customHeight="1">
      <c r="D446" s="20"/>
      <c r="G446" s="26"/>
      <c r="H446" s="20"/>
    </row>
    <row r="447" ht="15.75" customHeight="1">
      <c r="D447" s="20"/>
      <c r="G447" s="26"/>
      <c r="H447" s="20"/>
    </row>
    <row r="448" ht="15.75" customHeight="1">
      <c r="D448" s="20"/>
      <c r="G448" s="26"/>
      <c r="H448" s="20"/>
    </row>
    <row r="449" ht="15.75" customHeight="1">
      <c r="D449" s="20"/>
      <c r="G449" s="26"/>
      <c r="H449" s="20"/>
    </row>
    <row r="450" ht="15.75" customHeight="1">
      <c r="D450" s="20"/>
      <c r="G450" s="26"/>
      <c r="H450" s="20"/>
    </row>
    <row r="451" ht="15.75" customHeight="1">
      <c r="D451" s="20"/>
      <c r="G451" s="26"/>
      <c r="H451" s="20"/>
    </row>
    <row r="452" ht="15.75" customHeight="1">
      <c r="D452" s="20"/>
      <c r="G452" s="26"/>
      <c r="H452" s="20"/>
    </row>
    <row r="453" ht="15.75" customHeight="1">
      <c r="D453" s="20"/>
      <c r="G453" s="26"/>
      <c r="H453" s="20"/>
    </row>
    <row r="454" ht="15.75" customHeight="1">
      <c r="D454" s="20"/>
      <c r="G454" s="26"/>
      <c r="H454" s="20"/>
    </row>
    <row r="455" ht="15.75" customHeight="1">
      <c r="D455" s="20"/>
      <c r="G455" s="26"/>
      <c r="H455" s="20"/>
    </row>
    <row r="456" ht="15.75" customHeight="1">
      <c r="D456" s="20"/>
      <c r="G456" s="26"/>
      <c r="H456" s="20"/>
    </row>
    <row r="457" ht="15.75" customHeight="1">
      <c r="D457" s="20"/>
      <c r="G457" s="26"/>
      <c r="H457" s="20"/>
    </row>
    <row r="458" ht="15.75" customHeight="1">
      <c r="D458" s="20"/>
      <c r="G458" s="26"/>
      <c r="H458" s="20"/>
    </row>
    <row r="459" ht="15.75" customHeight="1">
      <c r="D459" s="20"/>
      <c r="G459" s="26"/>
      <c r="H459" s="20"/>
    </row>
    <row r="460" ht="15.75" customHeight="1">
      <c r="D460" s="20"/>
      <c r="G460" s="26"/>
      <c r="H460" s="20"/>
    </row>
    <row r="461" ht="15.75" customHeight="1">
      <c r="D461" s="20"/>
      <c r="G461" s="26"/>
      <c r="H461" s="20"/>
    </row>
    <row r="462" ht="15.75" customHeight="1">
      <c r="D462" s="20"/>
      <c r="G462" s="26"/>
      <c r="H462" s="20"/>
    </row>
    <row r="463" ht="15.75" customHeight="1">
      <c r="D463" s="20"/>
      <c r="G463" s="26"/>
      <c r="H463" s="20"/>
    </row>
    <row r="464" ht="15.75" customHeight="1">
      <c r="D464" s="20"/>
      <c r="G464" s="26"/>
      <c r="H464" s="20"/>
    </row>
    <row r="465" ht="15.75" customHeight="1">
      <c r="D465" s="20"/>
      <c r="G465" s="26"/>
      <c r="H465" s="20"/>
    </row>
    <row r="466" ht="15.75" customHeight="1">
      <c r="D466" s="20"/>
      <c r="G466" s="26"/>
      <c r="H466" s="20"/>
    </row>
    <row r="467" ht="15.75" customHeight="1">
      <c r="D467" s="20"/>
      <c r="G467" s="26"/>
      <c r="H467" s="20"/>
    </row>
    <row r="468" ht="15.75" customHeight="1">
      <c r="D468" s="20"/>
      <c r="G468" s="26"/>
      <c r="H468" s="20"/>
    </row>
    <row r="469" ht="15.75" customHeight="1">
      <c r="D469" s="20"/>
      <c r="G469" s="26"/>
      <c r="H469" s="20"/>
    </row>
    <row r="470" ht="15.75" customHeight="1">
      <c r="D470" s="20"/>
      <c r="G470" s="26"/>
      <c r="H470" s="20"/>
    </row>
    <row r="471" ht="15.75" customHeight="1">
      <c r="D471" s="20"/>
      <c r="G471" s="26"/>
      <c r="H471" s="20"/>
    </row>
    <row r="472" ht="15.75" customHeight="1">
      <c r="D472" s="20"/>
      <c r="G472" s="26"/>
      <c r="H472" s="20"/>
    </row>
    <row r="473" ht="15.75" customHeight="1">
      <c r="D473" s="20"/>
      <c r="G473" s="26"/>
      <c r="H473" s="20"/>
    </row>
    <row r="474" ht="15.75" customHeight="1">
      <c r="D474" s="20"/>
      <c r="G474" s="26"/>
      <c r="H474" s="20"/>
    </row>
    <row r="475" ht="15.75" customHeight="1">
      <c r="D475" s="20"/>
      <c r="G475" s="26"/>
      <c r="H475" s="20"/>
    </row>
    <row r="476" ht="15.75" customHeight="1">
      <c r="D476" s="20"/>
      <c r="G476" s="26"/>
      <c r="H476" s="20"/>
    </row>
    <row r="477" ht="15.75" customHeight="1">
      <c r="D477" s="20"/>
      <c r="G477" s="26"/>
      <c r="H477" s="20"/>
    </row>
    <row r="478" ht="15.75" customHeight="1">
      <c r="D478" s="20"/>
      <c r="G478" s="26"/>
      <c r="H478" s="20"/>
    </row>
    <row r="479" ht="15.75" customHeight="1">
      <c r="D479" s="20"/>
      <c r="G479" s="26"/>
      <c r="H479" s="20"/>
    </row>
    <row r="480" ht="15.75" customHeight="1">
      <c r="D480" s="20"/>
      <c r="G480" s="26"/>
      <c r="H480" s="20"/>
    </row>
    <row r="481" ht="15.75" customHeight="1">
      <c r="D481" s="20"/>
      <c r="G481" s="26"/>
      <c r="H481" s="20"/>
    </row>
    <row r="482" ht="15.75" customHeight="1">
      <c r="D482" s="20"/>
      <c r="G482" s="26"/>
      <c r="H482" s="20"/>
    </row>
    <row r="483" ht="15.75" customHeight="1">
      <c r="D483" s="20"/>
      <c r="G483" s="26"/>
      <c r="H483" s="20"/>
    </row>
    <row r="484" ht="15.75" customHeight="1">
      <c r="D484" s="20"/>
      <c r="G484" s="26"/>
      <c r="H484" s="20"/>
    </row>
    <row r="485" ht="15.75" customHeight="1">
      <c r="D485" s="20"/>
      <c r="G485" s="26"/>
      <c r="H485" s="20"/>
    </row>
    <row r="486" ht="15.75" customHeight="1">
      <c r="D486" s="20"/>
      <c r="G486" s="26"/>
      <c r="H486" s="20"/>
    </row>
    <row r="487" ht="15.75" customHeight="1">
      <c r="D487" s="20"/>
      <c r="G487" s="26"/>
      <c r="H487" s="20"/>
    </row>
    <row r="488" ht="15.75" customHeight="1">
      <c r="D488" s="20"/>
      <c r="G488" s="26"/>
      <c r="H488" s="20"/>
    </row>
    <row r="489" ht="15.75" customHeight="1">
      <c r="D489" s="20"/>
      <c r="G489" s="26"/>
      <c r="H489" s="20"/>
    </row>
    <row r="490" ht="15.75" customHeight="1">
      <c r="D490" s="20"/>
      <c r="G490" s="26"/>
      <c r="H490" s="20"/>
    </row>
    <row r="491" ht="15.75" customHeight="1">
      <c r="D491" s="20"/>
      <c r="G491" s="26"/>
      <c r="H491" s="20"/>
    </row>
    <row r="492" ht="15.75" customHeight="1">
      <c r="D492" s="20"/>
      <c r="G492" s="26"/>
      <c r="H492" s="20"/>
    </row>
    <row r="493" ht="15.75" customHeight="1">
      <c r="D493" s="20"/>
      <c r="G493" s="26"/>
      <c r="H493" s="20"/>
    </row>
    <row r="494" ht="15.75" customHeight="1">
      <c r="D494" s="20"/>
      <c r="G494" s="26"/>
      <c r="H494" s="20"/>
    </row>
    <row r="495" ht="15.75" customHeight="1">
      <c r="D495" s="20"/>
      <c r="G495" s="26"/>
      <c r="H495" s="20"/>
    </row>
    <row r="496" ht="15.75" customHeight="1">
      <c r="D496" s="20"/>
      <c r="G496" s="26"/>
      <c r="H496" s="20"/>
    </row>
    <row r="497" ht="15.75" customHeight="1">
      <c r="D497" s="20"/>
      <c r="G497" s="26"/>
      <c r="H497" s="20"/>
    </row>
    <row r="498" ht="15.75" customHeight="1">
      <c r="D498" s="20"/>
      <c r="G498" s="26"/>
      <c r="H498" s="20"/>
    </row>
    <row r="499" ht="15.75" customHeight="1">
      <c r="D499" s="20"/>
      <c r="G499" s="26"/>
      <c r="H499" s="20"/>
    </row>
    <row r="500" ht="15.75" customHeight="1">
      <c r="D500" s="20"/>
      <c r="G500" s="26"/>
      <c r="H500" s="20"/>
    </row>
    <row r="501" ht="15.75" customHeight="1">
      <c r="D501" s="20"/>
      <c r="G501" s="26"/>
      <c r="H501" s="20"/>
    </row>
    <row r="502" ht="15.75" customHeight="1">
      <c r="D502" s="20"/>
      <c r="G502" s="26"/>
      <c r="H502" s="20"/>
    </row>
    <row r="503" ht="15.75" customHeight="1">
      <c r="D503" s="20"/>
      <c r="G503" s="26"/>
      <c r="H503" s="20"/>
    </row>
    <row r="504" ht="15.75" customHeight="1">
      <c r="D504" s="20"/>
      <c r="G504" s="26"/>
      <c r="H504" s="20"/>
    </row>
    <row r="505" ht="15.75" customHeight="1">
      <c r="D505" s="20"/>
      <c r="G505" s="26"/>
      <c r="H505" s="20"/>
    </row>
    <row r="506" ht="15.75" customHeight="1">
      <c r="D506" s="20"/>
      <c r="G506" s="26"/>
      <c r="H506" s="20"/>
    </row>
    <row r="507" ht="15.75" customHeight="1">
      <c r="D507" s="20"/>
      <c r="G507" s="26"/>
      <c r="H507" s="20"/>
    </row>
    <row r="508" ht="15.75" customHeight="1">
      <c r="D508" s="20"/>
      <c r="G508" s="26"/>
      <c r="H508" s="20"/>
    </row>
    <row r="509" ht="15.75" customHeight="1">
      <c r="D509" s="20"/>
      <c r="G509" s="26"/>
      <c r="H509" s="20"/>
    </row>
    <row r="510" ht="15.75" customHeight="1">
      <c r="D510" s="20"/>
      <c r="G510" s="26"/>
      <c r="H510" s="20"/>
    </row>
    <row r="511" ht="15.75" customHeight="1">
      <c r="D511" s="20"/>
      <c r="G511" s="26"/>
      <c r="H511" s="20"/>
    </row>
    <row r="512" ht="15.75" customHeight="1">
      <c r="D512" s="20"/>
      <c r="G512" s="26"/>
      <c r="H512" s="20"/>
    </row>
    <row r="513" ht="15.75" customHeight="1">
      <c r="D513" s="20"/>
      <c r="G513" s="26"/>
      <c r="H513" s="20"/>
    </row>
    <row r="514" ht="15.75" customHeight="1">
      <c r="D514" s="20"/>
      <c r="G514" s="26"/>
      <c r="H514" s="20"/>
    </row>
    <row r="515" ht="15.75" customHeight="1">
      <c r="D515" s="20"/>
      <c r="G515" s="26"/>
      <c r="H515" s="20"/>
    </row>
    <row r="516" ht="15.75" customHeight="1">
      <c r="D516" s="20"/>
      <c r="G516" s="26"/>
      <c r="H516" s="20"/>
    </row>
    <row r="517" ht="15.75" customHeight="1">
      <c r="D517" s="20"/>
      <c r="G517" s="26"/>
      <c r="H517" s="20"/>
    </row>
    <row r="518" ht="15.75" customHeight="1">
      <c r="D518" s="20"/>
      <c r="G518" s="26"/>
      <c r="H518" s="20"/>
    </row>
    <row r="519" ht="15.75" customHeight="1">
      <c r="D519" s="20"/>
      <c r="G519" s="26"/>
      <c r="H519" s="20"/>
    </row>
    <row r="520" ht="15.75" customHeight="1">
      <c r="D520" s="20"/>
      <c r="G520" s="26"/>
      <c r="H520" s="20"/>
    </row>
    <row r="521" ht="15.75" customHeight="1">
      <c r="D521" s="20"/>
      <c r="G521" s="26"/>
      <c r="H521" s="20"/>
    </row>
    <row r="522" ht="15.75" customHeight="1">
      <c r="D522" s="20"/>
      <c r="G522" s="26"/>
      <c r="H522" s="20"/>
    </row>
    <row r="523" ht="15.75" customHeight="1">
      <c r="D523" s="20"/>
      <c r="G523" s="26"/>
      <c r="H523" s="20"/>
    </row>
    <row r="524" ht="15.75" customHeight="1">
      <c r="D524" s="20"/>
      <c r="G524" s="26"/>
      <c r="H524" s="20"/>
    </row>
    <row r="525" ht="15.75" customHeight="1">
      <c r="D525" s="20"/>
      <c r="G525" s="26"/>
      <c r="H525" s="20"/>
    </row>
    <row r="526" ht="15.75" customHeight="1">
      <c r="D526" s="20"/>
      <c r="G526" s="26"/>
      <c r="H526" s="20"/>
    </row>
    <row r="527" ht="15.75" customHeight="1">
      <c r="D527" s="20"/>
      <c r="G527" s="26"/>
      <c r="H527" s="20"/>
    </row>
    <row r="528" ht="15.75" customHeight="1">
      <c r="D528" s="20"/>
      <c r="G528" s="26"/>
      <c r="H528" s="20"/>
    </row>
    <row r="529" ht="15.75" customHeight="1">
      <c r="D529" s="20"/>
      <c r="G529" s="26"/>
      <c r="H529" s="20"/>
    </row>
    <row r="530" ht="15.75" customHeight="1">
      <c r="D530" s="20"/>
      <c r="G530" s="26"/>
      <c r="H530" s="20"/>
    </row>
    <row r="531" ht="15.75" customHeight="1">
      <c r="D531" s="20"/>
      <c r="G531" s="26"/>
      <c r="H531" s="20"/>
    </row>
    <row r="532" ht="15.75" customHeight="1">
      <c r="D532" s="20"/>
      <c r="G532" s="26"/>
      <c r="H532" s="20"/>
    </row>
    <row r="533" ht="15.75" customHeight="1">
      <c r="D533" s="20"/>
      <c r="G533" s="26"/>
      <c r="H533" s="20"/>
    </row>
    <row r="534" ht="15.75" customHeight="1">
      <c r="D534" s="20"/>
      <c r="G534" s="26"/>
      <c r="H534" s="20"/>
    </row>
    <row r="535" ht="15.75" customHeight="1">
      <c r="D535" s="20"/>
      <c r="G535" s="26"/>
      <c r="H535" s="20"/>
    </row>
    <row r="536" ht="15.75" customHeight="1">
      <c r="D536" s="20"/>
      <c r="G536" s="26"/>
      <c r="H536" s="20"/>
    </row>
    <row r="537" ht="15.75" customHeight="1">
      <c r="D537" s="20"/>
      <c r="G537" s="26"/>
      <c r="H537" s="20"/>
    </row>
    <row r="538" ht="15.75" customHeight="1">
      <c r="D538" s="20"/>
      <c r="G538" s="26"/>
      <c r="H538" s="20"/>
    </row>
    <row r="539" ht="15.75" customHeight="1">
      <c r="D539" s="20"/>
      <c r="G539" s="26"/>
      <c r="H539" s="20"/>
    </row>
    <row r="540" ht="15.75" customHeight="1">
      <c r="D540" s="20"/>
      <c r="G540" s="26"/>
      <c r="H540" s="20"/>
    </row>
    <row r="541" ht="15.75" customHeight="1">
      <c r="D541" s="20"/>
      <c r="G541" s="26"/>
      <c r="H541" s="20"/>
    </row>
    <row r="542" ht="15.75" customHeight="1">
      <c r="D542" s="20"/>
      <c r="G542" s="26"/>
      <c r="H542" s="20"/>
    </row>
    <row r="543" ht="15.75" customHeight="1">
      <c r="D543" s="20"/>
      <c r="G543" s="26"/>
      <c r="H543" s="20"/>
    </row>
    <row r="544" ht="15.75" customHeight="1">
      <c r="D544" s="20"/>
      <c r="G544" s="26"/>
      <c r="H544" s="20"/>
    </row>
    <row r="545" ht="15.75" customHeight="1">
      <c r="D545" s="20"/>
      <c r="G545" s="26"/>
      <c r="H545" s="20"/>
    </row>
    <row r="546" ht="15.75" customHeight="1">
      <c r="D546" s="20"/>
      <c r="G546" s="26"/>
      <c r="H546" s="20"/>
    </row>
    <row r="547" ht="15.75" customHeight="1">
      <c r="D547" s="20"/>
      <c r="G547" s="26"/>
      <c r="H547" s="20"/>
    </row>
    <row r="548" ht="15.75" customHeight="1">
      <c r="D548" s="20"/>
      <c r="G548" s="26"/>
      <c r="H548" s="20"/>
    </row>
    <row r="549" ht="15.75" customHeight="1">
      <c r="D549" s="20"/>
      <c r="G549" s="26"/>
      <c r="H549" s="20"/>
    </row>
    <row r="550" ht="15.75" customHeight="1">
      <c r="D550" s="20"/>
      <c r="G550" s="26"/>
      <c r="H550" s="20"/>
    </row>
    <row r="551" ht="15.75" customHeight="1">
      <c r="D551" s="20"/>
      <c r="G551" s="26"/>
      <c r="H551" s="20"/>
    </row>
    <row r="552" ht="15.75" customHeight="1">
      <c r="D552" s="20"/>
      <c r="G552" s="26"/>
      <c r="H552" s="20"/>
    </row>
    <row r="553" ht="15.75" customHeight="1">
      <c r="D553" s="20"/>
      <c r="G553" s="26"/>
      <c r="H553" s="20"/>
    </row>
    <row r="554" ht="15.75" customHeight="1">
      <c r="D554" s="20"/>
      <c r="G554" s="26"/>
      <c r="H554" s="20"/>
    </row>
    <row r="555" ht="15.75" customHeight="1">
      <c r="D555" s="20"/>
      <c r="G555" s="26"/>
      <c r="H555" s="20"/>
    </row>
    <row r="556" ht="15.75" customHeight="1">
      <c r="D556" s="20"/>
      <c r="G556" s="26"/>
      <c r="H556" s="20"/>
    </row>
    <row r="557" ht="15.75" customHeight="1">
      <c r="D557" s="20"/>
      <c r="G557" s="26"/>
      <c r="H557" s="20"/>
    </row>
    <row r="558" ht="15.75" customHeight="1">
      <c r="D558" s="20"/>
      <c r="G558" s="26"/>
      <c r="H558" s="20"/>
    </row>
    <row r="559" ht="15.75" customHeight="1">
      <c r="D559" s="20"/>
      <c r="G559" s="26"/>
      <c r="H559" s="20"/>
    </row>
    <row r="560" ht="15.75" customHeight="1">
      <c r="D560" s="20"/>
      <c r="G560" s="26"/>
      <c r="H560" s="20"/>
    </row>
    <row r="561" ht="15.75" customHeight="1">
      <c r="D561" s="20"/>
      <c r="G561" s="26"/>
      <c r="H561" s="20"/>
    </row>
    <row r="562" ht="15.75" customHeight="1">
      <c r="D562" s="20"/>
      <c r="G562" s="26"/>
      <c r="H562" s="20"/>
    </row>
    <row r="563" ht="15.75" customHeight="1">
      <c r="D563" s="20"/>
      <c r="G563" s="26"/>
      <c r="H563" s="20"/>
    </row>
    <row r="564" ht="15.75" customHeight="1">
      <c r="D564" s="20"/>
      <c r="G564" s="26"/>
      <c r="H564" s="20"/>
    </row>
    <row r="565" ht="15.75" customHeight="1">
      <c r="D565" s="20"/>
      <c r="G565" s="26"/>
      <c r="H565" s="20"/>
    </row>
    <row r="566" ht="15.75" customHeight="1">
      <c r="D566" s="20"/>
      <c r="G566" s="26"/>
      <c r="H566" s="20"/>
    </row>
    <row r="567" ht="15.75" customHeight="1">
      <c r="D567" s="20"/>
      <c r="G567" s="26"/>
      <c r="H567" s="20"/>
    </row>
    <row r="568" ht="15.75" customHeight="1">
      <c r="D568" s="20"/>
      <c r="G568" s="26"/>
      <c r="H568" s="20"/>
    </row>
    <row r="569" ht="15.75" customHeight="1">
      <c r="D569" s="20"/>
      <c r="G569" s="26"/>
      <c r="H569" s="20"/>
    </row>
    <row r="570" ht="15.75" customHeight="1">
      <c r="D570" s="20"/>
      <c r="G570" s="26"/>
      <c r="H570" s="20"/>
    </row>
    <row r="571" ht="15.75" customHeight="1">
      <c r="D571" s="20"/>
      <c r="G571" s="26"/>
      <c r="H571" s="20"/>
    </row>
    <row r="572" ht="15.75" customHeight="1">
      <c r="D572" s="20"/>
      <c r="G572" s="26"/>
      <c r="H572" s="20"/>
    </row>
    <row r="573" ht="15.75" customHeight="1">
      <c r="D573" s="20"/>
      <c r="G573" s="26"/>
      <c r="H573" s="20"/>
    </row>
    <row r="574" ht="15.75" customHeight="1">
      <c r="D574" s="20"/>
      <c r="G574" s="26"/>
      <c r="H574" s="20"/>
    </row>
    <row r="575" ht="15.75" customHeight="1">
      <c r="D575" s="20"/>
      <c r="G575" s="26"/>
      <c r="H575" s="20"/>
    </row>
    <row r="576" ht="15.75" customHeight="1">
      <c r="D576" s="20"/>
      <c r="G576" s="26"/>
      <c r="H576" s="20"/>
    </row>
    <row r="577" ht="15.75" customHeight="1">
      <c r="D577" s="20"/>
      <c r="G577" s="26"/>
      <c r="H577" s="20"/>
    </row>
    <row r="578" ht="15.75" customHeight="1">
      <c r="D578" s="20"/>
      <c r="G578" s="26"/>
      <c r="H578" s="20"/>
    </row>
    <row r="579" ht="15.75" customHeight="1">
      <c r="D579" s="20"/>
      <c r="G579" s="26"/>
      <c r="H579" s="20"/>
    </row>
    <row r="580" ht="15.75" customHeight="1">
      <c r="D580" s="20"/>
      <c r="G580" s="26"/>
      <c r="H580" s="20"/>
    </row>
    <row r="581" ht="15.75" customHeight="1">
      <c r="D581" s="20"/>
      <c r="G581" s="26"/>
      <c r="H581" s="20"/>
    </row>
    <row r="582" ht="15.75" customHeight="1">
      <c r="D582" s="20"/>
      <c r="G582" s="26"/>
      <c r="H582" s="20"/>
    </row>
    <row r="583" ht="15.75" customHeight="1">
      <c r="D583" s="20"/>
      <c r="G583" s="26"/>
      <c r="H583" s="20"/>
    </row>
    <row r="584" ht="15.75" customHeight="1">
      <c r="D584" s="20"/>
      <c r="G584" s="26"/>
      <c r="H584" s="20"/>
    </row>
    <row r="585" ht="15.75" customHeight="1">
      <c r="D585" s="20"/>
      <c r="G585" s="26"/>
      <c r="H585" s="20"/>
    </row>
    <row r="586" ht="15.75" customHeight="1">
      <c r="D586" s="20"/>
      <c r="G586" s="26"/>
      <c r="H586" s="20"/>
    </row>
    <row r="587" ht="15.75" customHeight="1">
      <c r="D587" s="20"/>
      <c r="G587" s="26"/>
      <c r="H587" s="20"/>
    </row>
    <row r="588" ht="15.75" customHeight="1">
      <c r="D588" s="20"/>
      <c r="G588" s="26"/>
      <c r="H588" s="20"/>
    </row>
    <row r="589" ht="15.75" customHeight="1">
      <c r="D589" s="20"/>
      <c r="G589" s="26"/>
      <c r="H589" s="20"/>
    </row>
    <row r="590" ht="15.75" customHeight="1">
      <c r="D590" s="20"/>
      <c r="G590" s="26"/>
      <c r="H590" s="20"/>
    </row>
    <row r="591" ht="15.75" customHeight="1">
      <c r="D591" s="20"/>
      <c r="G591" s="26"/>
      <c r="H591" s="20"/>
    </row>
    <row r="592" ht="15.75" customHeight="1">
      <c r="D592" s="20"/>
      <c r="G592" s="26"/>
      <c r="H592" s="20"/>
    </row>
    <row r="593" ht="15.75" customHeight="1">
      <c r="D593" s="20"/>
      <c r="G593" s="26"/>
      <c r="H593" s="20"/>
    </row>
    <row r="594" ht="15.75" customHeight="1">
      <c r="D594" s="20"/>
      <c r="G594" s="26"/>
      <c r="H594" s="20"/>
    </row>
    <row r="595" ht="15.75" customHeight="1">
      <c r="D595" s="20"/>
      <c r="G595" s="26"/>
      <c r="H595" s="20"/>
    </row>
    <row r="596" ht="15.75" customHeight="1">
      <c r="D596" s="20"/>
      <c r="G596" s="26"/>
      <c r="H596" s="20"/>
    </row>
    <row r="597" ht="15.75" customHeight="1">
      <c r="D597" s="20"/>
      <c r="G597" s="26"/>
      <c r="H597" s="20"/>
    </row>
    <row r="598" ht="15.75" customHeight="1">
      <c r="D598" s="20"/>
      <c r="G598" s="26"/>
      <c r="H598" s="20"/>
    </row>
    <row r="599" ht="15.75" customHeight="1">
      <c r="D599" s="20"/>
      <c r="G599" s="26"/>
      <c r="H599" s="20"/>
    </row>
    <row r="600" ht="15.75" customHeight="1">
      <c r="D600" s="20"/>
      <c r="G600" s="26"/>
      <c r="H600" s="20"/>
    </row>
    <row r="601" ht="15.75" customHeight="1">
      <c r="D601" s="20"/>
      <c r="G601" s="26"/>
      <c r="H601" s="20"/>
    </row>
    <row r="602" ht="15.75" customHeight="1">
      <c r="D602" s="20"/>
      <c r="G602" s="26"/>
      <c r="H602" s="20"/>
    </row>
    <row r="603" ht="15.75" customHeight="1">
      <c r="D603" s="20"/>
      <c r="G603" s="26"/>
      <c r="H603" s="20"/>
    </row>
    <row r="604" ht="15.75" customHeight="1">
      <c r="D604" s="20"/>
      <c r="G604" s="26"/>
      <c r="H604" s="20"/>
    </row>
    <row r="605" ht="15.75" customHeight="1">
      <c r="D605" s="20"/>
      <c r="G605" s="26"/>
      <c r="H605" s="20"/>
    </row>
    <row r="606" ht="15.75" customHeight="1">
      <c r="D606" s="20"/>
      <c r="G606" s="26"/>
      <c r="H606" s="20"/>
    </row>
    <row r="607" ht="15.75" customHeight="1">
      <c r="D607" s="20"/>
      <c r="G607" s="26"/>
      <c r="H607" s="20"/>
    </row>
    <row r="608" ht="15.75" customHeight="1">
      <c r="D608" s="20"/>
      <c r="G608" s="26"/>
      <c r="H608" s="20"/>
    </row>
    <row r="609" ht="15.75" customHeight="1">
      <c r="D609" s="20"/>
      <c r="G609" s="26"/>
      <c r="H609" s="20"/>
    </row>
    <row r="610" ht="15.75" customHeight="1">
      <c r="D610" s="20"/>
      <c r="G610" s="26"/>
      <c r="H610" s="20"/>
    </row>
    <row r="611" ht="15.75" customHeight="1">
      <c r="D611" s="20"/>
      <c r="G611" s="26"/>
      <c r="H611" s="20"/>
    </row>
    <row r="612" ht="15.75" customHeight="1">
      <c r="D612" s="20"/>
      <c r="G612" s="26"/>
      <c r="H612" s="20"/>
    </row>
    <row r="613" ht="15.75" customHeight="1">
      <c r="D613" s="20"/>
      <c r="G613" s="26"/>
      <c r="H613" s="20"/>
    </row>
    <row r="614" ht="15.75" customHeight="1">
      <c r="D614" s="20"/>
      <c r="G614" s="26"/>
      <c r="H614" s="20"/>
    </row>
    <row r="615" ht="15.75" customHeight="1">
      <c r="D615" s="20"/>
      <c r="G615" s="26"/>
      <c r="H615" s="20"/>
    </row>
    <row r="616" ht="15.75" customHeight="1">
      <c r="D616" s="20"/>
      <c r="G616" s="26"/>
      <c r="H616" s="20"/>
    </row>
    <row r="617" ht="15.75" customHeight="1">
      <c r="D617" s="20"/>
      <c r="G617" s="26"/>
      <c r="H617" s="20"/>
    </row>
    <row r="618" ht="15.75" customHeight="1">
      <c r="D618" s="20"/>
      <c r="G618" s="26"/>
      <c r="H618" s="20"/>
    </row>
    <row r="619" ht="15.75" customHeight="1">
      <c r="D619" s="20"/>
      <c r="G619" s="26"/>
      <c r="H619" s="20"/>
    </row>
    <row r="620" ht="15.75" customHeight="1">
      <c r="D620" s="20"/>
      <c r="G620" s="26"/>
      <c r="H620" s="20"/>
    </row>
    <row r="621" ht="15.75" customHeight="1">
      <c r="D621" s="20"/>
      <c r="G621" s="26"/>
      <c r="H621" s="20"/>
    </row>
    <row r="622" ht="15.75" customHeight="1">
      <c r="D622" s="20"/>
      <c r="G622" s="26"/>
      <c r="H622" s="20"/>
    </row>
    <row r="623" ht="15.75" customHeight="1">
      <c r="D623" s="20"/>
      <c r="G623" s="26"/>
      <c r="H623" s="20"/>
    </row>
    <row r="624" ht="15.75" customHeight="1">
      <c r="D624" s="20"/>
      <c r="G624" s="26"/>
      <c r="H624" s="20"/>
    </row>
    <row r="625" ht="15.75" customHeight="1">
      <c r="D625" s="20"/>
      <c r="G625" s="26"/>
      <c r="H625" s="20"/>
    </row>
    <row r="626" ht="15.75" customHeight="1">
      <c r="D626" s="20"/>
      <c r="G626" s="26"/>
      <c r="H626" s="20"/>
    </row>
    <row r="627" ht="15.75" customHeight="1">
      <c r="D627" s="20"/>
      <c r="G627" s="26"/>
      <c r="H627" s="20"/>
    </row>
    <row r="628" ht="15.75" customHeight="1">
      <c r="D628" s="20"/>
      <c r="G628" s="26"/>
      <c r="H628" s="20"/>
    </row>
    <row r="629" ht="15.75" customHeight="1">
      <c r="D629" s="20"/>
      <c r="G629" s="26"/>
      <c r="H629" s="20"/>
    </row>
    <row r="630" ht="15.75" customHeight="1">
      <c r="D630" s="20"/>
      <c r="G630" s="26"/>
      <c r="H630" s="20"/>
    </row>
    <row r="631" ht="15.75" customHeight="1">
      <c r="D631" s="20"/>
      <c r="G631" s="26"/>
      <c r="H631" s="20"/>
    </row>
    <row r="632" ht="15.75" customHeight="1">
      <c r="D632" s="20"/>
      <c r="G632" s="26"/>
      <c r="H632" s="20"/>
    </row>
    <row r="633" ht="15.75" customHeight="1">
      <c r="D633" s="20"/>
      <c r="G633" s="26"/>
      <c r="H633" s="20"/>
    </row>
    <row r="634" ht="15.75" customHeight="1">
      <c r="D634" s="20"/>
      <c r="G634" s="26"/>
      <c r="H634" s="20"/>
    </row>
    <row r="635" ht="15.75" customHeight="1">
      <c r="D635" s="20"/>
      <c r="G635" s="26"/>
      <c r="H635" s="20"/>
    </row>
    <row r="636" ht="15.75" customHeight="1">
      <c r="D636" s="20"/>
      <c r="G636" s="26"/>
      <c r="H636" s="20"/>
    </row>
    <row r="637" ht="15.75" customHeight="1">
      <c r="D637" s="20"/>
      <c r="G637" s="26"/>
      <c r="H637" s="20"/>
    </row>
    <row r="638" ht="15.75" customHeight="1">
      <c r="D638" s="20"/>
      <c r="G638" s="26"/>
      <c r="H638" s="20"/>
    </row>
    <row r="639" ht="15.75" customHeight="1">
      <c r="D639" s="20"/>
      <c r="G639" s="26"/>
      <c r="H639" s="20"/>
    </row>
    <row r="640" ht="15.75" customHeight="1">
      <c r="D640" s="20"/>
      <c r="G640" s="26"/>
      <c r="H640" s="20"/>
    </row>
    <row r="641" ht="15.75" customHeight="1">
      <c r="D641" s="20"/>
      <c r="G641" s="26"/>
      <c r="H641" s="20"/>
    </row>
    <row r="642" ht="15.75" customHeight="1">
      <c r="D642" s="20"/>
      <c r="G642" s="26"/>
      <c r="H642" s="20"/>
    </row>
    <row r="643" ht="15.75" customHeight="1">
      <c r="D643" s="20"/>
      <c r="G643" s="26"/>
      <c r="H643" s="20"/>
    </row>
    <row r="644" ht="15.75" customHeight="1">
      <c r="D644" s="20"/>
      <c r="G644" s="26"/>
      <c r="H644" s="20"/>
    </row>
    <row r="645" ht="15.75" customHeight="1">
      <c r="D645" s="20"/>
      <c r="G645" s="26"/>
      <c r="H645" s="20"/>
    </row>
    <row r="646" ht="15.75" customHeight="1">
      <c r="D646" s="20"/>
      <c r="G646" s="26"/>
      <c r="H646" s="20"/>
    </row>
    <row r="647" ht="15.75" customHeight="1">
      <c r="D647" s="20"/>
      <c r="G647" s="26"/>
      <c r="H647" s="20"/>
    </row>
    <row r="648" ht="15.75" customHeight="1">
      <c r="D648" s="20"/>
      <c r="G648" s="26"/>
      <c r="H648" s="20"/>
    </row>
    <row r="649" ht="15.75" customHeight="1">
      <c r="D649" s="20"/>
      <c r="G649" s="26"/>
      <c r="H649" s="20"/>
    </row>
    <row r="650" ht="15.75" customHeight="1">
      <c r="D650" s="20"/>
      <c r="G650" s="26"/>
      <c r="H650" s="20"/>
    </row>
    <row r="651" ht="15.75" customHeight="1">
      <c r="D651" s="20"/>
      <c r="G651" s="26"/>
      <c r="H651" s="20"/>
    </row>
    <row r="652" ht="15.75" customHeight="1">
      <c r="D652" s="20"/>
      <c r="G652" s="26"/>
      <c r="H652" s="20"/>
    </row>
    <row r="653" ht="15.75" customHeight="1">
      <c r="D653" s="20"/>
      <c r="G653" s="26"/>
      <c r="H653" s="20"/>
    </row>
    <row r="654" ht="15.75" customHeight="1">
      <c r="D654" s="20"/>
      <c r="G654" s="26"/>
      <c r="H654" s="20"/>
    </row>
    <row r="655" ht="15.75" customHeight="1">
      <c r="D655" s="20"/>
      <c r="G655" s="26"/>
      <c r="H655" s="20"/>
    </row>
    <row r="656" ht="15.75" customHeight="1">
      <c r="D656" s="20"/>
      <c r="G656" s="26"/>
      <c r="H656" s="20"/>
    </row>
    <row r="657" ht="15.75" customHeight="1">
      <c r="D657" s="20"/>
      <c r="G657" s="26"/>
      <c r="H657" s="20"/>
    </row>
    <row r="658" ht="15.75" customHeight="1">
      <c r="D658" s="20"/>
      <c r="G658" s="26"/>
      <c r="H658" s="20"/>
    </row>
    <row r="659" ht="15.75" customHeight="1">
      <c r="D659" s="20"/>
      <c r="G659" s="26"/>
      <c r="H659" s="20"/>
    </row>
    <row r="660" ht="15.75" customHeight="1">
      <c r="D660" s="20"/>
      <c r="G660" s="26"/>
      <c r="H660" s="20"/>
    </row>
    <row r="661" ht="15.75" customHeight="1">
      <c r="D661" s="20"/>
      <c r="G661" s="26"/>
      <c r="H661" s="20"/>
    </row>
    <row r="662" ht="15.75" customHeight="1">
      <c r="D662" s="20"/>
      <c r="G662" s="26"/>
      <c r="H662" s="20"/>
    </row>
    <row r="663" ht="15.75" customHeight="1">
      <c r="D663" s="20"/>
      <c r="G663" s="26"/>
      <c r="H663" s="20"/>
    </row>
    <row r="664" ht="15.75" customHeight="1">
      <c r="D664" s="20"/>
      <c r="G664" s="26"/>
      <c r="H664" s="20"/>
    </row>
    <row r="665" ht="15.75" customHeight="1">
      <c r="D665" s="20"/>
      <c r="G665" s="26"/>
      <c r="H665" s="20"/>
    </row>
    <row r="666" ht="15.75" customHeight="1">
      <c r="D666" s="20"/>
      <c r="G666" s="26"/>
      <c r="H666" s="20"/>
    </row>
    <row r="667" ht="15.75" customHeight="1">
      <c r="D667" s="20"/>
      <c r="G667" s="26"/>
      <c r="H667" s="20"/>
    </row>
    <row r="668" ht="15.75" customHeight="1">
      <c r="D668" s="20"/>
      <c r="G668" s="26"/>
      <c r="H668" s="20"/>
    </row>
    <row r="669" ht="15.75" customHeight="1">
      <c r="D669" s="20"/>
      <c r="G669" s="26"/>
      <c r="H669" s="20"/>
    </row>
    <row r="670" ht="15.75" customHeight="1">
      <c r="D670" s="20"/>
      <c r="G670" s="26"/>
      <c r="H670" s="20"/>
    </row>
    <row r="671" ht="15.75" customHeight="1">
      <c r="D671" s="20"/>
      <c r="G671" s="26"/>
      <c r="H671" s="20"/>
    </row>
    <row r="672" ht="15.75" customHeight="1">
      <c r="D672" s="20"/>
      <c r="G672" s="26"/>
      <c r="H672" s="20"/>
    </row>
    <row r="673" ht="15.75" customHeight="1">
      <c r="D673" s="20"/>
      <c r="G673" s="26"/>
      <c r="H673" s="20"/>
    </row>
    <row r="674" ht="15.75" customHeight="1">
      <c r="D674" s="20"/>
      <c r="G674" s="26"/>
      <c r="H674" s="20"/>
    </row>
    <row r="675" ht="15.75" customHeight="1">
      <c r="D675" s="20"/>
      <c r="G675" s="26"/>
      <c r="H675" s="20"/>
    </row>
    <row r="676" ht="15.75" customHeight="1">
      <c r="D676" s="20"/>
      <c r="G676" s="26"/>
      <c r="H676" s="20"/>
    </row>
    <row r="677" ht="15.75" customHeight="1">
      <c r="D677" s="20"/>
      <c r="G677" s="26"/>
      <c r="H677" s="20"/>
    </row>
    <row r="678" ht="15.75" customHeight="1">
      <c r="D678" s="20"/>
      <c r="G678" s="26"/>
      <c r="H678" s="20"/>
    </row>
    <row r="679" ht="15.75" customHeight="1">
      <c r="D679" s="20"/>
      <c r="G679" s="26"/>
      <c r="H679" s="20"/>
    </row>
    <row r="680" ht="15.75" customHeight="1">
      <c r="D680" s="20"/>
      <c r="G680" s="26"/>
      <c r="H680" s="20"/>
    </row>
    <row r="681" ht="15.75" customHeight="1">
      <c r="D681" s="20"/>
      <c r="G681" s="26"/>
      <c r="H681" s="20"/>
    </row>
    <row r="682" ht="15.75" customHeight="1">
      <c r="D682" s="20"/>
      <c r="G682" s="26"/>
      <c r="H682" s="20"/>
    </row>
    <row r="683" ht="15.75" customHeight="1">
      <c r="D683" s="20"/>
      <c r="G683" s="26"/>
      <c r="H683" s="20"/>
    </row>
    <row r="684" ht="15.75" customHeight="1">
      <c r="D684" s="20"/>
      <c r="G684" s="26"/>
      <c r="H684" s="20"/>
    </row>
    <row r="685" ht="15.75" customHeight="1">
      <c r="D685" s="20"/>
      <c r="G685" s="26"/>
      <c r="H685" s="20"/>
    </row>
    <row r="686" ht="15.75" customHeight="1">
      <c r="D686" s="20"/>
      <c r="G686" s="26"/>
      <c r="H686" s="20"/>
    </row>
    <row r="687" ht="15.75" customHeight="1">
      <c r="D687" s="20"/>
      <c r="G687" s="26"/>
      <c r="H687" s="20"/>
    </row>
    <row r="688" ht="15.75" customHeight="1">
      <c r="D688" s="20"/>
      <c r="G688" s="26"/>
      <c r="H688" s="20"/>
    </row>
    <row r="689" ht="15.75" customHeight="1">
      <c r="D689" s="20"/>
      <c r="G689" s="26"/>
      <c r="H689" s="20"/>
    </row>
    <row r="690" ht="15.75" customHeight="1">
      <c r="D690" s="20"/>
      <c r="G690" s="26"/>
      <c r="H690" s="20"/>
    </row>
    <row r="691" ht="15.75" customHeight="1">
      <c r="D691" s="20"/>
      <c r="G691" s="26"/>
      <c r="H691" s="20"/>
    </row>
    <row r="692" ht="15.75" customHeight="1">
      <c r="D692" s="20"/>
      <c r="G692" s="26"/>
      <c r="H692" s="20"/>
    </row>
    <row r="693" ht="15.75" customHeight="1">
      <c r="D693" s="20"/>
      <c r="G693" s="26"/>
      <c r="H693" s="20"/>
    </row>
    <row r="694" ht="15.75" customHeight="1">
      <c r="D694" s="20"/>
      <c r="G694" s="26"/>
      <c r="H694" s="20"/>
    </row>
    <row r="695" ht="15.75" customHeight="1">
      <c r="D695" s="20"/>
      <c r="G695" s="26"/>
      <c r="H695" s="20"/>
    </row>
    <row r="696" ht="15.75" customHeight="1">
      <c r="D696" s="20"/>
      <c r="G696" s="26"/>
      <c r="H696" s="20"/>
    </row>
    <row r="697" ht="15.75" customHeight="1">
      <c r="D697" s="20"/>
      <c r="G697" s="26"/>
      <c r="H697" s="20"/>
    </row>
    <row r="698" ht="15.75" customHeight="1">
      <c r="D698" s="20"/>
      <c r="G698" s="26"/>
      <c r="H698" s="20"/>
    </row>
    <row r="699" ht="15.75" customHeight="1">
      <c r="D699" s="20"/>
      <c r="G699" s="26"/>
      <c r="H699" s="20"/>
    </row>
    <row r="700" ht="15.75" customHeight="1">
      <c r="D700" s="20"/>
      <c r="G700" s="26"/>
      <c r="H700" s="20"/>
    </row>
    <row r="701" ht="15.75" customHeight="1">
      <c r="D701" s="20"/>
      <c r="G701" s="26"/>
      <c r="H701" s="20"/>
    </row>
    <row r="702" ht="15.75" customHeight="1">
      <c r="D702" s="20"/>
      <c r="G702" s="26"/>
      <c r="H702" s="20"/>
    </row>
    <row r="703" ht="15.75" customHeight="1">
      <c r="D703" s="20"/>
      <c r="G703" s="26"/>
      <c r="H703" s="20"/>
    </row>
    <row r="704" ht="15.75" customHeight="1">
      <c r="D704" s="20"/>
      <c r="G704" s="26"/>
      <c r="H704" s="20"/>
    </row>
    <row r="705" ht="15.75" customHeight="1">
      <c r="D705" s="20"/>
      <c r="G705" s="26"/>
      <c r="H705" s="20"/>
    </row>
    <row r="706" ht="15.75" customHeight="1">
      <c r="D706" s="20"/>
      <c r="G706" s="26"/>
      <c r="H706" s="20"/>
    </row>
    <row r="707" ht="15.75" customHeight="1">
      <c r="D707" s="20"/>
      <c r="G707" s="26"/>
      <c r="H707" s="20"/>
    </row>
    <row r="708" ht="15.75" customHeight="1">
      <c r="D708" s="20"/>
      <c r="G708" s="26"/>
      <c r="H708" s="20"/>
    </row>
    <row r="709" ht="15.75" customHeight="1">
      <c r="D709" s="20"/>
      <c r="G709" s="26"/>
      <c r="H709" s="20"/>
    </row>
    <row r="710" ht="15.75" customHeight="1">
      <c r="D710" s="20"/>
      <c r="G710" s="26"/>
      <c r="H710" s="20"/>
    </row>
    <row r="711" ht="15.75" customHeight="1">
      <c r="D711" s="20"/>
      <c r="G711" s="26"/>
      <c r="H711" s="20"/>
    </row>
    <row r="712" ht="15.75" customHeight="1">
      <c r="D712" s="20"/>
      <c r="G712" s="26"/>
      <c r="H712" s="20"/>
    </row>
    <row r="713" ht="15.75" customHeight="1">
      <c r="D713" s="20"/>
      <c r="G713" s="26"/>
      <c r="H713" s="20"/>
    </row>
    <row r="714" ht="15.75" customHeight="1">
      <c r="D714" s="20"/>
      <c r="G714" s="26"/>
      <c r="H714" s="20"/>
    </row>
    <row r="715" ht="15.75" customHeight="1">
      <c r="D715" s="20"/>
      <c r="G715" s="26"/>
      <c r="H715" s="20"/>
    </row>
    <row r="716" ht="15.75" customHeight="1">
      <c r="D716" s="20"/>
      <c r="G716" s="26"/>
      <c r="H716" s="20"/>
    </row>
    <row r="717" ht="15.75" customHeight="1">
      <c r="D717" s="20"/>
      <c r="G717" s="26"/>
      <c r="H717" s="20"/>
    </row>
    <row r="718" ht="15.75" customHeight="1">
      <c r="D718" s="20"/>
      <c r="G718" s="26"/>
      <c r="H718" s="20"/>
    </row>
    <row r="719" ht="15.75" customHeight="1">
      <c r="D719" s="20"/>
      <c r="G719" s="26"/>
      <c r="H719" s="20"/>
    </row>
    <row r="720" ht="15.75" customHeight="1">
      <c r="D720" s="20"/>
      <c r="G720" s="26"/>
      <c r="H720" s="20"/>
    </row>
    <row r="721" ht="15.75" customHeight="1">
      <c r="D721" s="20"/>
      <c r="G721" s="26"/>
      <c r="H721" s="20"/>
    </row>
    <row r="722" ht="15.75" customHeight="1">
      <c r="D722" s="20"/>
      <c r="G722" s="26"/>
      <c r="H722" s="20"/>
    </row>
    <row r="723" ht="15.75" customHeight="1">
      <c r="D723" s="20"/>
      <c r="G723" s="26"/>
      <c r="H723" s="20"/>
    </row>
    <row r="724" ht="15.75" customHeight="1">
      <c r="D724" s="20"/>
      <c r="G724" s="26"/>
      <c r="H724" s="20"/>
    </row>
    <row r="725" ht="15.75" customHeight="1">
      <c r="D725" s="20"/>
      <c r="G725" s="26"/>
      <c r="H725" s="20"/>
    </row>
    <row r="726" ht="15.75" customHeight="1">
      <c r="D726" s="20"/>
      <c r="G726" s="26"/>
      <c r="H726" s="20"/>
    </row>
    <row r="727" ht="15.75" customHeight="1">
      <c r="D727" s="20"/>
      <c r="G727" s="26"/>
      <c r="H727" s="20"/>
    </row>
    <row r="728" ht="15.75" customHeight="1">
      <c r="D728" s="20"/>
      <c r="G728" s="26"/>
      <c r="H728" s="20"/>
    </row>
    <row r="729" ht="15.75" customHeight="1">
      <c r="D729" s="20"/>
      <c r="G729" s="26"/>
      <c r="H729" s="20"/>
    </row>
    <row r="730" ht="15.75" customHeight="1">
      <c r="D730" s="20"/>
      <c r="G730" s="26"/>
      <c r="H730" s="20"/>
    </row>
    <row r="731" ht="15.75" customHeight="1">
      <c r="D731" s="20"/>
      <c r="G731" s="26"/>
      <c r="H731" s="20"/>
    </row>
    <row r="732" ht="15.75" customHeight="1">
      <c r="D732" s="20"/>
      <c r="G732" s="26"/>
      <c r="H732" s="20"/>
    </row>
    <row r="733" ht="15.75" customHeight="1">
      <c r="D733" s="20"/>
      <c r="G733" s="26"/>
      <c r="H733" s="20"/>
    </row>
    <row r="734" ht="15.75" customHeight="1">
      <c r="D734" s="20"/>
      <c r="G734" s="26"/>
      <c r="H734" s="20"/>
    </row>
    <row r="735" ht="15.75" customHeight="1">
      <c r="D735" s="20"/>
      <c r="G735" s="26"/>
      <c r="H735" s="20"/>
    </row>
    <row r="736" ht="15.75" customHeight="1">
      <c r="D736" s="20"/>
      <c r="G736" s="26"/>
      <c r="H736" s="20"/>
    </row>
    <row r="737" ht="15.75" customHeight="1">
      <c r="D737" s="20"/>
      <c r="G737" s="26"/>
      <c r="H737" s="20"/>
    </row>
    <row r="738" ht="15.75" customHeight="1">
      <c r="D738" s="20"/>
      <c r="G738" s="26"/>
      <c r="H738" s="20"/>
    </row>
    <row r="739" ht="15.75" customHeight="1">
      <c r="D739" s="20"/>
      <c r="G739" s="26"/>
      <c r="H739" s="20"/>
    </row>
    <row r="740" ht="15.75" customHeight="1">
      <c r="D740" s="20"/>
      <c r="G740" s="26"/>
      <c r="H740" s="20"/>
    </row>
    <row r="741" ht="15.75" customHeight="1">
      <c r="D741" s="20"/>
      <c r="G741" s="26"/>
      <c r="H741" s="20"/>
    </row>
    <row r="742" ht="15.75" customHeight="1">
      <c r="D742" s="20"/>
      <c r="G742" s="26"/>
      <c r="H742" s="20"/>
    </row>
    <row r="743" ht="15.75" customHeight="1">
      <c r="D743" s="20"/>
      <c r="G743" s="26"/>
      <c r="H743" s="20"/>
    </row>
    <row r="744" ht="15.75" customHeight="1">
      <c r="D744" s="20"/>
      <c r="G744" s="26"/>
      <c r="H744" s="20"/>
    </row>
    <row r="745" ht="15.75" customHeight="1">
      <c r="D745" s="20"/>
      <c r="G745" s="26"/>
      <c r="H745" s="20"/>
    </row>
    <row r="746" ht="15.75" customHeight="1">
      <c r="D746" s="20"/>
      <c r="G746" s="26"/>
      <c r="H746" s="20"/>
    </row>
    <row r="747" ht="15.75" customHeight="1">
      <c r="D747" s="20"/>
      <c r="G747" s="26"/>
      <c r="H747" s="20"/>
    </row>
    <row r="748" ht="15.75" customHeight="1">
      <c r="D748" s="20"/>
      <c r="G748" s="26"/>
      <c r="H748" s="20"/>
    </row>
    <row r="749" ht="15.75" customHeight="1">
      <c r="D749" s="20"/>
      <c r="G749" s="26"/>
      <c r="H749" s="20"/>
    </row>
    <row r="750" ht="15.75" customHeight="1">
      <c r="D750" s="20"/>
      <c r="G750" s="26"/>
      <c r="H750" s="20"/>
    </row>
    <row r="751" ht="15.75" customHeight="1">
      <c r="D751" s="20"/>
      <c r="G751" s="26"/>
      <c r="H751" s="20"/>
    </row>
    <row r="752" ht="15.75" customHeight="1">
      <c r="D752" s="20"/>
      <c r="G752" s="26"/>
      <c r="H752" s="20"/>
    </row>
    <row r="753" ht="15.75" customHeight="1">
      <c r="D753" s="20"/>
      <c r="G753" s="26"/>
      <c r="H753" s="20"/>
    </row>
    <row r="754" ht="15.75" customHeight="1">
      <c r="D754" s="20"/>
      <c r="G754" s="26"/>
      <c r="H754" s="20"/>
    </row>
    <row r="755" ht="15.75" customHeight="1">
      <c r="D755" s="20"/>
      <c r="G755" s="26"/>
      <c r="H755" s="20"/>
    </row>
    <row r="756" ht="15.75" customHeight="1">
      <c r="D756" s="20"/>
      <c r="G756" s="26"/>
      <c r="H756" s="20"/>
    </row>
    <row r="757" ht="15.75" customHeight="1">
      <c r="D757" s="20"/>
      <c r="G757" s="26"/>
      <c r="H757" s="20"/>
    </row>
    <row r="758" ht="15.75" customHeight="1">
      <c r="D758" s="20"/>
      <c r="G758" s="26"/>
      <c r="H758" s="20"/>
    </row>
    <row r="759" ht="15.75" customHeight="1">
      <c r="D759" s="20"/>
      <c r="G759" s="26"/>
      <c r="H759" s="20"/>
    </row>
    <row r="760" ht="15.75" customHeight="1">
      <c r="D760" s="20"/>
      <c r="G760" s="26"/>
      <c r="H760" s="20"/>
    </row>
    <row r="761" ht="15.75" customHeight="1">
      <c r="D761" s="20"/>
      <c r="G761" s="26"/>
      <c r="H761" s="20"/>
    </row>
    <row r="762" ht="15.75" customHeight="1">
      <c r="D762" s="20"/>
      <c r="G762" s="26"/>
      <c r="H762" s="20"/>
    </row>
    <row r="763" ht="15.75" customHeight="1">
      <c r="D763" s="20"/>
      <c r="G763" s="26"/>
      <c r="H763" s="20"/>
    </row>
    <row r="764" ht="15.75" customHeight="1">
      <c r="D764" s="20"/>
      <c r="G764" s="26"/>
      <c r="H764" s="20"/>
    </row>
    <row r="765" ht="15.75" customHeight="1">
      <c r="D765" s="20"/>
      <c r="G765" s="26"/>
      <c r="H765" s="20"/>
    </row>
    <row r="766" ht="15.75" customHeight="1">
      <c r="D766" s="20"/>
      <c r="G766" s="26"/>
      <c r="H766" s="20"/>
    </row>
    <row r="767" ht="15.75" customHeight="1">
      <c r="D767" s="20"/>
      <c r="G767" s="26"/>
      <c r="H767" s="20"/>
    </row>
    <row r="768" ht="15.75" customHeight="1">
      <c r="D768" s="20"/>
      <c r="G768" s="26"/>
      <c r="H768" s="20"/>
    </row>
    <row r="769" ht="15.75" customHeight="1">
      <c r="D769" s="20"/>
      <c r="G769" s="26"/>
      <c r="H769" s="20"/>
    </row>
    <row r="770" ht="15.75" customHeight="1">
      <c r="D770" s="20"/>
      <c r="G770" s="26"/>
      <c r="H770" s="20"/>
    </row>
    <row r="771" ht="15.75" customHeight="1">
      <c r="D771" s="20"/>
      <c r="G771" s="26"/>
      <c r="H771" s="20"/>
    </row>
    <row r="772" ht="15.75" customHeight="1">
      <c r="D772" s="20"/>
      <c r="G772" s="26"/>
      <c r="H772" s="20"/>
    </row>
    <row r="773" ht="15.75" customHeight="1">
      <c r="D773" s="20"/>
      <c r="G773" s="26"/>
      <c r="H773" s="20"/>
    </row>
    <row r="774" ht="15.75" customHeight="1">
      <c r="D774" s="20"/>
      <c r="G774" s="26"/>
      <c r="H774" s="20"/>
    </row>
    <row r="775" ht="15.75" customHeight="1">
      <c r="D775" s="20"/>
      <c r="G775" s="26"/>
      <c r="H775" s="20"/>
    </row>
    <row r="776" ht="15.75" customHeight="1">
      <c r="D776" s="20"/>
      <c r="G776" s="26"/>
      <c r="H776" s="20"/>
    </row>
    <row r="777" ht="15.75" customHeight="1">
      <c r="D777" s="20"/>
      <c r="G777" s="26"/>
      <c r="H777" s="20"/>
    </row>
    <row r="778" ht="15.75" customHeight="1">
      <c r="D778" s="20"/>
      <c r="G778" s="26"/>
      <c r="H778" s="20"/>
    </row>
    <row r="779" ht="15.75" customHeight="1">
      <c r="D779" s="20"/>
      <c r="G779" s="26"/>
      <c r="H779" s="20"/>
    </row>
    <row r="780" ht="15.75" customHeight="1">
      <c r="D780" s="20"/>
      <c r="G780" s="26"/>
      <c r="H780" s="20"/>
    </row>
    <row r="781" ht="15.75" customHeight="1">
      <c r="D781" s="20"/>
      <c r="G781" s="26"/>
      <c r="H781" s="20"/>
    </row>
    <row r="782" ht="15.75" customHeight="1">
      <c r="D782" s="20"/>
      <c r="G782" s="26"/>
      <c r="H782" s="20"/>
    </row>
    <row r="783" ht="15.75" customHeight="1">
      <c r="D783" s="20"/>
      <c r="G783" s="26"/>
      <c r="H783" s="20"/>
    </row>
    <row r="784" ht="15.75" customHeight="1">
      <c r="D784" s="20"/>
      <c r="G784" s="26"/>
      <c r="H784" s="20"/>
    </row>
    <row r="785" ht="15.75" customHeight="1">
      <c r="D785" s="20"/>
      <c r="G785" s="26"/>
      <c r="H785" s="20"/>
    </row>
    <row r="786" ht="15.75" customHeight="1">
      <c r="D786" s="20"/>
      <c r="G786" s="26"/>
      <c r="H786" s="20"/>
    </row>
    <row r="787" ht="15.75" customHeight="1">
      <c r="D787" s="20"/>
      <c r="G787" s="26"/>
      <c r="H787" s="20"/>
    </row>
    <row r="788" ht="15.75" customHeight="1">
      <c r="D788" s="20"/>
      <c r="G788" s="26"/>
      <c r="H788" s="20"/>
    </row>
    <row r="789" ht="15.75" customHeight="1">
      <c r="D789" s="20"/>
      <c r="G789" s="26"/>
      <c r="H789" s="20"/>
    </row>
    <row r="790" ht="15.75" customHeight="1">
      <c r="D790" s="20"/>
      <c r="G790" s="26"/>
      <c r="H790" s="20"/>
    </row>
    <row r="791" ht="15.75" customHeight="1">
      <c r="D791" s="20"/>
      <c r="G791" s="26"/>
      <c r="H791" s="20"/>
    </row>
    <row r="792" ht="15.75" customHeight="1">
      <c r="D792" s="20"/>
      <c r="G792" s="26"/>
      <c r="H792" s="20"/>
    </row>
    <row r="793" ht="15.75" customHeight="1">
      <c r="D793" s="20"/>
      <c r="G793" s="26"/>
      <c r="H793" s="20"/>
    </row>
    <row r="794" ht="15.75" customHeight="1">
      <c r="D794" s="20"/>
      <c r="G794" s="26"/>
      <c r="H794" s="20"/>
    </row>
    <row r="795" ht="15.75" customHeight="1">
      <c r="D795" s="20"/>
      <c r="G795" s="26"/>
      <c r="H795" s="20"/>
    </row>
    <row r="796" ht="15.75" customHeight="1">
      <c r="D796" s="20"/>
      <c r="G796" s="26"/>
      <c r="H796" s="20"/>
    </row>
    <row r="797" ht="15.75" customHeight="1">
      <c r="D797" s="20"/>
      <c r="G797" s="26"/>
      <c r="H797" s="20"/>
    </row>
    <row r="798" ht="15.75" customHeight="1">
      <c r="D798" s="20"/>
      <c r="G798" s="26"/>
      <c r="H798" s="20"/>
    </row>
    <row r="799" ht="15.75" customHeight="1">
      <c r="D799" s="20"/>
      <c r="G799" s="26"/>
      <c r="H799" s="20"/>
    </row>
    <row r="800" ht="15.75" customHeight="1">
      <c r="D800" s="20"/>
      <c r="G800" s="26"/>
      <c r="H800" s="20"/>
    </row>
    <row r="801" ht="15.75" customHeight="1">
      <c r="D801" s="20"/>
      <c r="G801" s="26"/>
      <c r="H801" s="20"/>
    </row>
    <row r="802" ht="15.75" customHeight="1">
      <c r="D802" s="20"/>
      <c r="G802" s="26"/>
      <c r="H802" s="20"/>
    </row>
    <row r="803" ht="15.75" customHeight="1">
      <c r="D803" s="20"/>
      <c r="G803" s="26"/>
      <c r="H803" s="20"/>
    </row>
    <row r="804" ht="15.75" customHeight="1">
      <c r="D804" s="20"/>
      <c r="G804" s="26"/>
      <c r="H804" s="20"/>
    </row>
    <row r="805" ht="15.75" customHeight="1">
      <c r="D805" s="20"/>
      <c r="G805" s="26"/>
      <c r="H805" s="20"/>
    </row>
    <row r="806" ht="15.75" customHeight="1">
      <c r="D806" s="20"/>
      <c r="G806" s="26"/>
      <c r="H806" s="20"/>
    </row>
    <row r="807" ht="15.75" customHeight="1">
      <c r="D807" s="20"/>
      <c r="G807" s="26"/>
      <c r="H807" s="20"/>
    </row>
    <row r="808" ht="15.75" customHeight="1">
      <c r="D808" s="20"/>
      <c r="G808" s="26"/>
      <c r="H808" s="20"/>
    </row>
    <row r="809" ht="15.75" customHeight="1">
      <c r="D809" s="20"/>
      <c r="G809" s="26"/>
      <c r="H809" s="20"/>
    </row>
    <row r="810" ht="15.75" customHeight="1">
      <c r="D810" s="20"/>
      <c r="G810" s="26"/>
      <c r="H810" s="20"/>
    </row>
    <row r="811" ht="15.75" customHeight="1">
      <c r="D811" s="20"/>
      <c r="G811" s="26"/>
      <c r="H811" s="20"/>
    </row>
    <row r="812" ht="15.75" customHeight="1">
      <c r="D812" s="20"/>
      <c r="G812" s="26"/>
      <c r="H812" s="20"/>
    </row>
    <row r="813" ht="15.75" customHeight="1">
      <c r="D813" s="20"/>
      <c r="G813" s="26"/>
      <c r="H813" s="20"/>
    </row>
    <row r="814" ht="15.75" customHeight="1">
      <c r="D814" s="20"/>
      <c r="G814" s="26"/>
      <c r="H814" s="20"/>
    </row>
    <row r="815" ht="15.75" customHeight="1">
      <c r="D815" s="20"/>
      <c r="G815" s="26"/>
      <c r="H815" s="20"/>
    </row>
    <row r="816" ht="15.75" customHeight="1">
      <c r="D816" s="20"/>
      <c r="G816" s="26"/>
      <c r="H816" s="20"/>
    </row>
    <row r="817" ht="15.75" customHeight="1">
      <c r="D817" s="20"/>
      <c r="G817" s="26"/>
      <c r="H817" s="20"/>
    </row>
    <row r="818" ht="15.75" customHeight="1">
      <c r="D818" s="20"/>
      <c r="G818" s="26"/>
      <c r="H818" s="20"/>
    </row>
    <row r="819" ht="15.75" customHeight="1">
      <c r="D819" s="20"/>
      <c r="G819" s="26"/>
      <c r="H819" s="20"/>
    </row>
    <row r="820" ht="15.75" customHeight="1">
      <c r="D820" s="20"/>
      <c r="G820" s="26"/>
      <c r="H820" s="20"/>
    </row>
    <row r="821" ht="15.75" customHeight="1">
      <c r="D821" s="20"/>
      <c r="G821" s="26"/>
      <c r="H821" s="20"/>
    </row>
    <row r="822" ht="15.75" customHeight="1">
      <c r="D822" s="20"/>
      <c r="G822" s="26"/>
      <c r="H822" s="20"/>
    </row>
    <row r="823" ht="15.75" customHeight="1">
      <c r="D823" s="20"/>
      <c r="G823" s="26"/>
      <c r="H823" s="20"/>
    </row>
    <row r="824" ht="15.75" customHeight="1">
      <c r="D824" s="20"/>
      <c r="G824" s="26"/>
      <c r="H824" s="20"/>
    </row>
    <row r="825" ht="15.75" customHeight="1">
      <c r="D825" s="20"/>
      <c r="G825" s="26"/>
      <c r="H825" s="20"/>
    </row>
    <row r="826" ht="15.75" customHeight="1">
      <c r="D826" s="20"/>
      <c r="G826" s="26"/>
      <c r="H826" s="20"/>
    </row>
    <row r="827" ht="15.75" customHeight="1">
      <c r="D827" s="20"/>
      <c r="G827" s="26"/>
      <c r="H827" s="20"/>
    </row>
    <row r="828" ht="15.75" customHeight="1">
      <c r="D828" s="20"/>
      <c r="G828" s="26"/>
      <c r="H828" s="20"/>
    </row>
    <row r="829" ht="15.75" customHeight="1">
      <c r="D829" s="20"/>
      <c r="G829" s="26"/>
      <c r="H829" s="20"/>
    </row>
    <row r="830" ht="15.75" customHeight="1">
      <c r="D830" s="20"/>
      <c r="G830" s="26"/>
      <c r="H830" s="20"/>
    </row>
    <row r="831" ht="15.75" customHeight="1">
      <c r="D831" s="20"/>
      <c r="G831" s="26"/>
      <c r="H831" s="20"/>
    </row>
    <row r="832" ht="15.75" customHeight="1">
      <c r="D832" s="20"/>
      <c r="G832" s="26"/>
      <c r="H832" s="20"/>
    </row>
    <row r="833" ht="15.75" customHeight="1">
      <c r="D833" s="20"/>
      <c r="G833" s="26"/>
      <c r="H833" s="20"/>
    </row>
    <row r="834" ht="15.75" customHeight="1">
      <c r="D834" s="20"/>
      <c r="G834" s="26"/>
      <c r="H834" s="20"/>
    </row>
    <row r="835" ht="15.75" customHeight="1">
      <c r="D835" s="20"/>
      <c r="G835" s="26"/>
      <c r="H835" s="20"/>
    </row>
    <row r="836" ht="15.75" customHeight="1">
      <c r="D836" s="20"/>
      <c r="G836" s="26"/>
      <c r="H836" s="20"/>
    </row>
    <row r="837" ht="15.75" customHeight="1">
      <c r="D837" s="20"/>
      <c r="G837" s="26"/>
      <c r="H837" s="20"/>
    </row>
    <row r="838" ht="15.75" customHeight="1">
      <c r="D838" s="20"/>
      <c r="G838" s="26"/>
      <c r="H838" s="20"/>
    </row>
    <row r="839" ht="15.75" customHeight="1">
      <c r="D839" s="20"/>
      <c r="G839" s="26"/>
      <c r="H839" s="20"/>
    </row>
    <row r="840" ht="15.75" customHeight="1">
      <c r="D840" s="20"/>
      <c r="G840" s="26"/>
      <c r="H840" s="20"/>
    </row>
    <row r="841" ht="15.75" customHeight="1">
      <c r="D841" s="20"/>
      <c r="G841" s="26"/>
      <c r="H841" s="20"/>
    </row>
    <row r="842" ht="15.75" customHeight="1">
      <c r="D842" s="20"/>
      <c r="G842" s="26"/>
      <c r="H842" s="20"/>
    </row>
    <row r="843" ht="15.75" customHeight="1">
      <c r="D843" s="20"/>
      <c r="G843" s="26"/>
      <c r="H843" s="20"/>
    </row>
    <row r="844" ht="15.75" customHeight="1">
      <c r="D844" s="20"/>
      <c r="G844" s="26"/>
      <c r="H844" s="20"/>
    </row>
    <row r="845" ht="15.75" customHeight="1">
      <c r="D845" s="20"/>
      <c r="G845" s="26"/>
      <c r="H845" s="20"/>
    </row>
    <row r="846" ht="15.75" customHeight="1">
      <c r="D846" s="20"/>
      <c r="G846" s="26"/>
      <c r="H846" s="20"/>
    </row>
    <row r="847" ht="15.75" customHeight="1">
      <c r="D847" s="20"/>
      <c r="G847" s="26"/>
      <c r="H847" s="20"/>
    </row>
    <row r="848" ht="15.75" customHeight="1">
      <c r="D848" s="20"/>
      <c r="G848" s="26"/>
      <c r="H848" s="20"/>
    </row>
    <row r="849" ht="15.75" customHeight="1">
      <c r="D849" s="20"/>
      <c r="G849" s="26"/>
      <c r="H849" s="20"/>
    </row>
    <row r="850" ht="15.75" customHeight="1">
      <c r="D850" s="20"/>
      <c r="G850" s="26"/>
      <c r="H850" s="20"/>
    </row>
    <row r="851" ht="15.75" customHeight="1">
      <c r="D851" s="20"/>
      <c r="G851" s="26"/>
      <c r="H851" s="20"/>
    </row>
    <row r="852" ht="15.75" customHeight="1">
      <c r="D852" s="20"/>
      <c r="G852" s="26"/>
      <c r="H852" s="20"/>
    </row>
    <row r="853" ht="15.75" customHeight="1">
      <c r="D853" s="20"/>
      <c r="G853" s="26"/>
      <c r="H853" s="20"/>
    </row>
    <row r="854" ht="15.75" customHeight="1">
      <c r="D854" s="20"/>
      <c r="G854" s="26"/>
      <c r="H854" s="20"/>
    </row>
    <row r="855" ht="15.75" customHeight="1">
      <c r="D855" s="20"/>
      <c r="G855" s="26"/>
      <c r="H855" s="20"/>
    </row>
    <row r="856" ht="15.75" customHeight="1">
      <c r="D856" s="20"/>
      <c r="G856" s="26"/>
      <c r="H856" s="20"/>
    </row>
    <row r="857" ht="15.75" customHeight="1">
      <c r="D857" s="20"/>
      <c r="G857" s="26"/>
      <c r="H857" s="20"/>
    </row>
    <row r="858" ht="15.75" customHeight="1">
      <c r="D858" s="20"/>
      <c r="G858" s="26"/>
      <c r="H858" s="20"/>
    </row>
    <row r="859" ht="15.75" customHeight="1">
      <c r="D859" s="20"/>
      <c r="G859" s="26"/>
      <c r="H859" s="20"/>
    </row>
    <row r="860" ht="15.75" customHeight="1">
      <c r="D860" s="20"/>
      <c r="G860" s="26"/>
      <c r="H860" s="20"/>
    </row>
    <row r="861" ht="15.75" customHeight="1">
      <c r="D861" s="20"/>
      <c r="G861" s="26"/>
      <c r="H861" s="20"/>
    </row>
    <row r="862" ht="15.75" customHeight="1">
      <c r="D862" s="20"/>
      <c r="G862" s="26"/>
      <c r="H862" s="20"/>
    </row>
    <row r="863" ht="15.75" customHeight="1">
      <c r="D863" s="20"/>
      <c r="G863" s="26"/>
      <c r="H863" s="20"/>
    </row>
    <row r="864" ht="15.75" customHeight="1">
      <c r="D864" s="20"/>
      <c r="G864" s="26"/>
      <c r="H864" s="20"/>
    </row>
    <row r="865" ht="15.75" customHeight="1">
      <c r="D865" s="20"/>
      <c r="G865" s="26"/>
      <c r="H865" s="20"/>
    </row>
    <row r="866" ht="15.75" customHeight="1">
      <c r="D866" s="20"/>
      <c r="G866" s="26"/>
      <c r="H866" s="20"/>
    </row>
    <row r="867" ht="15.75" customHeight="1">
      <c r="D867" s="20"/>
      <c r="G867" s="26"/>
      <c r="H867" s="20"/>
    </row>
    <row r="868" ht="15.75" customHeight="1">
      <c r="D868" s="20"/>
      <c r="G868" s="26"/>
      <c r="H868" s="20"/>
    </row>
    <row r="869" ht="15.75" customHeight="1">
      <c r="D869" s="20"/>
      <c r="G869" s="26"/>
      <c r="H869" s="20"/>
    </row>
    <row r="870" ht="15.75" customHeight="1">
      <c r="D870" s="20"/>
      <c r="G870" s="26"/>
      <c r="H870" s="20"/>
    </row>
    <row r="871" ht="15.75" customHeight="1">
      <c r="D871" s="20"/>
      <c r="G871" s="26"/>
      <c r="H871" s="20"/>
    </row>
    <row r="872" ht="15.75" customHeight="1">
      <c r="D872" s="20"/>
      <c r="G872" s="26"/>
      <c r="H872" s="20"/>
    </row>
    <row r="873" ht="15.75" customHeight="1">
      <c r="D873" s="20"/>
      <c r="G873" s="26"/>
      <c r="H873" s="20"/>
    </row>
    <row r="874" ht="15.75" customHeight="1">
      <c r="D874" s="20"/>
      <c r="G874" s="26"/>
      <c r="H874" s="20"/>
    </row>
    <row r="875" ht="15.75" customHeight="1">
      <c r="D875" s="20"/>
      <c r="G875" s="26"/>
      <c r="H875" s="20"/>
    </row>
    <row r="876" ht="15.75" customHeight="1">
      <c r="D876" s="20"/>
      <c r="G876" s="26"/>
      <c r="H876" s="20"/>
    </row>
    <row r="877" ht="15.75" customHeight="1">
      <c r="D877" s="20"/>
      <c r="G877" s="26"/>
      <c r="H877" s="20"/>
    </row>
    <row r="878" ht="15.75" customHeight="1">
      <c r="D878" s="20"/>
      <c r="G878" s="26"/>
      <c r="H878" s="20"/>
    </row>
    <row r="879" ht="15.75" customHeight="1">
      <c r="D879" s="20"/>
      <c r="G879" s="26"/>
      <c r="H879" s="20"/>
    </row>
    <row r="880" ht="15.75" customHeight="1">
      <c r="D880" s="20"/>
      <c r="G880" s="26"/>
      <c r="H880" s="20"/>
    </row>
    <row r="881" ht="15.75" customHeight="1">
      <c r="D881" s="20"/>
      <c r="G881" s="26"/>
      <c r="H881" s="20"/>
    </row>
    <row r="882" ht="15.75" customHeight="1">
      <c r="D882" s="20"/>
      <c r="G882" s="26"/>
      <c r="H882" s="20"/>
    </row>
    <row r="883" ht="15.75" customHeight="1">
      <c r="D883" s="20"/>
      <c r="G883" s="26"/>
      <c r="H883" s="20"/>
    </row>
    <row r="884" ht="15.75" customHeight="1">
      <c r="D884" s="20"/>
      <c r="G884" s="26"/>
      <c r="H884" s="20"/>
    </row>
    <row r="885" ht="15.75" customHeight="1">
      <c r="D885" s="20"/>
      <c r="G885" s="26"/>
      <c r="H885" s="20"/>
    </row>
    <row r="886" ht="15.75" customHeight="1">
      <c r="D886" s="20"/>
      <c r="G886" s="26"/>
      <c r="H886" s="20"/>
    </row>
    <row r="887" ht="15.75" customHeight="1">
      <c r="D887" s="20"/>
      <c r="G887" s="26"/>
      <c r="H887" s="20"/>
    </row>
    <row r="888" ht="15.75" customHeight="1">
      <c r="D888" s="20"/>
      <c r="G888" s="26"/>
      <c r="H888" s="20"/>
    </row>
    <row r="889" ht="15.75" customHeight="1">
      <c r="D889" s="20"/>
      <c r="G889" s="26"/>
      <c r="H889" s="20"/>
    </row>
    <row r="890" ht="15.75" customHeight="1">
      <c r="D890" s="20"/>
      <c r="G890" s="26"/>
      <c r="H890" s="20"/>
    </row>
    <row r="891" ht="15.75" customHeight="1">
      <c r="D891" s="20"/>
      <c r="G891" s="26"/>
      <c r="H891" s="20"/>
    </row>
    <row r="892" ht="15.75" customHeight="1">
      <c r="D892" s="20"/>
      <c r="G892" s="26"/>
      <c r="H892" s="20"/>
    </row>
    <row r="893" ht="15.75" customHeight="1">
      <c r="D893" s="20"/>
      <c r="G893" s="26"/>
      <c r="H893" s="20"/>
    </row>
    <row r="894" ht="15.75" customHeight="1">
      <c r="D894" s="20"/>
      <c r="G894" s="26"/>
      <c r="H894" s="20"/>
    </row>
    <row r="895" ht="15.75" customHeight="1">
      <c r="D895" s="20"/>
      <c r="G895" s="26"/>
      <c r="H895" s="20"/>
    </row>
    <row r="896" ht="15.75" customHeight="1">
      <c r="D896" s="20"/>
      <c r="G896" s="26"/>
      <c r="H896" s="20"/>
    </row>
    <row r="897" ht="15.75" customHeight="1">
      <c r="D897" s="20"/>
      <c r="G897" s="26"/>
      <c r="H897" s="20"/>
    </row>
    <row r="898" ht="15.75" customHeight="1">
      <c r="D898" s="20"/>
      <c r="G898" s="26"/>
      <c r="H898" s="20"/>
    </row>
    <row r="899" ht="15.75" customHeight="1">
      <c r="D899" s="20"/>
      <c r="G899" s="26"/>
      <c r="H899" s="20"/>
    </row>
    <row r="900" ht="15.75" customHeight="1">
      <c r="D900" s="20"/>
      <c r="G900" s="26"/>
      <c r="H900" s="20"/>
    </row>
    <row r="901" ht="15.75" customHeight="1">
      <c r="D901" s="20"/>
      <c r="G901" s="26"/>
      <c r="H901" s="20"/>
    </row>
    <row r="902" ht="15.75" customHeight="1">
      <c r="D902" s="20"/>
      <c r="G902" s="26"/>
      <c r="H902" s="20"/>
    </row>
    <row r="903" ht="15.75" customHeight="1">
      <c r="D903" s="20"/>
      <c r="G903" s="26"/>
      <c r="H903" s="20"/>
    </row>
    <row r="904" ht="15.75" customHeight="1">
      <c r="D904" s="20"/>
      <c r="G904" s="26"/>
      <c r="H904" s="20"/>
    </row>
    <row r="905" ht="15.75" customHeight="1">
      <c r="D905" s="20"/>
      <c r="G905" s="26"/>
      <c r="H905" s="20"/>
    </row>
    <row r="906" ht="15.75" customHeight="1">
      <c r="D906" s="20"/>
      <c r="G906" s="26"/>
      <c r="H906" s="20"/>
    </row>
    <row r="907" ht="15.75" customHeight="1">
      <c r="D907" s="20"/>
      <c r="G907" s="26"/>
      <c r="H907" s="20"/>
    </row>
    <row r="908" ht="15.75" customHeight="1">
      <c r="D908" s="20"/>
      <c r="G908" s="26"/>
      <c r="H908" s="20"/>
    </row>
    <row r="909" ht="15.75" customHeight="1">
      <c r="D909" s="20"/>
      <c r="G909" s="26"/>
      <c r="H909" s="20"/>
    </row>
    <row r="910" ht="15.75" customHeight="1">
      <c r="D910" s="20"/>
      <c r="G910" s="26"/>
      <c r="H910" s="20"/>
    </row>
    <row r="911" ht="15.75" customHeight="1">
      <c r="D911" s="20"/>
      <c r="G911" s="26"/>
      <c r="H911" s="20"/>
    </row>
    <row r="912" ht="15.75" customHeight="1">
      <c r="D912" s="20"/>
      <c r="G912" s="26"/>
      <c r="H912" s="20"/>
    </row>
    <row r="913" ht="15.75" customHeight="1">
      <c r="D913" s="20"/>
      <c r="G913" s="26"/>
      <c r="H913" s="20"/>
    </row>
    <row r="914" ht="15.75" customHeight="1">
      <c r="D914" s="20"/>
      <c r="G914" s="26"/>
      <c r="H914" s="20"/>
    </row>
    <row r="915" ht="15.75" customHeight="1">
      <c r="D915" s="20"/>
      <c r="G915" s="26"/>
      <c r="H915" s="20"/>
    </row>
    <row r="916" ht="15.75" customHeight="1">
      <c r="D916" s="20"/>
      <c r="G916" s="26"/>
      <c r="H916" s="20"/>
    </row>
    <row r="917" ht="15.75" customHeight="1">
      <c r="D917" s="20"/>
      <c r="G917" s="26"/>
      <c r="H917" s="20"/>
    </row>
    <row r="918" ht="15.75" customHeight="1">
      <c r="D918" s="20"/>
      <c r="G918" s="26"/>
      <c r="H918" s="20"/>
    </row>
    <row r="919" ht="15.75" customHeight="1">
      <c r="D919" s="20"/>
      <c r="G919" s="26"/>
      <c r="H919" s="20"/>
    </row>
    <row r="920" ht="15.75" customHeight="1">
      <c r="D920" s="20"/>
      <c r="G920" s="26"/>
      <c r="H920" s="20"/>
    </row>
    <row r="921" ht="15.75" customHeight="1">
      <c r="D921" s="20"/>
      <c r="G921" s="26"/>
      <c r="H921" s="20"/>
    </row>
    <row r="922" ht="15.75" customHeight="1">
      <c r="D922" s="20"/>
      <c r="G922" s="26"/>
      <c r="H922" s="20"/>
    </row>
    <row r="923" ht="15.75" customHeight="1">
      <c r="D923" s="20"/>
      <c r="G923" s="26"/>
      <c r="H923" s="20"/>
    </row>
    <row r="924" ht="15.75" customHeight="1">
      <c r="D924" s="20"/>
      <c r="G924" s="26"/>
      <c r="H924" s="20"/>
    </row>
    <row r="925" ht="15.75" customHeight="1">
      <c r="D925" s="20"/>
      <c r="G925" s="26"/>
      <c r="H925" s="20"/>
    </row>
    <row r="926" ht="15.75" customHeight="1">
      <c r="D926" s="20"/>
      <c r="G926" s="26"/>
      <c r="H926" s="20"/>
    </row>
    <row r="927" ht="15.75" customHeight="1">
      <c r="D927" s="20"/>
      <c r="G927" s="26"/>
      <c r="H927" s="20"/>
    </row>
    <row r="928" ht="15.75" customHeight="1">
      <c r="D928" s="20"/>
      <c r="G928" s="26"/>
      <c r="H928" s="20"/>
    </row>
    <row r="929" ht="15.75" customHeight="1">
      <c r="D929" s="20"/>
      <c r="G929" s="26"/>
      <c r="H929" s="20"/>
    </row>
    <row r="930" ht="15.75" customHeight="1">
      <c r="D930" s="20"/>
      <c r="G930" s="26"/>
      <c r="H930" s="20"/>
    </row>
    <row r="931" ht="15.75" customHeight="1">
      <c r="D931" s="20"/>
      <c r="G931" s="26"/>
      <c r="H931" s="20"/>
    </row>
    <row r="932" ht="15.75" customHeight="1">
      <c r="D932" s="20"/>
      <c r="G932" s="26"/>
      <c r="H932" s="20"/>
    </row>
    <row r="933" ht="15.75" customHeight="1">
      <c r="D933" s="20"/>
      <c r="G933" s="26"/>
      <c r="H933" s="20"/>
    </row>
    <row r="934" ht="15.75" customHeight="1">
      <c r="D934" s="20"/>
      <c r="G934" s="26"/>
      <c r="H934" s="20"/>
    </row>
    <row r="935" ht="15.75" customHeight="1">
      <c r="D935" s="20"/>
      <c r="G935" s="26"/>
      <c r="H935" s="20"/>
    </row>
    <row r="936" ht="15.75" customHeight="1">
      <c r="D936" s="20"/>
      <c r="G936" s="26"/>
      <c r="H936" s="20"/>
    </row>
    <row r="937" ht="15.75" customHeight="1">
      <c r="D937" s="20"/>
      <c r="G937" s="26"/>
      <c r="H937" s="20"/>
    </row>
    <row r="938" ht="15.75" customHeight="1">
      <c r="D938" s="20"/>
      <c r="G938" s="26"/>
      <c r="H938" s="20"/>
    </row>
    <row r="939" ht="15.75" customHeight="1">
      <c r="D939" s="20"/>
      <c r="G939" s="26"/>
      <c r="H939" s="20"/>
    </row>
    <row r="940" ht="15.75" customHeight="1">
      <c r="D940" s="20"/>
      <c r="G940" s="26"/>
      <c r="H940" s="20"/>
    </row>
    <row r="941" ht="15.75" customHeight="1">
      <c r="D941" s="20"/>
      <c r="G941" s="26"/>
      <c r="H941" s="20"/>
    </row>
    <row r="942" ht="15.75" customHeight="1">
      <c r="D942" s="20"/>
      <c r="G942" s="26"/>
      <c r="H942" s="20"/>
    </row>
    <row r="943" ht="15.75" customHeight="1">
      <c r="D943" s="20"/>
      <c r="G943" s="26"/>
      <c r="H943" s="20"/>
    </row>
    <row r="944" ht="15.75" customHeight="1">
      <c r="D944" s="20"/>
      <c r="G944" s="26"/>
      <c r="H944" s="20"/>
    </row>
    <row r="945" ht="15.75" customHeight="1">
      <c r="D945" s="20"/>
      <c r="G945" s="26"/>
      <c r="H945" s="20"/>
    </row>
    <row r="946" ht="15.75" customHeight="1">
      <c r="D946" s="20"/>
      <c r="G946" s="26"/>
      <c r="H946" s="20"/>
    </row>
    <row r="947" ht="15.75" customHeight="1">
      <c r="D947" s="20"/>
      <c r="G947" s="26"/>
      <c r="H947" s="20"/>
    </row>
    <row r="948" ht="15.75" customHeight="1">
      <c r="D948" s="20"/>
      <c r="G948" s="26"/>
      <c r="H948" s="20"/>
    </row>
    <row r="949" ht="15.75" customHeight="1">
      <c r="D949" s="20"/>
      <c r="G949" s="26"/>
      <c r="H949" s="20"/>
    </row>
    <row r="950" ht="15.75" customHeight="1">
      <c r="D950" s="20"/>
      <c r="G950" s="26"/>
      <c r="H950" s="20"/>
    </row>
    <row r="951" ht="15.75" customHeight="1">
      <c r="D951" s="20"/>
      <c r="G951" s="26"/>
      <c r="H951" s="20"/>
    </row>
    <row r="952" ht="15.75" customHeight="1">
      <c r="D952" s="20"/>
      <c r="G952" s="26"/>
      <c r="H952" s="20"/>
    </row>
    <row r="953" ht="15.75" customHeight="1">
      <c r="D953" s="20"/>
      <c r="G953" s="26"/>
      <c r="H953" s="20"/>
    </row>
    <row r="954" ht="15.75" customHeight="1">
      <c r="D954" s="20"/>
      <c r="G954" s="26"/>
      <c r="H954" s="20"/>
    </row>
    <row r="955" ht="15.75" customHeight="1">
      <c r="D955" s="20"/>
      <c r="G955" s="26"/>
      <c r="H955" s="20"/>
    </row>
    <row r="956" ht="15.75" customHeight="1">
      <c r="D956" s="20"/>
      <c r="G956" s="26"/>
      <c r="H956" s="20"/>
    </row>
    <row r="957" ht="15.75" customHeight="1">
      <c r="D957" s="20"/>
      <c r="G957" s="26"/>
      <c r="H957" s="20"/>
    </row>
    <row r="958" ht="15.75" customHeight="1">
      <c r="D958" s="20"/>
      <c r="G958" s="26"/>
      <c r="H958" s="20"/>
    </row>
    <row r="959" ht="15.75" customHeight="1">
      <c r="D959" s="20"/>
      <c r="G959" s="26"/>
      <c r="H959" s="20"/>
    </row>
    <row r="960" ht="15.75" customHeight="1">
      <c r="D960" s="20"/>
      <c r="G960" s="26"/>
      <c r="H960" s="20"/>
    </row>
    <row r="961" ht="15.75" customHeight="1">
      <c r="D961" s="20"/>
      <c r="G961" s="26"/>
      <c r="H961" s="20"/>
    </row>
    <row r="962" ht="15.75" customHeight="1">
      <c r="D962" s="20"/>
      <c r="G962" s="26"/>
      <c r="H962" s="20"/>
    </row>
    <row r="963" ht="15.75" customHeight="1">
      <c r="D963" s="20"/>
      <c r="G963" s="26"/>
      <c r="H963" s="20"/>
    </row>
    <row r="964" ht="15.75" customHeight="1">
      <c r="D964" s="20"/>
      <c r="G964" s="26"/>
      <c r="H964" s="20"/>
    </row>
    <row r="965" ht="15.75" customHeight="1">
      <c r="D965" s="20"/>
      <c r="G965" s="26"/>
      <c r="H965" s="20"/>
    </row>
    <row r="966" ht="15.75" customHeight="1">
      <c r="D966" s="20"/>
      <c r="G966" s="26"/>
      <c r="H966" s="20"/>
    </row>
    <row r="967" ht="15.75" customHeight="1">
      <c r="D967" s="20"/>
      <c r="G967" s="26"/>
      <c r="H967" s="20"/>
    </row>
    <row r="968" ht="15.75" customHeight="1">
      <c r="D968" s="20"/>
      <c r="G968" s="26"/>
      <c r="H968" s="20"/>
    </row>
    <row r="969" ht="15.75" customHeight="1">
      <c r="D969" s="20"/>
      <c r="G969" s="26"/>
      <c r="H969" s="20"/>
    </row>
    <row r="970" ht="15.75" customHeight="1">
      <c r="D970" s="20"/>
      <c r="G970" s="26"/>
      <c r="H970" s="20"/>
    </row>
    <row r="971" ht="15.75" customHeight="1">
      <c r="D971" s="20"/>
      <c r="G971" s="26"/>
      <c r="H971" s="20"/>
    </row>
    <row r="972" ht="15.75" customHeight="1">
      <c r="D972" s="20"/>
      <c r="G972" s="26"/>
      <c r="H972" s="20"/>
    </row>
    <row r="973" ht="15.75" customHeight="1">
      <c r="D973" s="20"/>
      <c r="G973" s="26"/>
      <c r="H973" s="20"/>
    </row>
    <row r="974" ht="15.75" customHeight="1">
      <c r="D974" s="20"/>
      <c r="G974" s="26"/>
      <c r="H974" s="20"/>
    </row>
    <row r="975" ht="15.75" customHeight="1">
      <c r="D975" s="20"/>
      <c r="G975" s="26"/>
      <c r="H975" s="20"/>
    </row>
    <row r="976" ht="15.75" customHeight="1">
      <c r="D976" s="20"/>
      <c r="G976" s="26"/>
      <c r="H976" s="20"/>
    </row>
    <row r="977" ht="15.75" customHeight="1">
      <c r="D977" s="20"/>
      <c r="G977" s="26"/>
      <c r="H977" s="20"/>
    </row>
    <row r="978" ht="15.75" customHeight="1">
      <c r="D978" s="20"/>
      <c r="G978" s="26"/>
      <c r="H978" s="20"/>
    </row>
    <row r="979" ht="15.75" customHeight="1">
      <c r="D979" s="20"/>
      <c r="G979" s="26"/>
      <c r="H979" s="20"/>
    </row>
    <row r="980" ht="15.75" customHeight="1">
      <c r="D980" s="20"/>
      <c r="G980" s="26"/>
      <c r="H980" s="20"/>
    </row>
    <row r="981" ht="15.75" customHeight="1">
      <c r="D981" s="20"/>
      <c r="G981" s="26"/>
      <c r="H981" s="20"/>
    </row>
    <row r="982" ht="15.75" customHeight="1">
      <c r="D982" s="20"/>
      <c r="G982" s="26"/>
      <c r="H982" s="20"/>
    </row>
    <row r="983" ht="15.75" customHeight="1">
      <c r="D983" s="20"/>
      <c r="G983" s="26"/>
      <c r="H983" s="20"/>
    </row>
    <row r="984" ht="15.75" customHeight="1">
      <c r="D984" s="20"/>
      <c r="G984" s="26"/>
      <c r="H984" s="20"/>
    </row>
    <row r="985" ht="15.75" customHeight="1">
      <c r="D985" s="20"/>
      <c r="G985" s="26"/>
      <c r="H985" s="20"/>
    </row>
    <row r="986" ht="15.75" customHeight="1">
      <c r="D986" s="20"/>
      <c r="G986" s="26"/>
      <c r="H986" s="20"/>
    </row>
    <row r="987" ht="15.75" customHeight="1">
      <c r="D987" s="20"/>
      <c r="G987" s="26"/>
      <c r="H987" s="20"/>
    </row>
    <row r="988" ht="15.75" customHeight="1">
      <c r="D988" s="20"/>
      <c r="G988" s="26"/>
      <c r="H988" s="20"/>
    </row>
    <row r="989" ht="15.75" customHeight="1">
      <c r="D989" s="20"/>
      <c r="G989" s="26"/>
      <c r="H989" s="20"/>
    </row>
    <row r="990" ht="15.75" customHeight="1">
      <c r="D990" s="20"/>
      <c r="G990" s="26"/>
      <c r="H990" s="20"/>
    </row>
    <row r="991" ht="15.75" customHeight="1">
      <c r="D991" s="20"/>
      <c r="G991" s="26"/>
      <c r="H991" s="20"/>
    </row>
    <row r="992" ht="15.75" customHeight="1">
      <c r="D992" s="20"/>
      <c r="G992" s="26"/>
      <c r="H992" s="20"/>
    </row>
    <row r="993" ht="15.75" customHeight="1">
      <c r="D993" s="20"/>
      <c r="G993" s="26"/>
      <c r="H993" s="20"/>
    </row>
    <row r="994" ht="15.75" customHeight="1">
      <c r="D994" s="20"/>
      <c r="G994" s="26"/>
      <c r="H994" s="20"/>
    </row>
    <row r="995" ht="15.75" customHeight="1">
      <c r="D995" s="20"/>
      <c r="G995" s="26"/>
      <c r="H995" s="20"/>
    </row>
    <row r="996" ht="15.75" customHeight="1">
      <c r="D996" s="20"/>
      <c r="G996" s="26"/>
      <c r="H996" s="20"/>
    </row>
    <row r="997" ht="15.75" customHeight="1">
      <c r="D997" s="20"/>
      <c r="G997" s="26"/>
      <c r="H997" s="20"/>
    </row>
    <row r="998" ht="15.75" customHeight="1">
      <c r="D998" s="20"/>
      <c r="G998" s="26"/>
      <c r="H998" s="20"/>
    </row>
    <row r="999" ht="15.75" customHeight="1">
      <c r="D999" s="20"/>
      <c r="G999" s="26"/>
      <c r="H999" s="20"/>
    </row>
    <row r="1000" ht="15.75" customHeight="1">
      <c r="D1000" s="20"/>
      <c r="G1000" s="26"/>
      <c r="H1000" s="20"/>
    </row>
  </sheetData>
  <mergeCells count="1">
    <mergeCell ref="A1:H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 customWidth="1" min="9" max="26" width="8.63"/>
  </cols>
  <sheetData>
    <row r="1" ht="27.75" customHeight="1">
      <c r="A1" s="52" t="s">
        <v>270</v>
      </c>
    </row>
    <row r="2">
      <c r="A2" s="53" t="s">
        <v>47</v>
      </c>
      <c r="B2" s="54">
        <f>IFERROR(SUM(E5:E1000)/SUM(F5:F1000),0)</f>
        <v>0.6868686869</v>
      </c>
      <c r="C2" s="16"/>
      <c r="D2" s="55" t="s">
        <v>48</v>
      </c>
      <c r="E2" s="56">
        <f>Settings!B3</f>
        <v>46266</v>
      </c>
      <c r="F2" s="16"/>
      <c r="G2" s="57"/>
      <c r="H2" s="56"/>
    </row>
    <row r="3">
      <c r="A3" s="16"/>
      <c r="B3" s="16"/>
      <c r="C3" s="16"/>
      <c r="D3" s="56"/>
      <c r="E3" s="16"/>
      <c r="F3" s="16"/>
      <c r="G3" s="57"/>
      <c r="H3" s="56"/>
    </row>
    <row r="4">
      <c r="A4" s="58" t="s">
        <v>50</v>
      </c>
      <c r="B4" s="58" t="s">
        <v>51</v>
      </c>
      <c r="C4" s="58" t="s">
        <v>36</v>
      </c>
      <c r="D4" s="59" t="s">
        <v>52</v>
      </c>
      <c r="E4" s="58" t="s">
        <v>39</v>
      </c>
      <c r="F4" s="58" t="s">
        <v>53</v>
      </c>
      <c r="G4" s="60" t="s">
        <v>54</v>
      </c>
      <c r="H4" s="59" t="s">
        <v>55</v>
      </c>
    </row>
    <row r="5">
      <c r="A5" s="53" t="s">
        <v>271</v>
      </c>
      <c r="B5" s="53" t="s">
        <v>61</v>
      </c>
      <c r="C5" s="53" t="s">
        <v>44</v>
      </c>
      <c r="D5" s="55">
        <v>46264.33333333333</v>
      </c>
      <c r="E5" s="16">
        <f>IF($A5="","",SUMPRODUCT((AttendanceLog!$E$2:$E$5000=$A5)*(AttendanceLog!$C$2:$C$5000&gt;=MAX($D5,Settings!$B$3))*((AttendanceLog!$I$2:$I$5000="")+(IFERROR(SEARCH(","&amp;$C5&amp;",",","&amp;AttendanceLog!$I$2:$I$5000&amp;","),0)&gt;0))))</f>
        <v>2</v>
      </c>
      <c r="F5" s="16">
        <f>IF($A5="","",SUMPRODUCT((EventLog!$C$2:$C$5000&gt;=MAX($D5,Settings!$B$3))*(EventLog!$C$2:$C$5000&lt;=TODAY())*((EventLog!$F$2:$F$5000="")+(IFERROR(SEARCH(","&amp;$C5&amp;",",","&amp;EventLog!$F$2:$F$5000&amp;","),0)&gt;0))))</f>
        <v>3</v>
      </c>
      <c r="G5" s="57">
        <f t="shared" ref="G5:G37" si="1">IFERROR(E5/F5,0)</f>
        <v>0.6666666667</v>
      </c>
      <c r="H5" s="56">
        <f>IFERROR(__xludf.DUMMYFUNCTION("IFERROR(MAX(FILTER(AttendanceLog!$C:$C,AttendanceLog!$E:$E=$A5,(AttendanceLog!$I:$I="""")+(IFERROR(SEARCH("",""&amp;$C5&amp;"","","",""&amp;AttendanceLog!$I:$I&amp;"",""),0)&gt;0))),"""")"),46303.33333333333)</f>
        <v>46303.33333</v>
      </c>
    </row>
    <row r="6">
      <c r="A6" s="53" t="s">
        <v>272</v>
      </c>
      <c r="B6" s="53" t="s">
        <v>61</v>
      </c>
      <c r="C6" s="53" t="s">
        <v>44</v>
      </c>
      <c r="D6" s="55">
        <v>46264.33333333333</v>
      </c>
      <c r="E6" s="16">
        <f>IF($A6="","",SUMPRODUCT((AttendanceLog!$E$2:$E$5000=$A6)*(AttendanceLog!$C$2:$C$5000&gt;=MAX($D6,Settings!$B$3))*((AttendanceLog!$I$2:$I$5000="")+(IFERROR(SEARCH(","&amp;$C6&amp;",",","&amp;AttendanceLog!$I$2:$I$5000&amp;","),0)&gt;0))))</f>
        <v>2</v>
      </c>
      <c r="F6" s="16">
        <f>IF($A6="","",SUMPRODUCT((EventLog!$C$2:$C$5000&gt;=MAX($D6,Settings!$B$3))*(EventLog!$C$2:$C$5000&lt;=TODAY())*((EventLog!$F$2:$F$5000="")+(IFERROR(SEARCH(","&amp;$C6&amp;",",","&amp;EventLog!$F$2:$F$5000&amp;","),0)&gt;0))))</f>
        <v>3</v>
      </c>
      <c r="G6" s="57">
        <f t="shared" si="1"/>
        <v>0.6666666667</v>
      </c>
      <c r="H6" s="56">
        <f>IFERROR(__xludf.DUMMYFUNCTION("IFERROR(MAX(FILTER(AttendanceLog!$C:$C,AttendanceLog!$E:$E=$A6,(AttendanceLog!$I:$I="""")+(IFERROR(SEARCH("",""&amp;$C6&amp;"","","",""&amp;AttendanceLog!$I:$I&amp;"",""),0)&gt;0))),"""")"),46303.33333333333)</f>
        <v>46303.33333</v>
      </c>
    </row>
    <row r="7">
      <c r="A7" s="53" t="s">
        <v>273</v>
      </c>
      <c r="B7" s="53" t="s">
        <v>61</v>
      </c>
      <c r="C7" s="53" t="s">
        <v>44</v>
      </c>
      <c r="D7" s="55">
        <v>46264.33333333333</v>
      </c>
      <c r="E7" s="16">
        <f>IF($A7="","",SUMPRODUCT((AttendanceLog!$E$2:$E$5000=$A7)*(AttendanceLog!$C$2:$C$5000&gt;=MAX($D7,Settings!$B$3))*((AttendanceLog!$I$2:$I$5000="")+(IFERROR(SEARCH(","&amp;$C7&amp;",",","&amp;AttendanceLog!$I$2:$I$5000&amp;","),0)&gt;0))))</f>
        <v>0</v>
      </c>
      <c r="F7" s="16">
        <f>IF($A7="","",SUMPRODUCT((EventLog!$C$2:$C$5000&gt;=MAX($D7,Settings!$B$3))*(EventLog!$C$2:$C$5000&lt;=TODAY())*((EventLog!$F$2:$F$5000="")+(IFERROR(SEARCH(","&amp;$C7&amp;",",","&amp;EventLog!$F$2:$F$5000&amp;","),0)&gt;0))))</f>
        <v>3</v>
      </c>
      <c r="G7" s="57">
        <f t="shared" si="1"/>
        <v>0</v>
      </c>
      <c r="H7" s="56" t="str">
        <f>IFERROR(__xludf.DUMMYFUNCTION("IFERROR(MAX(FILTER(AttendanceLog!$C:$C,AttendanceLog!$E:$E=$A7,(AttendanceLog!$I:$I="""")+(IFERROR(SEARCH("",""&amp;$C7&amp;"","","",""&amp;AttendanceLog!$I:$I&amp;"",""),0)&gt;0))),"""")"),"")</f>
        <v/>
      </c>
    </row>
    <row r="8">
      <c r="A8" s="53" t="s">
        <v>274</v>
      </c>
      <c r="B8" s="53" t="s">
        <v>61</v>
      </c>
      <c r="C8" s="53" t="s">
        <v>44</v>
      </c>
      <c r="D8" s="55">
        <v>46264.33333333333</v>
      </c>
      <c r="E8" s="16">
        <f>IF($A8="","",SUMPRODUCT((AttendanceLog!$E$2:$E$5000=$A8)*(AttendanceLog!$C$2:$C$5000&gt;=MAX($D8,Settings!$B$3))*((AttendanceLog!$I$2:$I$5000="")+(IFERROR(SEARCH(","&amp;$C8&amp;",",","&amp;AttendanceLog!$I$2:$I$5000&amp;","),0)&gt;0))))</f>
        <v>1</v>
      </c>
      <c r="F8" s="16">
        <f>IF($A8="","",SUMPRODUCT((EventLog!$C$2:$C$5000&gt;=MAX($D8,Settings!$B$3))*(EventLog!$C$2:$C$5000&lt;=TODAY())*((EventLog!$F$2:$F$5000="")+(IFERROR(SEARCH(","&amp;$C8&amp;",",","&amp;EventLog!$F$2:$F$5000&amp;","),0)&gt;0))))</f>
        <v>3</v>
      </c>
      <c r="G8" s="57">
        <f t="shared" si="1"/>
        <v>0.3333333333</v>
      </c>
      <c r="H8" s="56">
        <f>IFERROR(__xludf.DUMMYFUNCTION("IFERROR(MAX(FILTER(AttendanceLog!$C:$C,AttendanceLog!$E:$E=$A8,(AttendanceLog!$I:$I="""")+(IFERROR(SEARCH("",""&amp;$C8&amp;"","","",""&amp;AttendanceLog!$I:$I&amp;"",""),0)&gt;0))),"""")"),46303.33333333333)</f>
        <v>46303.33333</v>
      </c>
    </row>
    <row r="9">
      <c r="A9" s="53" t="s">
        <v>275</v>
      </c>
      <c r="B9" s="53" t="s">
        <v>61</v>
      </c>
      <c r="C9" s="53" t="s">
        <v>44</v>
      </c>
      <c r="D9" s="55">
        <v>46264.33333333333</v>
      </c>
      <c r="E9" s="16">
        <f>IF($A9="","",SUMPRODUCT((AttendanceLog!$E$2:$E$5000=$A9)*(AttendanceLog!$C$2:$C$5000&gt;=MAX($D9,Settings!$B$3))*((AttendanceLog!$I$2:$I$5000="")+(IFERROR(SEARCH(","&amp;$C9&amp;",",","&amp;AttendanceLog!$I$2:$I$5000&amp;","),0)&gt;0))))</f>
        <v>2</v>
      </c>
      <c r="F9" s="16">
        <f>IF($A9="","",SUMPRODUCT((EventLog!$C$2:$C$5000&gt;=MAX($D9,Settings!$B$3))*(EventLog!$C$2:$C$5000&lt;=TODAY())*((EventLog!$F$2:$F$5000="")+(IFERROR(SEARCH(","&amp;$C9&amp;",",","&amp;EventLog!$F$2:$F$5000&amp;","),0)&gt;0))))</f>
        <v>3</v>
      </c>
      <c r="G9" s="57">
        <f t="shared" si="1"/>
        <v>0.6666666667</v>
      </c>
      <c r="H9" s="56">
        <f>IFERROR(__xludf.DUMMYFUNCTION("IFERROR(MAX(FILTER(AttendanceLog!$C:$C,AttendanceLog!$E:$E=$A9,(AttendanceLog!$I:$I="""")+(IFERROR(SEARCH("",""&amp;$C9&amp;"","","",""&amp;AttendanceLog!$I:$I&amp;"",""),0)&gt;0))),"""")"),46303.33333333333)</f>
        <v>46303.33333</v>
      </c>
    </row>
    <row r="10">
      <c r="A10" s="53" t="s">
        <v>276</v>
      </c>
      <c r="B10" s="53" t="s">
        <v>61</v>
      </c>
      <c r="C10" s="53" t="s">
        <v>44</v>
      </c>
      <c r="D10" s="55">
        <v>46264.33333333333</v>
      </c>
      <c r="E10" s="16">
        <f>IF($A10="","",SUMPRODUCT((AttendanceLog!$E$2:$E$5000=$A10)*(AttendanceLog!$C$2:$C$5000&gt;=MAX($D10,Settings!$B$3))*((AttendanceLog!$I$2:$I$5000="")+(IFERROR(SEARCH(","&amp;$C10&amp;",",","&amp;AttendanceLog!$I$2:$I$5000&amp;","),0)&gt;0))))</f>
        <v>1</v>
      </c>
      <c r="F10" s="16">
        <f>IF($A10="","",SUMPRODUCT((EventLog!$C$2:$C$5000&gt;=MAX($D10,Settings!$B$3))*(EventLog!$C$2:$C$5000&lt;=TODAY())*((EventLog!$F$2:$F$5000="")+(IFERROR(SEARCH(","&amp;$C10&amp;",",","&amp;EventLog!$F$2:$F$5000&amp;","),0)&gt;0))))</f>
        <v>3</v>
      </c>
      <c r="G10" s="57">
        <f t="shared" si="1"/>
        <v>0.3333333333</v>
      </c>
      <c r="H10" s="56">
        <f>IFERROR(__xludf.DUMMYFUNCTION("IFERROR(MAX(FILTER(AttendanceLog!$C:$C,AttendanceLog!$E:$E=$A10,(AttendanceLog!$I:$I="""")+(IFERROR(SEARCH("",""&amp;$C10&amp;"","","",""&amp;AttendanceLog!$I:$I&amp;"",""),0)&gt;0))),"""")"),46303.33333333333)</f>
        <v>46303.33333</v>
      </c>
    </row>
    <row r="11">
      <c r="A11" s="53" t="s">
        <v>277</v>
      </c>
      <c r="B11" s="53" t="s">
        <v>61</v>
      </c>
      <c r="C11" s="53" t="s">
        <v>44</v>
      </c>
      <c r="D11" s="55">
        <v>46264.33333333333</v>
      </c>
      <c r="E11" s="16">
        <f>IF($A11="","",SUMPRODUCT((AttendanceLog!$E$2:$E$5000=$A11)*(AttendanceLog!$C$2:$C$5000&gt;=MAX($D11,Settings!$B$3))*((AttendanceLog!$I$2:$I$5000="")+(IFERROR(SEARCH(","&amp;$C11&amp;",",","&amp;AttendanceLog!$I$2:$I$5000&amp;","),0)&gt;0))))</f>
        <v>1</v>
      </c>
      <c r="F11" s="16">
        <f>IF($A11="","",SUMPRODUCT((EventLog!$C$2:$C$5000&gt;=MAX($D11,Settings!$B$3))*(EventLog!$C$2:$C$5000&lt;=TODAY())*((EventLog!$F$2:$F$5000="")+(IFERROR(SEARCH(","&amp;$C11&amp;",",","&amp;EventLog!$F$2:$F$5000&amp;","),0)&gt;0))))</f>
        <v>3</v>
      </c>
      <c r="G11" s="57">
        <f t="shared" si="1"/>
        <v>0.3333333333</v>
      </c>
      <c r="H11" s="56">
        <f>IFERROR(__xludf.DUMMYFUNCTION("IFERROR(MAX(FILTER(AttendanceLog!$C:$C,AttendanceLog!$E:$E=$A11,(AttendanceLog!$I:$I="""")+(IFERROR(SEARCH("",""&amp;$C11&amp;"","","",""&amp;AttendanceLog!$I:$I&amp;"",""),0)&gt;0))),"""")"),46303.33333333333)</f>
        <v>46303.33333</v>
      </c>
    </row>
    <row r="12">
      <c r="A12" s="53" t="s">
        <v>278</v>
      </c>
      <c r="B12" s="53" t="s">
        <v>61</v>
      </c>
      <c r="C12" s="53" t="s">
        <v>44</v>
      </c>
      <c r="D12" s="55">
        <v>46264.33333333333</v>
      </c>
      <c r="E12" s="16">
        <f>IF($A12="","",SUMPRODUCT((AttendanceLog!$E$2:$E$5000=$A12)*(AttendanceLog!$C$2:$C$5000&gt;=MAX($D12,Settings!$B$3))*((AttendanceLog!$I$2:$I$5000="")+(IFERROR(SEARCH(","&amp;$C12&amp;",",","&amp;AttendanceLog!$I$2:$I$5000&amp;","),0)&gt;0))))</f>
        <v>2</v>
      </c>
      <c r="F12" s="16">
        <f>IF($A12="","",SUMPRODUCT((EventLog!$C$2:$C$5000&gt;=MAX($D12,Settings!$B$3))*(EventLog!$C$2:$C$5000&lt;=TODAY())*((EventLog!$F$2:$F$5000="")+(IFERROR(SEARCH(","&amp;$C12&amp;",",","&amp;EventLog!$F$2:$F$5000&amp;","),0)&gt;0))))</f>
        <v>3</v>
      </c>
      <c r="G12" s="57">
        <f t="shared" si="1"/>
        <v>0.6666666667</v>
      </c>
      <c r="H12" s="56">
        <f>IFERROR(__xludf.DUMMYFUNCTION("IFERROR(MAX(FILTER(AttendanceLog!$C:$C,AttendanceLog!$E:$E=$A12,(AttendanceLog!$I:$I="""")+(IFERROR(SEARCH("",""&amp;$C12&amp;"","","",""&amp;AttendanceLog!$I:$I&amp;"",""),0)&gt;0))),"""")"),46303.33333333333)</f>
        <v>46303.33333</v>
      </c>
    </row>
    <row r="13">
      <c r="A13" s="53" t="s">
        <v>279</v>
      </c>
      <c r="B13" s="53" t="s">
        <v>61</v>
      </c>
      <c r="C13" s="53" t="s">
        <v>44</v>
      </c>
      <c r="D13" s="55">
        <v>46264.33333333333</v>
      </c>
      <c r="E13" s="16">
        <f>IF($A13="","",SUMPRODUCT((AttendanceLog!$E$2:$E$5000=$A13)*(AttendanceLog!$C$2:$C$5000&gt;=MAX($D13,Settings!$B$3))*((AttendanceLog!$I$2:$I$5000="")+(IFERROR(SEARCH(","&amp;$C13&amp;",",","&amp;AttendanceLog!$I$2:$I$5000&amp;","),0)&gt;0))))</f>
        <v>0</v>
      </c>
      <c r="F13" s="16">
        <f>IF($A13="","",SUMPRODUCT((EventLog!$C$2:$C$5000&gt;=MAX($D13,Settings!$B$3))*(EventLog!$C$2:$C$5000&lt;=TODAY())*((EventLog!$F$2:$F$5000="")+(IFERROR(SEARCH(","&amp;$C13&amp;",",","&amp;EventLog!$F$2:$F$5000&amp;","),0)&gt;0))))</f>
        <v>3</v>
      </c>
      <c r="G13" s="57">
        <f t="shared" si="1"/>
        <v>0</v>
      </c>
      <c r="H13" s="56" t="str">
        <f>IFERROR(__xludf.DUMMYFUNCTION("IFERROR(MAX(FILTER(AttendanceLog!$C:$C,AttendanceLog!$E:$E=$A13,(AttendanceLog!$I:$I="""")+(IFERROR(SEARCH("",""&amp;$C13&amp;"","","",""&amp;AttendanceLog!$I:$I&amp;"",""),0)&gt;0))),"""")"),"")</f>
        <v/>
      </c>
    </row>
    <row r="14">
      <c r="A14" s="53" t="s">
        <v>280</v>
      </c>
      <c r="B14" s="53" t="s">
        <v>61</v>
      </c>
      <c r="C14" s="53" t="s">
        <v>44</v>
      </c>
      <c r="D14" s="55">
        <v>46264.33333333333</v>
      </c>
      <c r="E14" s="16">
        <f>IF($A14="","",SUMPRODUCT((AttendanceLog!$E$2:$E$5000=$A14)*(AttendanceLog!$C$2:$C$5000&gt;=MAX($D14,Settings!$B$3))*((AttendanceLog!$I$2:$I$5000="")+(IFERROR(SEARCH(","&amp;$C14&amp;",",","&amp;AttendanceLog!$I$2:$I$5000&amp;","),0)&gt;0))))</f>
        <v>3</v>
      </c>
      <c r="F14" s="16">
        <f>IF($A14="","",SUMPRODUCT((EventLog!$C$2:$C$5000&gt;=MAX($D14,Settings!$B$3))*(EventLog!$C$2:$C$5000&lt;=TODAY())*((EventLog!$F$2:$F$5000="")+(IFERROR(SEARCH(","&amp;$C14&amp;",",","&amp;EventLog!$F$2:$F$5000&amp;","),0)&gt;0))))</f>
        <v>3</v>
      </c>
      <c r="G14" s="57">
        <f t="shared" si="1"/>
        <v>1</v>
      </c>
      <c r="H14" s="56">
        <f>IFERROR(__xludf.DUMMYFUNCTION("IFERROR(MAX(FILTER(AttendanceLog!$C:$C,AttendanceLog!$E:$E=$A14,(AttendanceLog!$I:$I="""")+(IFERROR(SEARCH("",""&amp;$C14&amp;"","","",""&amp;AttendanceLog!$I:$I&amp;"",""),0)&gt;0))),"""")"),46305.33333333333)</f>
        <v>46305.33333</v>
      </c>
    </row>
    <row r="15">
      <c r="A15" s="53" t="s">
        <v>281</v>
      </c>
      <c r="B15" s="53" t="s">
        <v>61</v>
      </c>
      <c r="C15" s="53" t="s">
        <v>44</v>
      </c>
      <c r="D15" s="55">
        <v>46264.33333333333</v>
      </c>
      <c r="E15" s="16">
        <f>IF($A15="","",SUMPRODUCT((AttendanceLog!$E$2:$E$5000=$A15)*(AttendanceLog!$C$2:$C$5000&gt;=MAX($D15,Settings!$B$3))*((AttendanceLog!$I$2:$I$5000="")+(IFERROR(SEARCH(","&amp;$C15&amp;",",","&amp;AttendanceLog!$I$2:$I$5000&amp;","),0)&gt;0))))</f>
        <v>1</v>
      </c>
      <c r="F15" s="16">
        <f>IF($A15="","",SUMPRODUCT((EventLog!$C$2:$C$5000&gt;=MAX($D15,Settings!$B$3))*(EventLog!$C$2:$C$5000&lt;=TODAY())*((EventLog!$F$2:$F$5000="")+(IFERROR(SEARCH(","&amp;$C15&amp;",",","&amp;EventLog!$F$2:$F$5000&amp;","),0)&gt;0))))</f>
        <v>3</v>
      </c>
      <c r="G15" s="57">
        <f t="shared" si="1"/>
        <v>0.3333333333</v>
      </c>
      <c r="H15" s="56">
        <f>IFERROR(__xludf.DUMMYFUNCTION("IFERROR(MAX(FILTER(AttendanceLog!$C:$C,AttendanceLog!$E:$E=$A15,(AttendanceLog!$I:$I="""")+(IFERROR(SEARCH("",""&amp;$C15&amp;"","","",""&amp;AttendanceLog!$I:$I&amp;"",""),0)&gt;0))),"""")"),46305.33333333333)</f>
        <v>46305.33333</v>
      </c>
    </row>
    <row r="16">
      <c r="A16" s="53" t="s">
        <v>282</v>
      </c>
      <c r="B16" s="53" t="s">
        <v>61</v>
      </c>
      <c r="C16" s="53" t="s">
        <v>44</v>
      </c>
      <c r="D16" s="55">
        <v>46264.33333333333</v>
      </c>
      <c r="E16" s="16">
        <f>IF($A16="","",SUMPRODUCT((AttendanceLog!$E$2:$E$5000=$A16)*(AttendanceLog!$C$2:$C$5000&gt;=MAX($D16,Settings!$B$3))*((AttendanceLog!$I$2:$I$5000="")+(IFERROR(SEARCH(","&amp;$C16&amp;",",","&amp;AttendanceLog!$I$2:$I$5000&amp;","),0)&gt;0))))</f>
        <v>3</v>
      </c>
      <c r="F16" s="16">
        <f>IF($A16="","",SUMPRODUCT((EventLog!$C$2:$C$5000&gt;=MAX($D16,Settings!$B$3))*(EventLog!$C$2:$C$5000&lt;=TODAY())*((EventLog!$F$2:$F$5000="")+(IFERROR(SEARCH(","&amp;$C16&amp;",",","&amp;EventLog!$F$2:$F$5000&amp;","),0)&gt;0))))</f>
        <v>3</v>
      </c>
      <c r="G16" s="57">
        <f t="shared" si="1"/>
        <v>1</v>
      </c>
      <c r="H16" s="56">
        <f>IFERROR(__xludf.DUMMYFUNCTION("IFERROR(MAX(FILTER(AttendanceLog!$C:$C,AttendanceLog!$E:$E=$A16,(AttendanceLog!$I:$I="""")+(IFERROR(SEARCH("",""&amp;$C16&amp;"","","",""&amp;AttendanceLog!$I:$I&amp;"",""),0)&gt;0))),"""")"),46305.33333333333)</f>
        <v>46305.33333</v>
      </c>
    </row>
    <row r="17">
      <c r="A17" s="53" t="s">
        <v>283</v>
      </c>
      <c r="B17" s="53" t="s">
        <v>61</v>
      </c>
      <c r="C17" s="53" t="s">
        <v>44</v>
      </c>
      <c r="D17" s="55">
        <v>46264.33333333333</v>
      </c>
      <c r="E17" s="16">
        <f>IF($A17="","",SUMPRODUCT((AttendanceLog!$E$2:$E$5000=$A17)*(AttendanceLog!$C$2:$C$5000&gt;=MAX($D17,Settings!$B$3))*((AttendanceLog!$I$2:$I$5000="")+(IFERROR(SEARCH(","&amp;$C17&amp;",",","&amp;AttendanceLog!$I$2:$I$5000&amp;","),0)&gt;0))))</f>
        <v>2</v>
      </c>
      <c r="F17" s="16">
        <f>IF($A17="","",SUMPRODUCT((EventLog!$C$2:$C$5000&gt;=MAX($D17,Settings!$B$3))*(EventLog!$C$2:$C$5000&lt;=TODAY())*((EventLog!$F$2:$F$5000="")+(IFERROR(SEARCH(","&amp;$C17&amp;",",","&amp;EventLog!$F$2:$F$5000&amp;","),0)&gt;0))))</f>
        <v>3</v>
      </c>
      <c r="G17" s="57">
        <f t="shared" si="1"/>
        <v>0.6666666667</v>
      </c>
      <c r="H17" s="56">
        <f>IFERROR(__xludf.DUMMYFUNCTION("IFERROR(MAX(FILTER(AttendanceLog!$C:$C,AttendanceLog!$E:$E=$A17,(AttendanceLog!$I:$I="""")+(IFERROR(SEARCH("",""&amp;$C17&amp;"","","",""&amp;AttendanceLog!$I:$I&amp;"",""),0)&gt;0))),"""")"),46305.33333333333)</f>
        <v>46305.33333</v>
      </c>
    </row>
    <row r="18">
      <c r="A18" s="53" t="s">
        <v>284</v>
      </c>
      <c r="B18" s="53" t="s">
        <v>61</v>
      </c>
      <c r="C18" s="53" t="s">
        <v>44</v>
      </c>
      <c r="D18" s="55">
        <v>46264.33333333333</v>
      </c>
      <c r="E18" s="16">
        <f>IF($A18="","",SUMPRODUCT((AttendanceLog!$E$2:$E$5000=$A18)*(AttendanceLog!$C$2:$C$5000&gt;=MAX($D18,Settings!$B$3))*((AttendanceLog!$I$2:$I$5000="")+(IFERROR(SEARCH(","&amp;$C18&amp;",",","&amp;AttendanceLog!$I$2:$I$5000&amp;","),0)&gt;0))))</f>
        <v>3</v>
      </c>
      <c r="F18" s="16">
        <f>IF($A18="","",SUMPRODUCT((EventLog!$C$2:$C$5000&gt;=MAX($D18,Settings!$B$3))*(EventLog!$C$2:$C$5000&lt;=TODAY())*((EventLog!$F$2:$F$5000="")+(IFERROR(SEARCH(","&amp;$C18&amp;",",","&amp;EventLog!$F$2:$F$5000&amp;","),0)&gt;0))))</f>
        <v>3</v>
      </c>
      <c r="G18" s="57">
        <f t="shared" si="1"/>
        <v>1</v>
      </c>
      <c r="H18" s="56">
        <f>IFERROR(__xludf.DUMMYFUNCTION("IFERROR(MAX(FILTER(AttendanceLog!$C:$C,AttendanceLog!$E:$E=$A18,(AttendanceLog!$I:$I="""")+(IFERROR(SEARCH("",""&amp;$C18&amp;"","","",""&amp;AttendanceLog!$I:$I&amp;"",""),0)&gt;0))),"""")"),46305.33333333333)</f>
        <v>46305.33333</v>
      </c>
    </row>
    <row r="19">
      <c r="A19" s="53" t="s">
        <v>285</v>
      </c>
      <c r="B19" s="53" t="s">
        <v>61</v>
      </c>
      <c r="C19" s="53" t="s">
        <v>44</v>
      </c>
      <c r="D19" s="55">
        <v>46264.33333333333</v>
      </c>
      <c r="E19" s="16">
        <f>IF($A19="","",SUMPRODUCT((AttendanceLog!$E$2:$E$5000=$A19)*(AttendanceLog!$C$2:$C$5000&gt;=MAX($D19,Settings!$B$3))*((AttendanceLog!$I$2:$I$5000="")+(IFERROR(SEARCH(","&amp;$C19&amp;",",","&amp;AttendanceLog!$I$2:$I$5000&amp;","),0)&gt;0))))</f>
        <v>1</v>
      </c>
      <c r="F19" s="16">
        <f>IF($A19="","",SUMPRODUCT((EventLog!$C$2:$C$5000&gt;=MAX($D19,Settings!$B$3))*(EventLog!$C$2:$C$5000&lt;=TODAY())*((EventLog!$F$2:$F$5000="")+(IFERROR(SEARCH(","&amp;$C19&amp;",",","&amp;EventLog!$F$2:$F$5000&amp;","),0)&gt;0))))</f>
        <v>3</v>
      </c>
      <c r="G19" s="57">
        <f t="shared" si="1"/>
        <v>0.3333333333</v>
      </c>
      <c r="H19" s="56">
        <f>IFERROR(__xludf.DUMMYFUNCTION("IFERROR(MAX(FILTER(AttendanceLog!$C:$C,AttendanceLog!$E:$E=$A19,(AttendanceLog!$I:$I="""")+(IFERROR(SEARCH("",""&amp;$C19&amp;"","","",""&amp;AttendanceLog!$I:$I&amp;"",""),0)&gt;0))),"""")"),46303.33333333333)</f>
        <v>46303.33333</v>
      </c>
    </row>
    <row r="20">
      <c r="A20" s="53" t="s">
        <v>286</v>
      </c>
      <c r="B20" s="53" t="s">
        <v>61</v>
      </c>
      <c r="C20" s="53" t="s">
        <v>44</v>
      </c>
      <c r="D20" s="55">
        <v>46264.33333333333</v>
      </c>
      <c r="E20" s="16">
        <f>IF($A20="","",SUMPRODUCT((AttendanceLog!$E$2:$E$5000=$A20)*(AttendanceLog!$C$2:$C$5000&gt;=MAX($D20,Settings!$B$3))*((AttendanceLog!$I$2:$I$5000="")+(IFERROR(SEARCH(","&amp;$C20&amp;",",","&amp;AttendanceLog!$I$2:$I$5000&amp;","),0)&gt;0))))</f>
        <v>3</v>
      </c>
      <c r="F20" s="16">
        <f>IF($A20="","",SUMPRODUCT((EventLog!$C$2:$C$5000&gt;=MAX($D20,Settings!$B$3))*(EventLog!$C$2:$C$5000&lt;=TODAY())*((EventLog!$F$2:$F$5000="")+(IFERROR(SEARCH(","&amp;$C20&amp;",",","&amp;EventLog!$F$2:$F$5000&amp;","),0)&gt;0))))</f>
        <v>3</v>
      </c>
      <c r="G20" s="57">
        <f t="shared" si="1"/>
        <v>1</v>
      </c>
      <c r="H20" s="56">
        <f>IFERROR(__xludf.DUMMYFUNCTION("IFERROR(MAX(FILTER(AttendanceLog!$C:$C,AttendanceLog!$E:$E=$A20,(AttendanceLog!$I:$I="""")+(IFERROR(SEARCH("",""&amp;$C20&amp;"","","",""&amp;AttendanceLog!$I:$I&amp;"",""),0)&gt;0))),"""")"),46305.33333333333)</f>
        <v>46305.33333</v>
      </c>
    </row>
    <row r="21" ht="15.75" customHeight="1">
      <c r="A21" s="53" t="s">
        <v>287</v>
      </c>
      <c r="B21" s="53" t="s">
        <v>61</v>
      </c>
      <c r="C21" s="53" t="s">
        <v>44</v>
      </c>
      <c r="D21" s="55">
        <v>46264.33333333333</v>
      </c>
      <c r="E21" s="16">
        <f>IF($A21="","",SUMPRODUCT((AttendanceLog!$E$2:$E$5000=$A21)*(AttendanceLog!$C$2:$C$5000&gt;=MAX($D21,Settings!$B$3))*((AttendanceLog!$I$2:$I$5000="")+(IFERROR(SEARCH(","&amp;$C21&amp;",",","&amp;AttendanceLog!$I$2:$I$5000&amp;","),0)&gt;0))))</f>
        <v>2</v>
      </c>
      <c r="F21" s="16">
        <f>IF($A21="","",SUMPRODUCT((EventLog!$C$2:$C$5000&gt;=MAX($D21,Settings!$B$3))*(EventLog!$C$2:$C$5000&lt;=TODAY())*((EventLog!$F$2:$F$5000="")+(IFERROR(SEARCH(","&amp;$C21&amp;",",","&amp;EventLog!$F$2:$F$5000&amp;","),0)&gt;0))))</f>
        <v>3</v>
      </c>
      <c r="G21" s="57">
        <f t="shared" si="1"/>
        <v>0.6666666667</v>
      </c>
      <c r="H21" s="56">
        <f>IFERROR(__xludf.DUMMYFUNCTION("IFERROR(MAX(FILTER(AttendanceLog!$C:$C,AttendanceLog!$E:$E=$A21,(AttendanceLog!$I:$I="""")+(IFERROR(SEARCH("",""&amp;$C21&amp;"","","",""&amp;AttendanceLog!$I:$I&amp;"",""),0)&gt;0))),"""")"),46305.33333333333)</f>
        <v>46305.33333</v>
      </c>
    </row>
    <row r="22" ht="15.75" customHeight="1">
      <c r="A22" s="53" t="s">
        <v>288</v>
      </c>
      <c r="B22" s="53" t="s">
        <v>61</v>
      </c>
      <c r="C22" s="53" t="s">
        <v>44</v>
      </c>
      <c r="D22" s="55">
        <v>46264.33333333333</v>
      </c>
      <c r="E22" s="16">
        <f>IF($A22="","",SUMPRODUCT((AttendanceLog!$E$2:$E$5000=$A22)*(AttendanceLog!$C$2:$C$5000&gt;=MAX($D22,Settings!$B$3))*((AttendanceLog!$I$2:$I$5000="")+(IFERROR(SEARCH(","&amp;$C22&amp;",",","&amp;AttendanceLog!$I$2:$I$5000&amp;","),0)&gt;0))))</f>
        <v>3</v>
      </c>
      <c r="F22" s="16">
        <f>IF($A22="","",SUMPRODUCT((EventLog!$C$2:$C$5000&gt;=MAX($D22,Settings!$B$3))*(EventLog!$C$2:$C$5000&lt;=TODAY())*((EventLog!$F$2:$F$5000="")+(IFERROR(SEARCH(","&amp;$C22&amp;",",","&amp;EventLog!$F$2:$F$5000&amp;","),0)&gt;0))))</f>
        <v>3</v>
      </c>
      <c r="G22" s="57">
        <f t="shared" si="1"/>
        <v>1</v>
      </c>
      <c r="H22" s="56">
        <f>IFERROR(__xludf.DUMMYFUNCTION("IFERROR(MAX(FILTER(AttendanceLog!$C:$C,AttendanceLog!$E:$E=$A22,(AttendanceLog!$I:$I="""")+(IFERROR(SEARCH("",""&amp;$C22&amp;"","","",""&amp;AttendanceLog!$I:$I&amp;"",""),0)&gt;0))),"""")"),46305.33333333333)</f>
        <v>46305.33333</v>
      </c>
    </row>
    <row r="23" ht="15.75" customHeight="1">
      <c r="A23" s="53" t="s">
        <v>289</v>
      </c>
      <c r="B23" s="53" t="s">
        <v>61</v>
      </c>
      <c r="C23" s="53" t="s">
        <v>44</v>
      </c>
      <c r="D23" s="55">
        <v>46264.33333333333</v>
      </c>
      <c r="E23" s="16">
        <f>IF($A23="","",SUMPRODUCT((AttendanceLog!$E$2:$E$5000=$A23)*(AttendanceLog!$C$2:$C$5000&gt;=MAX($D23,Settings!$B$3))*((AttendanceLog!$I$2:$I$5000="")+(IFERROR(SEARCH(","&amp;$C23&amp;",",","&amp;AttendanceLog!$I$2:$I$5000&amp;","),0)&gt;0))))</f>
        <v>3</v>
      </c>
      <c r="F23" s="16">
        <f>IF($A23="","",SUMPRODUCT((EventLog!$C$2:$C$5000&gt;=MAX($D23,Settings!$B$3))*(EventLog!$C$2:$C$5000&lt;=TODAY())*((EventLog!$F$2:$F$5000="")+(IFERROR(SEARCH(","&amp;$C23&amp;",",","&amp;EventLog!$F$2:$F$5000&amp;","),0)&gt;0))))</f>
        <v>3</v>
      </c>
      <c r="G23" s="57">
        <f t="shared" si="1"/>
        <v>1</v>
      </c>
      <c r="H23" s="56">
        <f>IFERROR(__xludf.DUMMYFUNCTION("IFERROR(MAX(FILTER(AttendanceLog!$C:$C,AttendanceLog!$E:$E=$A23,(AttendanceLog!$I:$I="""")+(IFERROR(SEARCH("",""&amp;$C23&amp;"","","",""&amp;AttendanceLog!$I:$I&amp;"",""),0)&gt;0))),"""")"),46305.33333333333)</f>
        <v>46305.33333</v>
      </c>
    </row>
    <row r="24" ht="15.75" customHeight="1">
      <c r="A24" s="53" t="s">
        <v>290</v>
      </c>
      <c r="B24" s="53" t="s">
        <v>61</v>
      </c>
      <c r="C24" s="53" t="s">
        <v>44</v>
      </c>
      <c r="D24" s="55">
        <v>46264.33333333333</v>
      </c>
      <c r="E24" s="16">
        <f>IF($A24="","",SUMPRODUCT((AttendanceLog!$E$2:$E$5000=$A24)*(AttendanceLog!$C$2:$C$5000&gt;=MAX($D24,Settings!$B$3))*((AttendanceLog!$I$2:$I$5000="")+(IFERROR(SEARCH(","&amp;$C24&amp;",",","&amp;AttendanceLog!$I$2:$I$5000&amp;","),0)&gt;0))))</f>
        <v>2</v>
      </c>
      <c r="F24" s="16">
        <f>IF($A24="","",SUMPRODUCT((EventLog!$C$2:$C$5000&gt;=MAX($D24,Settings!$B$3))*(EventLog!$C$2:$C$5000&lt;=TODAY())*((EventLog!$F$2:$F$5000="")+(IFERROR(SEARCH(","&amp;$C24&amp;",",","&amp;EventLog!$F$2:$F$5000&amp;","),0)&gt;0))))</f>
        <v>3</v>
      </c>
      <c r="G24" s="57">
        <f t="shared" si="1"/>
        <v>0.6666666667</v>
      </c>
      <c r="H24" s="56">
        <f>IFERROR(__xludf.DUMMYFUNCTION("IFERROR(MAX(FILTER(AttendanceLog!$C:$C,AttendanceLog!$E:$E=$A24,(AttendanceLog!$I:$I="""")+(IFERROR(SEARCH("",""&amp;$C24&amp;"","","",""&amp;AttendanceLog!$I:$I&amp;"",""),0)&gt;0))),"""")"),46305.33333333333)</f>
        <v>46305.33333</v>
      </c>
    </row>
    <row r="25" ht="15.75" customHeight="1">
      <c r="A25" s="53" t="s">
        <v>291</v>
      </c>
      <c r="B25" s="53" t="s">
        <v>61</v>
      </c>
      <c r="C25" s="53" t="s">
        <v>44</v>
      </c>
      <c r="D25" s="55">
        <v>46264.33333333333</v>
      </c>
      <c r="E25" s="16">
        <f>IF($A25="","",SUMPRODUCT((AttendanceLog!$E$2:$E$5000=$A25)*(AttendanceLog!$C$2:$C$5000&gt;=MAX($D25,Settings!$B$3))*((AttendanceLog!$I$2:$I$5000="")+(IFERROR(SEARCH(","&amp;$C25&amp;",",","&amp;AttendanceLog!$I$2:$I$5000&amp;","),0)&gt;0))))</f>
        <v>2</v>
      </c>
      <c r="F25" s="16">
        <f>IF($A25="","",SUMPRODUCT((EventLog!$C$2:$C$5000&gt;=MAX($D25,Settings!$B$3))*(EventLog!$C$2:$C$5000&lt;=TODAY())*((EventLog!$F$2:$F$5000="")+(IFERROR(SEARCH(","&amp;$C25&amp;",",","&amp;EventLog!$F$2:$F$5000&amp;","),0)&gt;0))))</f>
        <v>3</v>
      </c>
      <c r="G25" s="57">
        <f t="shared" si="1"/>
        <v>0.6666666667</v>
      </c>
      <c r="H25" s="56">
        <f>IFERROR(__xludf.DUMMYFUNCTION("IFERROR(MAX(FILTER(AttendanceLog!$C:$C,AttendanceLog!$E:$E=$A25,(AttendanceLog!$I:$I="""")+(IFERROR(SEARCH("",""&amp;$C25&amp;"","","",""&amp;AttendanceLog!$I:$I&amp;"",""),0)&gt;0))),"""")"),46303.33333333333)</f>
        <v>46303.33333</v>
      </c>
    </row>
    <row r="26" ht="15.75" customHeight="1">
      <c r="A26" s="53" t="s">
        <v>292</v>
      </c>
      <c r="B26" s="53" t="s">
        <v>61</v>
      </c>
      <c r="C26" s="53" t="s">
        <v>44</v>
      </c>
      <c r="D26" s="55">
        <v>46264.33333333333</v>
      </c>
      <c r="E26" s="16">
        <f>IF($A26="","",SUMPRODUCT((AttendanceLog!$E$2:$E$5000=$A26)*(AttendanceLog!$C$2:$C$5000&gt;=MAX($D26,Settings!$B$3))*((AttendanceLog!$I$2:$I$5000="")+(IFERROR(SEARCH(","&amp;$C26&amp;",",","&amp;AttendanceLog!$I$2:$I$5000&amp;","),0)&gt;0))))</f>
        <v>3</v>
      </c>
      <c r="F26" s="16">
        <f>IF($A26="","",SUMPRODUCT((EventLog!$C$2:$C$5000&gt;=MAX($D26,Settings!$B$3))*(EventLog!$C$2:$C$5000&lt;=TODAY())*((EventLog!$F$2:$F$5000="")+(IFERROR(SEARCH(","&amp;$C26&amp;",",","&amp;EventLog!$F$2:$F$5000&amp;","),0)&gt;0))))</f>
        <v>3</v>
      </c>
      <c r="G26" s="57">
        <f t="shared" si="1"/>
        <v>1</v>
      </c>
      <c r="H26" s="56">
        <f>IFERROR(__xludf.DUMMYFUNCTION("IFERROR(MAX(FILTER(AttendanceLog!$C:$C,AttendanceLog!$E:$E=$A26,(AttendanceLog!$I:$I="""")+(IFERROR(SEARCH("",""&amp;$C26&amp;"","","",""&amp;AttendanceLog!$I:$I&amp;"",""),0)&gt;0))),"""")"),46305.33333333333)</f>
        <v>46305.33333</v>
      </c>
    </row>
    <row r="27" ht="15.75" customHeight="1">
      <c r="A27" s="53" t="s">
        <v>293</v>
      </c>
      <c r="B27" s="53" t="s">
        <v>61</v>
      </c>
      <c r="C27" s="53" t="s">
        <v>44</v>
      </c>
      <c r="D27" s="55">
        <v>46264.33333333333</v>
      </c>
      <c r="E27" s="16">
        <f>IF($A27="","",SUMPRODUCT((AttendanceLog!$E$2:$E$5000=$A27)*(AttendanceLog!$C$2:$C$5000&gt;=MAX($D27,Settings!$B$3))*((AttendanceLog!$I$2:$I$5000="")+(IFERROR(SEARCH(","&amp;$C27&amp;",",","&amp;AttendanceLog!$I$2:$I$5000&amp;","),0)&gt;0))))</f>
        <v>2</v>
      </c>
      <c r="F27" s="16">
        <f>IF($A27="","",SUMPRODUCT((EventLog!$C$2:$C$5000&gt;=MAX($D27,Settings!$B$3))*(EventLog!$C$2:$C$5000&lt;=TODAY())*((EventLog!$F$2:$F$5000="")+(IFERROR(SEARCH(","&amp;$C27&amp;",",","&amp;EventLog!$F$2:$F$5000&amp;","),0)&gt;0))))</f>
        <v>3</v>
      </c>
      <c r="G27" s="57">
        <f t="shared" si="1"/>
        <v>0.6666666667</v>
      </c>
      <c r="H27" s="56">
        <f>IFERROR(__xludf.DUMMYFUNCTION("IFERROR(MAX(FILTER(AttendanceLog!$C:$C,AttendanceLog!$E:$E=$A27,(AttendanceLog!$I:$I="""")+(IFERROR(SEARCH("",""&amp;$C27&amp;"","","",""&amp;AttendanceLog!$I:$I&amp;"",""),0)&gt;0))),"""")"),46303.33333333333)</f>
        <v>46303.33333</v>
      </c>
    </row>
    <row r="28" ht="15.75" customHeight="1">
      <c r="A28" s="53" t="s">
        <v>294</v>
      </c>
      <c r="B28" s="53" t="s">
        <v>61</v>
      </c>
      <c r="C28" s="53" t="s">
        <v>44</v>
      </c>
      <c r="D28" s="55">
        <v>46264.33333333333</v>
      </c>
      <c r="E28" s="16">
        <f>IF($A28="","",SUMPRODUCT((AttendanceLog!$E$2:$E$5000=$A28)*(AttendanceLog!$C$2:$C$5000&gt;=MAX($D28,Settings!$B$3))*((AttendanceLog!$I$2:$I$5000="")+(IFERROR(SEARCH(","&amp;$C28&amp;",",","&amp;AttendanceLog!$I$2:$I$5000&amp;","),0)&gt;0))))</f>
        <v>3</v>
      </c>
      <c r="F28" s="16">
        <f>IF($A28="","",SUMPRODUCT((EventLog!$C$2:$C$5000&gt;=MAX($D28,Settings!$B$3))*(EventLog!$C$2:$C$5000&lt;=TODAY())*((EventLog!$F$2:$F$5000="")+(IFERROR(SEARCH(","&amp;$C28&amp;",",","&amp;EventLog!$F$2:$F$5000&amp;","),0)&gt;0))))</f>
        <v>3</v>
      </c>
      <c r="G28" s="57">
        <f t="shared" si="1"/>
        <v>1</v>
      </c>
      <c r="H28" s="56">
        <f>IFERROR(__xludf.DUMMYFUNCTION("IFERROR(MAX(FILTER(AttendanceLog!$C:$C,AttendanceLog!$E:$E=$A28,(AttendanceLog!$I:$I="""")+(IFERROR(SEARCH("",""&amp;$C28&amp;"","","",""&amp;AttendanceLog!$I:$I&amp;"",""),0)&gt;0))),"""")"),46305.33333333333)</f>
        <v>46305.33333</v>
      </c>
    </row>
    <row r="29" ht="15.75" customHeight="1">
      <c r="A29" s="53" t="s">
        <v>295</v>
      </c>
      <c r="B29" s="53" t="s">
        <v>61</v>
      </c>
      <c r="C29" s="53" t="s">
        <v>44</v>
      </c>
      <c r="D29" s="55">
        <v>46264.33333333333</v>
      </c>
      <c r="E29" s="16">
        <f>IF($A29="","",SUMPRODUCT((AttendanceLog!$E$2:$E$5000=$A29)*(AttendanceLog!$C$2:$C$5000&gt;=MAX($D29,Settings!$B$3))*((AttendanceLog!$I$2:$I$5000="")+(IFERROR(SEARCH(","&amp;$C29&amp;",",","&amp;AttendanceLog!$I$2:$I$5000&amp;","),0)&gt;0))))</f>
        <v>2</v>
      </c>
      <c r="F29" s="16">
        <f>IF($A29="","",SUMPRODUCT((EventLog!$C$2:$C$5000&gt;=MAX($D29,Settings!$B$3))*(EventLog!$C$2:$C$5000&lt;=TODAY())*((EventLog!$F$2:$F$5000="")+(IFERROR(SEARCH(","&amp;$C29&amp;",",","&amp;EventLog!$F$2:$F$5000&amp;","),0)&gt;0))))</f>
        <v>3</v>
      </c>
      <c r="G29" s="57">
        <f t="shared" si="1"/>
        <v>0.6666666667</v>
      </c>
      <c r="H29" s="56">
        <f>IFERROR(__xludf.DUMMYFUNCTION("IFERROR(MAX(FILTER(AttendanceLog!$C:$C,AttendanceLog!$E:$E=$A29,(AttendanceLog!$I:$I="""")+(IFERROR(SEARCH("",""&amp;$C29&amp;"","","",""&amp;AttendanceLog!$I:$I&amp;"",""),0)&gt;0))),"""")"),46305.33333333333)</f>
        <v>46305.33333</v>
      </c>
    </row>
    <row r="30" ht="15.75" customHeight="1">
      <c r="A30" s="53" t="s">
        <v>296</v>
      </c>
      <c r="B30" s="53" t="s">
        <v>61</v>
      </c>
      <c r="C30" s="53" t="s">
        <v>44</v>
      </c>
      <c r="D30" s="55">
        <v>46264.33333333333</v>
      </c>
      <c r="E30" s="16">
        <f>IF($A30="","",SUMPRODUCT((AttendanceLog!$E$2:$E$5000=$A30)*(AttendanceLog!$C$2:$C$5000&gt;=MAX($D30,Settings!$B$3))*((AttendanceLog!$I$2:$I$5000="")+(IFERROR(SEARCH(","&amp;$C30&amp;",",","&amp;AttendanceLog!$I$2:$I$5000&amp;","),0)&gt;0))))</f>
        <v>3</v>
      </c>
      <c r="F30" s="16">
        <f>IF($A30="","",SUMPRODUCT((EventLog!$C$2:$C$5000&gt;=MAX($D30,Settings!$B$3))*(EventLog!$C$2:$C$5000&lt;=TODAY())*((EventLog!$F$2:$F$5000="")+(IFERROR(SEARCH(","&amp;$C30&amp;",",","&amp;EventLog!$F$2:$F$5000&amp;","),0)&gt;0))))</f>
        <v>3</v>
      </c>
      <c r="G30" s="57">
        <f t="shared" si="1"/>
        <v>1</v>
      </c>
      <c r="H30" s="56">
        <f>IFERROR(__xludf.DUMMYFUNCTION("IFERROR(MAX(FILTER(AttendanceLog!$C:$C,AttendanceLog!$E:$E=$A30,(AttendanceLog!$I:$I="""")+(IFERROR(SEARCH("",""&amp;$C30&amp;"","","",""&amp;AttendanceLog!$I:$I&amp;"",""),0)&gt;0))),"""")"),46305.33333333333)</f>
        <v>46305.33333</v>
      </c>
    </row>
    <row r="31" ht="15.75" customHeight="1">
      <c r="A31" s="53" t="s">
        <v>297</v>
      </c>
      <c r="B31" s="53" t="s">
        <v>61</v>
      </c>
      <c r="C31" s="53" t="s">
        <v>44</v>
      </c>
      <c r="D31" s="55">
        <v>46264.33333333333</v>
      </c>
      <c r="E31" s="16">
        <f>IF($A31="","",SUMPRODUCT((AttendanceLog!$E$2:$E$5000=$A31)*(AttendanceLog!$C$2:$C$5000&gt;=MAX($D31,Settings!$B$3))*((AttendanceLog!$I$2:$I$5000="")+(IFERROR(SEARCH(","&amp;$C31&amp;",",","&amp;AttendanceLog!$I$2:$I$5000&amp;","),0)&gt;0))))</f>
        <v>2</v>
      </c>
      <c r="F31" s="16">
        <f>IF($A31="","",SUMPRODUCT((EventLog!$C$2:$C$5000&gt;=MAX($D31,Settings!$B$3))*(EventLog!$C$2:$C$5000&lt;=TODAY())*((EventLog!$F$2:$F$5000="")+(IFERROR(SEARCH(","&amp;$C31&amp;",",","&amp;EventLog!$F$2:$F$5000&amp;","),0)&gt;0))))</f>
        <v>3</v>
      </c>
      <c r="G31" s="57">
        <f t="shared" si="1"/>
        <v>0.6666666667</v>
      </c>
      <c r="H31" s="56">
        <f>IFERROR(__xludf.DUMMYFUNCTION("IFERROR(MAX(FILTER(AttendanceLog!$C:$C,AttendanceLog!$E:$E=$A31,(AttendanceLog!$I:$I="""")+(IFERROR(SEARCH("",""&amp;$C31&amp;"","","",""&amp;AttendanceLog!$I:$I&amp;"",""),0)&gt;0))),"""")"),46303.33333333333)</f>
        <v>46303.33333</v>
      </c>
    </row>
    <row r="32" ht="15.75" customHeight="1">
      <c r="A32" s="53" t="s">
        <v>298</v>
      </c>
      <c r="B32" s="53" t="s">
        <v>61</v>
      </c>
      <c r="C32" s="53" t="s">
        <v>44</v>
      </c>
      <c r="D32" s="55">
        <v>46264.33333333333</v>
      </c>
      <c r="E32" s="16">
        <f>IF($A32="","",SUMPRODUCT((AttendanceLog!$E$2:$E$5000=$A32)*(AttendanceLog!$C$2:$C$5000&gt;=MAX($D32,Settings!$B$3))*((AttendanceLog!$I$2:$I$5000="")+(IFERROR(SEARCH(","&amp;$C32&amp;",",","&amp;AttendanceLog!$I$2:$I$5000&amp;","),0)&gt;0))))</f>
        <v>2</v>
      </c>
      <c r="F32" s="16">
        <f>IF($A32="","",SUMPRODUCT((EventLog!$C$2:$C$5000&gt;=MAX($D32,Settings!$B$3))*(EventLog!$C$2:$C$5000&lt;=TODAY())*((EventLog!$F$2:$F$5000="")+(IFERROR(SEARCH(","&amp;$C32&amp;",",","&amp;EventLog!$F$2:$F$5000&amp;","),0)&gt;0))))</f>
        <v>3</v>
      </c>
      <c r="G32" s="57">
        <f t="shared" si="1"/>
        <v>0.6666666667</v>
      </c>
      <c r="H32" s="56">
        <f>IFERROR(__xludf.DUMMYFUNCTION("IFERROR(MAX(FILTER(AttendanceLog!$C:$C,AttendanceLog!$E:$E=$A32,(AttendanceLog!$I:$I="""")+(IFERROR(SEARCH("",""&amp;$C32&amp;"","","",""&amp;AttendanceLog!$I:$I&amp;"",""),0)&gt;0))),"""")"),46305.33333333333)</f>
        <v>46305.33333</v>
      </c>
    </row>
    <row r="33" ht="15.75" customHeight="1">
      <c r="A33" s="53" t="s">
        <v>299</v>
      </c>
      <c r="B33" s="53" t="s">
        <v>61</v>
      </c>
      <c r="C33" s="53" t="s">
        <v>44</v>
      </c>
      <c r="D33" s="55">
        <v>46264.33333333333</v>
      </c>
      <c r="E33" s="16">
        <f>IF($A33="","",SUMPRODUCT((AttendanceLog!$E$2:$E$5000=$A33)*(AttendanceLog!$C$2:$C$5000&gt;=MAX($D33,Settings!$B$3))*((AttendanceLog!$I$2:$I$5000="")+(IFERROR(SEARCH(","&amp;$C33&amp;",",","&amp;AttendanceLog!$I$2:$I$5000&amp;","),0)&gt;0))))</f>
        <v>3</v>
      </c>
      <c r="F33" s="16">
        <f>IF($A33="","",SUMPRODUCT((EventLog!$C$2:$C$5000&gt;=MAX($D33,Settings!$B$3))*(EventLog!$C$2:$C$5000&lt;=TODAY())*((EventLog!$F$2:$F$5000="")+(IFERROR(SEARCH(","&amp;$C33&amp;",",","&amp;EventLog!$F$2:$F$5000&amp;","),0)&gt;0))))</f>
        <v>3</v>
      </c>
      <c r="G33" s="57">
        <f t="shared" si="1"/>
        <v>1</v>
      </c>
      <c r="H33" s="56">
        <f>IFERROR(__xludf.DUMMYFUNCTION("IFERROR(MAX(FILTER(AttendanceLog!$C:$C,AttendanceLog!$E:$E=$A33,(AttendanceLog!$I:$I="""")+(IFERROR(SEARCH("",""&amp;$C33&amp;"","","",""&amp;AttendanceLog!$I:$I&amp;"",""),0)&gt;0))),"""")"),46305.33333333333)</f>
        <v>46305.33333</v>
      </c>
    </row>
    <row r="34" ht="15.75" customHeight="1">
      <c r="A34" s="53" t="s">
        <v>300</v>
      </c>
      <c r="B34" s="53" t="s">
        <v>61</v>
      </c>
      <c r="C34" s="53" t="s">
        <v>44</v>
      </c>
      <c r="D34" s="55">
        <v>46264.33333333333</v>
      </c>
      <c r="E34" s="16">
        <f>IF($A34="","",SUMPRODUCT((AttendanceLog!$E$2:$E$5000=$A34)*(AttendanceLog!$C$2:$C$5000&gt;=MAX($D34,Settings!$B$3))*((AttendanceLog!$I$2:$I$5000="")+(IFERROR(SEARCH(","&amp;$C34&amp;",",","&amp;AttendanceLog!$I$2:$I$5000&amp;","),0)&gt;0))))</f>
        <v>3</v>
      </c>
      <c r="F34" s="16">
        <f>IF($A34="","",SUMPRODUCT((EventLog!$C$2:$C$5000&gt;=MAX($D34,Settings!$B$3))*(EventLog!$C$2:$C$5000&lt;=TODAY())*((EventLog!$F$2:$F$5000="")+(IFERROR(SEARCH(","&amp;$C34&amp;",",","&amp;EventLog!$F$2:$F$5000&amp;","),0)&gt;0))))</f>
        <v>3</v>
      </c>
      <c r="G34" s="57">
        <f t="shared" si="1"/>
        <v>1</v>
      </c>
      <c r="H34" s="56">
        <f>IFERROR(__xludf.DUMMYFUNCTION("IFERROR(MAX(FILTER(AttendanceLog!$C:$C,AttendanceLog!$E:$E=$A34,(AttendanceLog!$I:$I="""")+(IFERROR(SEARCH("",""&amp;$C34&amp;"","","",""&amp;AttendanceLog!$I:$I&amp;"",""),0)&gt;0))),"""")"),46305.33333333333)</f>
        <v>46305.33333</v>
      </c>
    </row>
    <row r="35" ht="15.75" customHeight="1">
      <c r="A35" s="53" t="s">
        <v>301</v>
      </c>
      <c r="B35" s="53" t="s">
        <v>61</v>
      </c>
      <c r="C35" s="53" t="s">
        <v>44</v>
      </c>
      <c r="D35" s="55">
        <v>46264.33333333333</v>
      </c>
      <c r="E35" s="16">
        <f>IF($A35="","",SUMPRODUCT((AttendanceLog!$E$2:$E$5000=$A35)*(AttendanceLog!$C$2:$C$5000&gt;=MAX($D35,Settings!$B$3))*((AttendanceLog!$I$2:$I$5000="")+(IFERROR(SEARCH(","&amp;$C35&amp;",",","&amp;AttendanceLog!$I$2:$I$5000&amp;","),0)&gt;0))))</f>
        <v>1</v>
      </c>
      <c r="F35" s="16">
        <f>IF($A35="","",SUMPRODUCT((EventLog!$C$2:$C$5000&gt;=MAX($D35,Settings!$B$3))*(EventLog!$C$2:$C$5000&lt;=TODAY())*((EventLog!$F$2:$F$5000="")+(IFERROR(SEARCH(","&amp;$C35&amp;",",","&amp;EventLog!$F$2:$F$5000&amp;","),0)&gt;0))))</f>
        <v>3</v>
      </c>
      <c r="G35" s="57">
        <f t="shared" si="1"/>
        <v>0.3333333333</v>
      </c>
      <c r="H35" s="56">
        <f>IFERROR(__xludf.DUMMYFUNCTION("IFERROR(MAX(FILTER(AttendanceLog!$C:$C,AttendanceLog!$E:$E=$A35,(AttendanceLog!$I:$I="""")+(IFERROR(SEARCH("",""&amp;$C35&amp;"","","",""&amp;AttendanceLog!$I:$I&amp;"",""),0)&gt;0))),"""")"),46303.33333333333)</f>
        <v>46303.33333</v>
      </c>
    </row>
    <row r="36" ht="15.75" customHeight="1">
      <c r="A36" s="53" t="s">
        <v>302</v>
      </c>
      <c r="B36" s="53" t="s">
        <v>61</v>
      </c>
      <c r="C36" s="53" t="s">
        <v>44</v>
      </c>
      <c r="D36" s="55">
        <v>46264.33333333333</v>
      </c>
      <c r="E36" s="16">
        <f>IF($A36="","",SUMPRODUCT((AttendanceLog!$E$2:$E$5000=$A36)*(AttendanceLog!$C$2:$C$5000&gt;=MAX($D36,Settings!$B$3))*((AttendanceLog!$I$2:$I$5000="")+(IFERROR(SEARCH(","&amp;$C36&amp;",",","&amp;AttendanceLog!$I$2:$I$5000&amp;","),0)&gt;0))))</f>
        <v>2</v>
      </c>
      <c r="F36" s="16">
        <f>IF($A36="","",SUMPRODUCT((EventLog!$C$2:$C$5000&gt;=MAX($D36,Settings!$B$3))*(EventLog!$C$2:$C$5000&lt;=TODAY())*((EventLog!$F$2:$F$5000="")+(IFERROR(SEARCH(","&amp;$C36&amp;",",","&amp;EventLog!$F$2:$F$5000&amp;","),0)&gt;0))))</f>
        <v>3</v>
      </c>
      <c r="G36" s="57">
        <f t="shared" si="1"/>
        <v>0.6666666667</v>
      </c>
      <c r="H36" s="56">
        <f>IFERROR(__xludf.DUMMYFUNCTION("IFERROR(MAX(FILTER(AttendanceLog!$C:$C,AttendanceLog!$E:$E=$A36,(AttendanceLog!$I:$I="""")+(IFERROR(SEARCH("",""&amp;$C36&amp;"","","",""&amp;AttendanceLog!$I:$I&amp;"",""),0)&gt;0))),"""")"),46303.33333333333)</f>
        <v>46303.33333</v>
      </c>
    </row>
    <row r="37" ht="15.75" customHeight="1">
      <c r="A37" s="53" t="s">
        <v>303</v>
      </c>
      <c r="B37" s="53" t="s">
        <v>61</v>
      </c>
      <c r="C37" s="53" t="s">
        <v>44</v>
      </c>
      <c r="D37" s="55">
        <v>46264.33333333333</v>
      </c>
      <c r="E37" s="16">
        <f>IF($A37="","",SUMPRODUCT((AttendanceLog!$E$2:$E$5000=$A37)*(AttendanceLog!$C$2:$C$5000&gt;=MAX($D37,Settings!$B$3))*((AttendanceLog!$I$2:$I$5000="")+(IFERROR(SEARCH(","&amp;$C37&amp;",",","&amp;AttendanceLog!$I$2:$I$5000&amp;","),0)&gt;0))))</f>
        <v>3</v>
      </c>
      <c r="F37" s="16">
        <f>IF($A37="","",SUMPRODUCT((EventLog!$C$2:$C$5000&gt;=MAX($D37,Settings!$B$3))*(EventLog!$C$2:$C$5000&lt;=TODAY())*((EventLog!$F$2:$F$5000="")+(IFERROR(SEARCH(","&amp;$C37&amp;",",","&amp;EventLog!$F$2:$F$5000&amp;","),0)&gt;0))))</f>
        <v>3</v>
      </c>
      <c r="G37" s="57">
        <f t="shared" si="1"/>
        <v>1</v>
      </c>
      <c r="H37" s="56">
        <f>IFERROR(__xludf.DUMMYFUNCTION("IFERROR(MAX(FILTER(AttendanceLog!$C:$C,AttendanceLog!$E:$E=$A37,(AttendanceLog!$I:$I="""")+(IFERROR(SEARCH("",""&amp;$C37&amp;"","","",""&amp;AttendanceLog!$I:$I&amp;"",""),0)&gt;0))),"""")"),46305.33333333333)</f>
        <v>46305.33333</v>
      </c>
    </row>
    <row r="38" ht="15.75" customHeight="1">
      <c r="A38" s="16"/>
      <c r="B38" s="16"/>
      <c r="C38" s="16"/>
      <c r="D38" s="56"/>
      <c r="E38" s="16"/>
      <c r="F38" s="16"/>
      <c r="G38" s="57"/>
      <c r="H38" s="56"/>
    </row>
    <row r="39" ht="15.75" customHeight="1">
      <c r="A39" s="16"/>
      <c r="B39" s="16"/>
      <c r="C39" s="16"/>
      <c r="D39" s="56"/>
      <c r="E39" s="16"/>
      <c r="F39" s="16"/>
      <c r="G39" s="57"/>
      <c r="H39" s="56"/>
    </row>
    <row r="40" ht="15.75" customHeight="1">
      <c r="A40" s="16"/>
      <c r="B40" s="16"/>
      <c r="C40" s="16"/>
      <c r="D40" s="56"/>
      <c r="E40" s="16"/>
      <c r="F40" s="16"/>
      <c r="G40" s="57"/>
      <c r="H40" s="56"/>
    </row>
    <row r="41" ht="15.75" customHeight="1">
      <c r="A41" s="16"/>
      <c r="B41" s="16"/>
      <c r="C41" s="16"/>
      <c r="D41" s="56"/>
      <c r="E41" s="16"/>
      <c r="F41" s="16"/>
      <c r="G41" s="57"/>
      <c r="H41" s="56"/>
    </row>
    <row r="42" ht="15.75" customHeight="1">
      <c r="A42" s="16"/>
      <c r="B42" s="16"/>
      <c r="C42" s="16"/>
      <c r="D42" s="56"/>
      <c r="E42" s="16"/>
      <c r="F42" s="16"/>
      <c r="G42" s="57"/>
      <c r="H42" s="56"/>
    </row>
    <row r="43" ht="15.75" customHeight="1">
      <c r="A43" s="16"/>
      <c r="B43" s="16"/>
      <c r="C43" s="16"/>
      <c r="D43" s="56"/>
      <c r="E43" s="16"/>
      <c r="F43" s="16"/>
      <c r="G43" s="57"/>
      <c r="H43" s="56"/>
    </row>
    <row r="44" ht="15.75" customHeight="1">
      <c r="A44" s="16"/>
      <c r="B44" s="16"/>
      <c r="C44" s="16"/>
      <c r="D44" s="56"/>
      <c r="E44" s="16"/>
      <c r="F44" s="16"/>
      <c r="G44" s="57"/>
      <c r="H44" s="56"/>
    </row>
    <row r="45" ht="15.75" customHeight="1">
      <c r="A45" s="16"/>
      <c r="B45" s="16"/>
      <c r="C45" s="16"/>
      <c r="D45" s="56"/>
      <c r="E45" s="16"/>
      <c r="F45" s="16"/>
      <c r="G45" s="57"/>
      <c r="H45" s="56"/>
    </row>
    <row r="46" ht="15.75" customHeight="1">
      <c r="A46" s="16"/>
      <c r="B46" s="16"/>
      <c r="C46" s="16"/>
      <c r="D46" s="56"/>
      <c r="E46" s="16"/>
      <c r="F46" s="16"/>
      <c r="G46" s="57"/>
      <c r="H46" s="56"/>
    </row>
    <row r="47" ht="15.75" customHeight="1">
      <c r="A47" s="16"/>
      <c r="B47" s="16"/>
      <c r="C47" s="16"/>
      <c r="D47" s="56"/>
      <c r="E47" s="16"/>
      <c r="F47" s="16"/>
      <c r="G47" s="57"/>
      <c r="H47" s="56"/>
    </row>
    <row r="48" ht="15.75" customHeight="1">
      <c r="A48" s="16"/>
      <c r="B48" s="16"/>
      <c r="C48" s="16"/>
      <c r="D48" s="56"/>
      <c r="E48" s="16"/>
      <c r="F48" s="16"/>
      <c r="G48" s="57"/>
      <c r="H48" s="56"/>
    </row>
    <row r="49" ht="15.75" customHeight="1">
      <c r="A49" s="16"/>
      <c r="B49" s="16"/>
      <c r="C49" s="16"/>
      <c r="D49" s="56"/>
      <c r="E49" s="16"/>
      <c r="F49" s="16"/>
      <c r="G49" s="57"/>
      <c r="H49" s="56"/>
    </row>
    <row r="50" ht="15.75" customHeight="1">
      <c r="A50" s="16"/>
      <c r="B50" s="16"/>
      <c r="C50" s="16"/>
      <c r="D50" s="56"/>
      <c r="E50" s="16"/>
      <c r="F50" s="16"/>
      <c r="G50" s="57"/>
      <c r="H50" s="56"/>
    </row>
    <row r="51" ht="15.75" customHeight="1">
      <c r="A51" s="16"/>
      <c r="B51" s="16"/>
      <c r="C51" s="16"/>
      <c r="D51" s="56"/>
      <c r="E51" s="16"/>
      <c r="F51" s="16"/>
      <c r="G51" s="57"/>
      <c r="H51" s="56"/>
    </row>
    <row r="52" ht="15.75" customHeight="1">
      <c r="A52" s="16"/>
      <c r="B52" s="16"/>
      <c r="C52" s="16"/>
      <c r="D52" s="56"/>
      <c r="E52" s="16"/>
      <c r="F52" s="16"/>
      <c r="G52" s="57"/>
      <c r="H52" s="56"/>
    </row>
    <row r="53" ht="15.75" customHeight="1">
      <c r="A53" s="16"/>
      <c r="B53" s="16"/>
      <c r="C53" s="16"/>
      <c r="D53" s="56"/>
      <c r="E53" s="16"/>
      <c r="F53" s="16"/>
      <c r="G53" s="57"/>
      <c r="H53" s="56"/>
    </row>
    <row r="54" ht="15.75" customHeight="1">
      <c r="A54" s="16"/>
      <c r="B54" s="16"/>
      <c r="C54" s="16"/>
      <c r="D54" s="56"/>
      <c r="E54" s="16"/>
      <c r="F54" s="16"/>
      <c r="G54" s="57"/>
      <c r="H54" s="56"/>
    </row>
    <row r="55" ht="15.75" customHeight="1">
      <c r="A55" s="16"/>
      <c r="B55" s="16"/>
      <c r="C55" s="16"/>
      <c r="D55" s="56"/>
      <c r="E55" s="16"/>
      <c r="F55" s="16"/>
      <c r="G55" s="57"/>
      <c r="H55" s="56"/>
    </row>
    <row r="56" ht="15.75" customHeight="1">
      <c r="A56" s="16"/>
      <c r="B56" s="16"/>
      <c r="C56" s="16"/>
      <c r="D56" s="56"/>
      <c r="E56" s="16"/>
      <c r="F56" s="16"/>
      <c r="G56" s="57"/>
      <c r="H56" s="56"/>
    </row>
    <row r="57" ht="15.75" customHeight="1">
      <c r="A57" s="16"/>
      <c r="B57" s="16"/>
      <c r="C57" s="16"/>
      <c r="D57" s="56"/>
      <c r="E57" s="16"/>
      <c r="F57" s="16"/>
      <c r="G57" s="57"/>
      <c r="H57" s="56"/>
    </row>
    <row r="58" ht="15.75" customHeight="1">
      <c r="A58" s="16"/>
      <c r="B58" s="16"/>
      <c r="C58" s="16"/>
      <c r="D58" s="56"/>
      <c r="E58" s="16"/>
      <c r="F58" s="16"/>
      <c r="G58" s="57"/>
      <c r="H58" s="56"/>
    </row>
    <row r="59" ht="15.75" customHeight="1">
      <c r="A59" s="16"/>
      <c r="B59" s="16"/>
      <c r="C59" s="16"/>
      <c r="D59" s="56"/>
      <c r="E59" s="16"/>
      <c r="F59" s="16"/>
      <c r="G59" s="57"/>
      <c r="H59" s="56"/>
    </row>
    <row r="60" ht="15.75" customHeight="1">
      <c r="A60" s="16"/>
      <c r="B60" s="16"/>
      <c r="C60" s="16"/>
      <c r="D60" s="56"/>
      <c r="E60" s="16"/>
      <c r="F60" s="16"/>
      <c r="G60" s="57"/>
      <c r="H60" s="56"/>
    </row>
    <row r="61" ht="15.75" customHeight="1">
      <c r="A61" s="16"/>
      <c r="B61" s="16"/>
      <c r="C61" s="16"/>
      <c r="D61" s="56"/>
      <c r="E61" s="16"/>
      <c r="F61" s="16"/>
      <c r="G61" s="57"/>
      <c r="H61" s="56"/>
    </row>
    <row r="62" ht="15.75" customHeight="1">
      <c r="A62" s="16"/>
      <c r="B62" s="16"/>
      <c r="C62" s="16"/>
      <c r="D62" s="56"/>
      <c r="E62" s="16"/>
      <c r="F62" s="16"/>
      <c r="G62" s="57"/>
      <c r="H62" s="56"/>
    </row>
    <row r="63" ht="15.75" customHeight="1">
      <c r="A63" s="16"/>
      <c r="B63" s="16"/>
      <c r="C63" s="16"/>
      <c r="D63" s="56"/>
      <c r="E63" s="16"/>
      <c r="F63" s="16"/>
      <c r="G63" s="57"/>
      <c r="H63" s="56"/>
    </row>
    <row r="64" ht="15.75" customHeight="1">
      <c r="A64" s="16"/>
      <c r="B64" s="16"/>
      <c r="C64" s="16"/>
      <c r="D64" s="56"/>
      <c r="E64" s="16"/>
      <c r="F64" s="16"/>
      <c r="G64" s="57"/>
      <c r="H64" s="56"/>
    </row>
    <row r="65" ht="15.75" customHeight="1">
      <c r="A65" s="16"/>
      <c r="B65" s="16"/>
      <c r="C65" s="16"/>
      <c r="D65" s="56"/>
      <c r="E65" s="16"/>
      <c r="F65" s="16"/>
      <c r="G65" s="57"/>
      <c r="H65" s="56"/>
    </row>
    <row r="66" ht="15.75" customHeight="1">
      <c r="A66" s="16"/>
      <c r="B66" s="16"/>
      <c r="C66" s="16"/>
      <c r="D66" s="56"/>
      <c r="E66" s="16"/>
      <c r="F66" s="16"/>
      <c r="G66" s="57"/>
      <c r="H66" s="56"/>
    </row>
    <row r="67" ht="15.75" customHeight="1">
      <c r="A67" s="16"/>
      <c r="B67" s="16"/>
      <c r="C67" s="16"/>
      <c r="D67" s="56"/>
      <c r="E67" s="16"/>
      <c r="F67" s="16"/>
      <c r="G67" s="57"/>
      <c r="H67" s="56"/>
    </row>
    <row r="68" ht="15.75" customHeight="1">
      <c r="A68" s="16"/>
      <c r="B68" s="16"/>
      <c r="C68" s="16"/>
      <c r="D68" s="56"/>
      <c r="E68" s="16"/>
      <c r="F68" s="16"/>
      <c r="G68" s="57"/>
      <c r="H68" s="56"/>
    </row>
    <row r="69" ht="15.75" customHeight="1">
      <c r="A69" s="16"/>
      <c r="B69" s="16"/>
      <c r="C69" s="16"/>
      <c r="D69" s="56"/>
      <c r="E69" s="16"/>
      <c r="F69" s="16"/>
      <c r="G69" s="57"/>
      <c r="H69" s="56"/>
    </row>
    <row r="70" ht="15.75" customHeight="1">
      <c r="A70" s="16"/>
      <c r="B70" s="16"/>
      <c r="C70" s="16"/>
      <c r="D70" s="56"/>
      <c r="E70" s="16"/>
      <c r="F70" s="16"/>
      <c r="G70" s="57"/>
      <c r="H70" s="56"/>
    </row>
    <row r="71" ht="15.75" customHeight="1">
      <c r="A71" s="16"/>
      <c r="B71" s="16"/>
      <c r="C71" s="16"/>
      <c r="D71" s="56"/>
      <c r="E71" s="16"/>
      <c r="F71" s="16"/>
      <c r="G71" s="57"/>
      <c r="H71" s="56"/>
    </row>
    <row r="72" ht="15.75" customHeight="1">
      <c r="A72" s="16"/>
      <c r="B72" s="16"/>
      <c r="C72" s="16"/>
      <c r="D72" s="56"/>
      <c r="E72" s="16"/>
      <c r="F72" s="16"/>
      <c r="G72" s="57"/>
      <c r="H72" s="56"/>
    </row>
    <row r="73" ht="15.75" customHeight="1">
      <c r="A73" s="16"/>
      <c r="B73" s="16"/>
      <c r="C73" s="16"/>
      <c r="D73" s="56"/>
      <c r="E73" s="16"/>
      <c r="F73" s="16"/>
      <c r="G73" s="57"/>
      <c r="H73" s="56"/>
    </row>
    <row r="74" ht="15.75" customHeight="1">
      <c r="A74" s="16"/>
      <c r="B74" s="16"/>
      <c r="C74" s="16"/>
      <c r="D74" s="56"/>
      <c r="E74" s="16"/>
      <c r="F74" s="16"/>
      <c r="G74" s="57"/>
      <c r="H74" s="56"/>
    </row>
    <row r="75" ht="15.75" customHeight="1">
      <c r="A75" s="16"/>
      <c r="B75" s="16"/>
      <c r="C75" s="16"/>
      <c r="D75" s="56"/>
      <c r="E75" s="16"/>
      <c r="F75" s="16"/>
      <c r="G75" s="57"/>
      <c r="H75" s="56"/>
    </row>
    <row r="76" ht="15.75" customHeight="1">
      <c r="A76" s="16"/>
      <c r="B76" s="16"/>
      <c r="C76" s="16"/>
      <c r="D76" s="56"/>
      <c r="E76" s="16"/>
      <c r="F76" s="16"/>
      <c r="G76" s="57"/>
      <c r="H76" s="56"/>
    </row>
    <row r="77" ht="15.75" customHeight="1">
      <c r="A77" s="16"/>
      <c r="B77" s="16"/>
      <c r="C77" s="16"/>
      <c r="D77" s="56"/>
      <c r="E77" s="16"/>
      <c r="F77" s="16"/>
      <c r="G77" s="57"/>
      <c r="H77" s="56"/>
    </row>
    <row r="78" ht="15.75" customHeight="1">
      <c r="A78" s="16"/>
      <c r="B78" s="16"/>
      <c r="C78" s="16"/>
      <c r="D78" s="56"/>
      <c r="E78" s="16"/>
      <c r="F78" s="16"/>
      <c r="G78" s="57"/>
      <c r="H78" s="56"/>
    </row>
    <row r="79" ht="15.75" customHeight="1">
      <c r="A79" s="16"/>
      <c r="B79" s="16"/>
      <c r="C79" s="16"/>
      <c r="D79" s="56"/>
      <c r="E79" s="16"/>
      <c r="F79" s="16"/>
      <c r="G79" s="57"/>
      <c r="H79" s="56"/>
    </row>
    <row r="80" ht="15.75" customHeight="1">
      <c r="A80" s="16"/>
      <c r="B80" s="16"/>
      <c r="C80" s="16"/>
      <c r="D80" s="56"/>
      <c r="E80" s="16"/>
      <c r="F80" s="16"/>
      <c r="G80" s="57"/>
      <c r="H80" s="56"/>
    </row>
    <row r="81" ht="15.75" customHeight="1">
      <c r="A81" s="16"/>
      <c r="B81" s="16"/>
      <c r="C81" s="16"/>
      <c r="D81" s="56"/>
      <c r="E81" s="16"/>
      <c r="F81" s="16"/>
      <c r="G81" s="57"/>
      <c r="H81" s="56"/>
    </row>
    <row r="82" ht="15.75" customHeight="1">
      <c r="A82" s="16"/>
      <c r="B82" s="16"/>
      <c r="C82" s="16"/>
      <c r="D82" s="56"/>
      <c r="E82" s="16"/>
      <c r="F82" s="16"/>
      <c r="G82" s="57"/>
      <c r="H82" s="56"/>
    </row>
    <row r="83" ht="15.75" customHeight="1">
      <c r="A83" s="16"/>
      <c r="B83" s="16"/>
      <c r="C83" s="16"/>
      <c r="D83" s="56"/>
      <c r="E83" s="16"/>
      <c r="F83" s="16"/>
      <c r="G83" s="57"/>
      <c r="H83" s="56"/>
    </row>
    <row r="84" ht="15.75" customHeight="1">
      <c r="A84" s="16"/>
      <c r="B84" s="16"/>
      <c r="C84" s="16"/>
      <c r="D84" s="56"/>
      <c r="E84" s="16"/>
      <c r="F84" s="16"/>
      <c r="G84" s="57"/>
      <c r="H84" s="56"/>
    </row>
    <row r="85" ht="15.75" customHeight="1">
      <c r="A85" s="16"/>
      <c r="B85" s="16"/>
      <c r="C85" s="16"/>
      <c r="D85" s="56"/>
      <c r="E85" s="16"/>
      <c r="F85" s="16"/>
      <c r="G85" s="57"/>
      <c r="H85" s="56"/>
    </row>
    <row r="86" ht="15.75" customHeight="1">
      <c r="A86" s="16"/>
      <c r="B86" s="16"/>
      <c r="C86" s="16"/>
      <c r="D86" s="56"/>
      <c r="E86" s="16"/>
      <c r="F86" s="16"/>
      <c r="G86" s="57"/>
      <c r="H86" s="56"/>
    </row>
    <row r="87" ht="15.75" customHeight="1">
      <c r="A87" s="16"/>
      <c r="B87" s="16"/>
      <c r="C87" s="16"/>
      <c r="D87" s="56"/>
      <c r="E87" s="16"/>
      <c r="F87" s="16"/>
      <c r="G87" s="57"/>
      <c r="H87" s="56"/>
    </row>
    <row r="88" ht="15.75" customHeight="1">
      <c r="A88" s="16"/>
      <c r="B88" s="16"/>
      <c r="C88" s="16"/>
      <c r="D88" s="56"/>
      <c r="E88" s="16"/>
      <c r="F88" s="16"/>
      <c r="G88" s="57"/>
      <c r="H88" s="56"/>
    </row>
    <row r="89" ht="15.75" customHeight="1">
      <c r="A89" s="16"/>
      <c r="B89" s="16"/>
      <c r="C89" s="16"/>
      <c r="D89" s="56"/>
      <c r="E89" s="16"/>
      <c r="F89" s="16"/>
      <c r="G89" s="57"/>
      <c r="H89" s="56"/>
    </row>
    <row r="90" ht="15.75" customHeight="1">
      <c r="A90" s="16"/>
      <c r="B90" s="16"/>
      <c r="C90" s="16"/>
      <c r="D90" s="56"/>
      <c r="E90" s="16"/>
      <c r="F90" s="16"/>
      <c r="G90" s="57"/>
      <c r="H90" s="56"/>
    </row>
    <row r="91" ht="15.75" customHeight="1">
      <c r="A91" s="16"/>
      <c r="B91" s="16"/>
      <c r="C91" s="16"/>
      <c r="D91" s="56"/>
      <c r="E91" s="16"/>
      <c r="F91" s="16"/>
      <c r="G91" s="57"/>
      <c r="H91" s="56"/>
    </row>
    <row r="92" ht="15.75" customHeight="1">
      <c r="A92" s="16"/>
      <c r="B92" s="16"/>
      <c r="C92" s="16"/>
      <c r="D92" s="56"/>
      <c r="E92" s="16"/>
      <c r="F92" s="16"/>
      <c r="G92" s="57"/>
      <c r="H92" s="56"/>
    </row>
    <row r="93" ht="15.75" customHeight="1">
      <c r="A93" s="16"/>
      <c r="B93" s="16"/>
      <c r="C93" s="16"/>
      <c r="D93" s="56"/>
      <c r="E93" s="16"/>
      <c r="F93" s="16"/>
      <c r="G93" s="57"/>
      <c r="H93" s="56"/>
    </row>
    <row r="94" ht="15.75" customHeight="1">
      <c r="A94" s="16"/>
      <c r="B94" s="16"/>
      <c r="C94" s="16"/>
      <c r="D94" s="56"/>
      <c r="E94" s="16"/>
      <c r="F94" s="16"/>
      <c r="G94" s="57"/>
      <c r="H94" s="56"/>
    </row>
    <row r="95" ht="15.75" customHeight="1">
      <c r="A95" s="16"/>
      <c r="B95" s="16"/>
      <c r="C95" s="16"/>
      <c r="D95" s="56"/>
      <c r="E95" s="16"/>
      <c r="F95" s="16"/>
      <c r="G95" s="57"/>
      <c r="H95" s="56"/>
    </row>
    <row r="96" ht="15.75" customHeight="1">
      <c r="A96" s="16"/>
      <c r="B96" s="16"/>
      <c r="C96" s="16"/>
      <c r="D96" s="56"/>
      <c r="E96" s="16"/>
      <c r="F96" s="16"/>
      <c r="G96" s="57"/>
      <c r="H96" s="56"/>
    </row>
    <row r="97" ht="15.75" customHeight="1">
      <c r="A97" s="16"/>
      <c r="B97" s="16"/>
      <c r="C97" s="16"/>
      <c r="D97" s="56"/>
      <c r="E97" s="16"/>
      <c r="F97" s="16"/>
      <c r="G97" s="57"/>
      <c r="H97" s="56"/>
    </row>
    <row r="98" ht="15.75" customHeight="1">
      <c r="A98" s="16"/>
      <c r="B98" s="16"/>
      <c r="C98" s="16"/>
      <c r="D98" s="56"/>
      <c r="E98" s="16"/>
      <c r="F98" s="16"/>
      <c r="G98" s="57"/>
      <c r="H98" s="56"/>
    </row>
    <row r="99" ht="15.75" customHeight="1">
      <c r="A99" s="16"/>
      <c r="B99" s="16"/>
      <c r="C99" s="16"/>
      <c r="D99" s="56"/>
      <c r="E99" s="16"/>
      <c r="F99" s="16"/>
      <c r="G99" s="57"/>
      <c r="H99" s="56"/>
    </row>
    <row r="100" ht="15.75" customHeight="1">
      <c r="A100" s="16"/>
      <c r="B100" s="16"/>
      <c r="C100" s="16"/>
      <c r="D100" s="56"/>
      <c r="E100" s="16"/>
      <c r="F100" s="16"/>
      <c r="G100" s="57"/>
      <c r="H100" s="56"/>
    </row>
    <row r="101" ht="15.75" customHeight="1">
      <c r="D101" s="61"/>
      <c r="G101" s="62"/>
      <c r="H101" s="61"/>
    </row>
    <row r="102" ht="15.75" customHeight="1">
      <c r="D102" s="61"/>
      <c r="G102" s="62"/>
      <c r="H102" s="61"/>
    </row>
    <row r="103" ht="15.75" customHeight="1">
      <c r="D103" s="61"/>
      <c r="G103" s="62"/>
      <c r="H103" s="61"/>
    </row>
    <row r="104" ht="15.75" customHeight="1">
      <c r="D104" s="61"/>
      <c r="G104" s="62"/>
      <c r="H104" s="61"/>
    </row>
    <row r="105" ht="15.75" customHeight="1">
      <c r="D105" s="61"/>
      <c r="G105" s="62"/>
      <c r="H105" s="61"/>
    </row>
    <row r="106" ht="15.75" customHeight="1">
      <c r="D106" s="61"/>
      <c r="G106" s="62"/>
      <c r="H106" s="61"/>
    </row>
    <row r="107" ht="15.75" customHeight="1">
      <c r="D107" s="61"/>
      <c r="G107" s="62"/>
      <c r="H107" s="61"/>
    </row>
    <row r="108" ht="15.75" customHeight="1">
      <c r="D108" s="61"/>
      <c r="G108" s="62"/>
      <c r="H108" s="61"/>
    </row>
    <row r="109" ht="15.75" customHeight="1">
      <c r="D109" s="61"/>
      <c r="G109" s="62"/>
      <c r="H109" s="61"/>
    </row>
    <row r="110" ht="15.75" customHeight="1">
      <c r="D110" s="61"/>
      <c r="G110" s="62"/>
      <c r="H110" s="61"/>
    </row>
    <row r="111" ht="15.75" customHeight="1">
      <c r="D111" s="61"/>
      <c r="G111" s="62"/>
      <c r="H111" s="61"/>
    </row>
    <row r="112" ht="15.75" customHeight="1">
      <c r="D112" s="61"/>
      <c r="G112" s="62"/>
      <c r="H112" s="61"/>
    </row>
    <row r="113" ht="15.75" customHeight="1">
      <c r="D113" s="61"/>
      <c r="G113" s="62"/>
      <c r="H113" s="61"/>
    </row>
    <row r="114" ht="15.75" customHeight="1">
      <c r="D114" s="61"/>
      <c r="G114" s="62"/>
      <c r="H114" s="61"/>
    </row>
    <row r="115" ht="15.75" customHeight="1">
      <c r="D115" s="61"/>
      <c r="G115" s="62"/>
      <c r="H115" s="61"/>
    </row>
    <row r="116" ht="15.75" customHeight="1">
      <c r="D116" s="61"/>
      <c r="G116" s="62"/>
      <c r="H116" s="61"/>
    </row>
    <row r="117" ht="15.75" customHeight="1">
      <c r="D117" s="61"/>
      <c r="G117" s="62"/>
      <c r="H117" s="61"/>
    </row>
    <row r="118" ht="15.75" customHeight="1">
      <c r="D118" s="61"/>
      <c r="G118" s="62"/>
      <c r="H118" s="61"/>
    </row>
    <row r="119" ht="15.75" customHeight="1">
      <c r="D119" s="61"/>
      <c r="G119" s="62"/>
      <c r="H119" s="61"/>
    </row>
    <row r="120" ht="15.75" customHeight="1">
      <c r="D120" s="61"/>
      <c r="G120" s="62"/>
      <c r="H120" s="61"/>
    </row>
    <row r="121" ht="15.75" customHeight="1">
      <c r="D121" s="61"/>
      <c r="G121" s="62"/>
      <c r="H121" s="61"/>
    </row>
    <row r="122" ht="15.75" customHeight="1">
      <c r="D122" s="61"/>
      <c r="G122" s="62"/>
      <c r="H122" s="61"/>
    </row>
    <row r="123" ht="15.75" customHeight="1">
      <c r="D123" s="61"/>
      <c r="G123" s="62"/>
      <c r="H123" s="61"/>
    </row>
    <row r="124" ht="15.75" customHeight="1">
      <c r="D124" s="61"/>
      <c r="G124" s="62"/>
      <c r="H124" s="61"/>
    </row>
    <row r="125" ht="15.75" customHeight="1">
      <c r="D125" s="61"/>
      <c r="G125" s="62"/>
      <c r="H125" s="61"/>
    </row>
    <row r="126" ht="15.75" customHeight="1">
      <c r="D126" s="61"/>
      <c r="G126" s="62"/>
      <c r="H126" s="61"/>
    </row>
    <row r="127" ht="15.75" customHeight="1">
      <c r="D127" s="61"/>
      <c r="G127" s="62"/>
      <c r="H127" s="61"/>
    </row>
    <row r="128" ht="15.75" customHeight="1">
      <c r="D128" s="61"/>
      <c r="G128" s="62"/>
      <c r="H128" s="61"/>
    </row>
    <row r="129" ht="15.75" customHeight="1">
      <c r="D129" s="61"/>
      <c r="G129" s="62"/>
      <c r="H129" s="61"/>
    </row>
    <row r="130" ht="15.75" customHeight="1">
      <c r="D130" s="61"/>
      <c r="G130" s="62"/>
      <c r="H130" s="61"/>
    </row>
    <row r="131" ht="15.75" customHeight="1">
      <c r="D131" s="61"/>
      <c r="G131" s="62"/>
      <c r="H131" s="61"/>
    </row>
    <row r="132" ht="15.75" customHeight="1">
      <c r="D132" s="61"/>
      <c r="G132" s="62"/>
      <c r="H132" s="61"/>
    </row>
    <row r="133" ht="15.75" customHeight="1">
      <c r="D133" s="61"/>
      <c r="G133" s="62"/>
      <c r="H133" s="61"/>
    </row>
    <row r="134" ht="15.75" customHeight="1">
      <c r="D134" s="61"/>
      <c r="G134" s="62"/>
      <c r="H134" s="61"/>
    </row>
    <row r="135" ht="15.75" customHeight="1">
      <c r="D135" s="61"/>
      <c r="G135" s="62"/>
      <c r="H135" s="61"/>
    </row>
    <row r="136" ht="15.75" customHeight="1">
      <c r="D136" s="61"/>
      <c r="G136" s="62"/>
      <c r="H136" s="61"/>
    </row>
    <row r="137" ht="15.75" customHeight="1">
      <c r="D137" s="61"/>
      <c r="G137" s="62"/>
      <c r="H137" s="61"/>
    </row>
    <row r="138" ht="15.75" customHeight="1">
      <c r="D138" s="61"/>
      <c r="G138" s="62"/>
      <c r="H138" s="61"/>
    </row>
    <row r="139" ht="15.75" customHeight="1">
      <c r="D139" s="61"/>
      <c r="G139" s="62"/>
      <c r="H139" s="61"/>
    </row>
    <row r="140" ht="15.75" customHeight="1">
      <c r="D140" s="61"/>
      <c r="G140" s="62"/>
      <c r="H140" s="61"/>
    </row>
    <row r="141" ht="15.75" customHeight="1">
      <c r="D141" s="61"/>
      <c r="G141" s="62"/>
      <c r="H141" s="61"/>
    </row>
    <row r="142" ht="15.75" customHeight="1">
      <c r="D142" s="61"/>
      <c r="G142" s="62"/>
      <c r="H142" s="61"/>
    </row>
    <row r="143" ht="15.75" customHeight="1">
      <c r="D143" s="61"/>
      <c r="G143" s="62"/>
      <c r="H143" s="61"/>
    </row>
    <row r="144" ht="15.75" customHeight="1">
      <c r="D144" s="61"/>
      <c r="G144" s="62"/>
      <c r="H144" s="61"/>
    </row>
    <row r="145" ht="15.75" customHeight="1">
      <c r="D145" s="61"/>
      <c r="G145" s="62"/>
      <c r="H145" s="61"/>
    </row>
    <row r="146" ht="15.75" customHeight="1">
      <c r="D146" s="61"/>
      <c r="G146" s="62"/>
      <c r="H146" s="61"/>
    </row>
    <row r="147" ht="15.75" customHeight="1">
      <c r="D147" s="61"/>
      <c r="G147" s="62"/>
      <c r="H147" s="61"/>
    </row>
    <row r="148" ht="15.75" customHeight="1">
      <c r="D148" s="61"/>
      <c r="G148" s="62"/>
      <c r="H148" s="61"/>
    </row>
    <row r="149" ht="15.75" customHeight="1">
      <c r="D149" s="61"/>
      <c r="G149" s="62"/>
      <c r="H149" s="61"/>
    </row>
    <row r="150" ht="15.75" customHeight="1">
      <c r="D150" s="61"/>
      <c r="G150" s="62"/>
      <c r="H150" s="61"/>
    </row>
    <row r="151" ht="15.75" customHeight="1">
      <c r="D151" s="61"/>
      <c r="G151" s="62"/>
      <c r="H151" s="61"/>
    </row>
    <row r="152" ht="15.75" customHeight="1">
      <c r="D152" s="61"/>
      <c r="G152" s="62"/>
      <c r="H152" s="61"/>
    </row>
    <row r="153" ht="15.75" customHeight="1">
      <c r="D153" s="61"/>
      <c r="G153" s="62"/>
      <c r="H153" s="61"/>
    </row>
    <row r="154" ht="15.75" customHeight="1">
      <c r="D154" s="61"/>
      <c r="G154" s="62"/>
      <c r="H154" s="61"/>
    </row>
    <row r="155" ht="15.75" customHeight="1">
      <c r="D155" s="61"/>
      <c r="G155" s="62"/>
      <c r="H155" s="61"/>
    </row>
    <row r="156" ht="15.75" customHeight="1">
      <c r="D156" s="61"/>
      <c r="G156" s="62"/>
      <c r="H156" s="61"/>
    </row>
    <row r="157" ht="15.75" customHeight="1">
      <c r="D157" s="61"/>
      <c r="G157" s="62"/>
      <c r="H157" s="61"/>
    </row>
    <row r="158" ht="15.75" customHeight="1">
      <c r="D158" s="61"/>
      <c r="G158" s="62"/>
      <c r="H158" s="61"/>
    </row>
    <row r="159" ht="15.75" customHeight="1">
      <c r="D159" s="61"/>
      <c r="G159" s="62"/>
      <c r="H159" s="61"/>
    </row>
    <row r="160" ht="15.75" customHeight="1">
      <c r="D160" s="61"/>
      <c r="G160" s="62"/>
      <c r="H160" s="61"/>
    </row>
    <row r="161" ht="15.75" customHeight="1">
      <c r="D161" s="61"/>
      <c r="G161" s="62"/>
      <c r="H161" s="61"/>
    </row>
    <row r="162" ht="15.75" customHeight="1">
      <c r="D162" s="61"/>
      <c r="G162" s="62"/>
      <c r="H162" s="61"/>
    </row>
    <row r="163" ht="15.75" customHeight="1">
      <c r="D163" s="61"/>
      <c r="G163" s="62"/>
      <c r="H163" s="61"/>
    </row>
    <row r="164" ht="15.75" customHeight="1">
      <c r="D164" s="61"/>
      <c r="G164" s="62"/>
      <c r="H164" s="61"/>
    </row>
    <row r="165" ht="15.75" customHeight="1">
      <c r="D165" s="61"/>
      <c r="G165" s="62"/>
      <c r="H165" s="61"/>
    </row>
    <row r="166" ht="15.75" customHeight="1">
      <c r="D166" s="61"/>
      <c r="G166" s="62"/>
      <c r="H166" s="61"/>
    </row>
    <row r="167" ht="15.75" customHeight="1">
      <c r="D167" s="61"/>
      <c r="G167" s="62"/>
      <c r="H167" s="61"/>
    </row>
    <row r="168" ht="15.75" customHeight="1">
      <c r="D168" s="61"/>
      <c r="G168" s="62"/>
      <c r="H168" s="61"/>
    </row>
    <row r="169" ht="15.75" customHeight="1">
      <c r="D169" s="61"/>
      <c r="G169" s="62"/>
      <c r="H169" s="61"/>
    </row>
    <row r="170" ht="15.75" customHeight="1">
      <c r="D170" s="61"/>
      <c r="G170" s="62"/>
      <c r="H170" s="61"/>
    </row>
    <row r="171" ht="15.75" customHeight="1">
      <c r="D171" s="61"/>
      <c r="G171" s="62"/>
      <c r="H171" s="61"/>
    </row>
    <row r="172" ht="15.75" customHeight="1">
      <c r="D172" s="61"/>
      <c r="G172" s="62"/>
      <c r="H172" s="61"/>
    </row>
    <row r="173" ht="15.75" customHeight="1">
      <c r="D173" s="61"/>
      <c r="G173" s="62"/>
      <c r="H173" s="61"/>
    </row>
    <row r="174" ht="15.75" customHeight="1">
      <c r="D174" s="61"/>
      <c r="G174" s="62"/>
      <c r="H174" s="61"/>
    </row>
    <row r="175" ht="15.75" customHeight="1">
      <c r="D175" s="61"/>
      <c r="G175" s="62"/>
      <c r="H175" s="61"/>
    </row>
    <row r="176" ht="15.75" customHeight="1">
      <c r="D176" s="61"/>
      <c r="G176" s="62"/>
      <c r="H176" s="61"/>
    </row>
    <row r="177" ht="15.75" customHeight="1">
      <c r="D177" s="61"/>
      <c r="G177" s="62"/>
      <c r="H177" s="61"/>
    </row>
    <row r="178" ht="15.75" customHeight="1">
      <c r="D178" s="61"/>
      <c r="G178" s="62"/>
      <c r="H178" s="61"/>
    </row>
    <row r="179" ht="15.75" customHeight="1">
      <c r="D179" s="61"/>
      <c r="G179" s="62"/>
      <c r="H179" s="61"/>
    </row>
    <row r="180" ht="15.75" customHeight="1">
      <c r="D180" s="61"/>
      <c r="G180" s="62"/>
      <c r="H180" s="61"/>
    </row>
    <row r="181" ht="15.75" customHeight="1">
      <c r="D181" s="61"/>
      <c r="G181" s="62"/>
      <c r="H181" s="61"/>
    </row>
    <row r="182" ht="15.75" customHeight="1">
      <c r="D182" s="61"/>
      <c r="G182" s="62"/>
      <c r="H182" s="61"/>
    </row>
    <row r="183" ht="15.75" customHeight="1">
      <c r="D183" s="61"/>
      <c r="G183" s="62"/>
      <c r="H183" s="61"/>
    </row>
    <row r="184" ht="15.75" customHeight="1">
      <c r="D184" s="61"/>
      <c r="G184" s="62"/>
      <c r="H184" s="61"/>
    </row>
    <row r="185" ht="15.75" customHeight="1">
      <c r="D185" s="61"/>
      <c r="G185" s="62"/>
      <c r="H185" s="61"/>
    </row>
    <row r="186" ht="15.75" customHeight="1">
      <c r="D186" s="61"/>
      <c r="G186" s="62"/>
      <c r="H186" s="61"/>
    </row>
    <row r="187" ht="15.75" customHeight="1">
      <c r="D187" s="61"/>
      <c r="G187" s="62"/>
      <c r="H187" s="61"/>
    </row>
    <row r="188" ht="15.75" customHeight="1">
      <c r="D188" s="61"/>
      <c r="G188" s="62"/>
      <c r="H188" s="61"/>
    </row>
    <row r="189" ht="15.75" customHeight="1">
      <c r="D189" s="61"/>
      <c r="G189" s="62"/>
      <c r="H189" s="61"/>
    </row>
    <row r="190" ht="15.75" customHeight="1">
      <c r="D190" s="61"/>
      <c r="G190" s="62"/>
      <c r="H190" s="61"/>
    </row>
    <row r="191" ht="15.75" customHeight="1">
      <c r="D191" s="61"/>
      <c r="G191" s="62"/>
      <c r="H191" s="61"/>
    </row>
    <row r="192" ht="15.75" customHeight="1">
      <c r="D192" s="61"/>
      <c r="G192" s="62"/>
      <c r="H192" s="61"/>
    </row>
    <row r="193" ht="15.75" customHeight="1">
      <c r="D193" s="61"/>
      <c r="G193" s="62"/>
      <c r="H193" s="61"/>
    </row>
    <row r="194" ht="15.75" customHeight="1">
      <c r="D194" s="61"/>
      <c r="G194" s="62"/>
      <c r="H194" s="61"/>
    </row>
    <row r="195" ht="15.75" customHeight="1">
      <c r="D195" s="61"/>
      <c r="G195" s="62"/>
      <c r="H195" s="61"/>
    </row>
    <row r="196" ht="15.75" customHeight="1">
      <c r="D196" s="61"/>
      <c r="G196" s="62"/>
      <c r="H196" s="61"/>
    </row>
    <row r="197" ht="15.75" customHeight="1">
      <c r="D197" s="61"/>
      <c r="G197" s="62"/>
      <c r="H197" s="61"/>
    </row>
    <row r="198" ht="15.75" customHeight="1">
      <c r="D198" s="61"/>
      <c r="G198" s="62"/>
      <c r="H198" s="61"/>
    </row>
    <row r="199" ht="15.75" customHeight="1">
      <c r="D199" s="61"/>
      <c r="G199" s="62"/>
      <c r="H199" s="61"/>
    </row>
    <row r="200" ht="15.75" customHeight="1">
      <c r="D200" s="61"/>
      <c r="G200" s="62"/>
      <c r="H200" s="61"/>
    </row>
    <row r="201" ht="15.75" customHeight="1">
      <c r="D201" s="61"/>
      <c r="G201" s="62"/>
      <c r="H201" s="61"/>
    </row>
    <row r="202" ht="15.75" customHeight="1">
      <c r="D202" s="61"/>
      <c r="G202" s="62"/>
      <c r="H202" s="61"/>
    </row>
    <row r="203" ht="15.75" customHeight="1">
      <c r="D203" s="61"/>
      <c r="G203" s="62"/>
      <c r="H203" s="61"/>
    </row>
    <row r="204" ht="15.75" customHeight="1">
      <c r="D204" s="61"/>
      <c r="G204" s="62"/>
      <c r="H204" s="61"/>
    </row>
    <row r="205" ht="15.75" customHeight="1">
      <c r="D205" s="61"/>
      <c r="G205" s="62"/>
      <c r="H205" s="61"/>
    </row>
    <row r="206" ht="15.75" customHeight="1">
      <c r="D206" s="61"/>
      <c r="G206" s="62"/>
      <c r="H206" s="61"/>
    </row>
    <row r="207" ht="15.75" customHeight="1">
      <c r="D207" s="61"/>
      <c r="G207" s="62"/>
      <c r="H207" s="61"/>
    </row>
    <row r="208" ht="15.75" customHeight="1">
      <c r="D208" s="61"/>
      <c r="G208" s="62"/>
      <c r="H208" s="61"/>
    </row>
    <row r="209" ht="15.75" customHeight="1">
      <c r="D209" s="61"/>
      <c r="G209" s="62"/>
      <c r="H209" s="61"/>
    </row>
    <row r="210" ht="15.75" customHeight="1">
      <c r="D210" s="61"/>
      <c r="G210" s="62"/>
      <c r="H210" s="61"/>
    </row>
    <row r="211" ht="15.75" customHeight="1">
      <c r="D211" s="61"/>
      <c r="G211" s="62"/>
      <c r="H211" s="61"/>
    </row>
    <row r="212" ht="15.75" customHeight="1">
      <c r="D212" s="61"/>
      <c r="G212" s="62"/>
      <c r="H212" s="61"/>
    </row>
    <row r="213" ht="15.75" customHeight="1">
      <c r="D213" s="61"/>
      <c r="G213" s="62"/>
      <c r="H213" s="61"/>
    </row>
    <row r="214" ht="15.75" customHeight="1">
      <c r="D214" s="61"/>
      <c r="G214" s="62"/>
      <c r="H214" s="61"/>
    </row>
    <row r="215" ht="15.75" customHeight="1">
      <c r="D215" s="61"/>
      <c r="G215" s="62"/>
      <c r="H215" s="61"/>
    </row>
    <row r="216" ht="15.75" customHeight="1">
      <c r="D216" s="61"/>
      <c r="G216" s="62"/>
      <c r="H216" s="61"/>
    </row>
    <row r="217" ht="15.75" customHeight="1">
      <c r="D217" s="61"/>
      <c r="G217" s="62"/>
      <c r="H217" s="61"/>
    </row>
    <row r="218" ht="15.75" customHeight="1">
      <c r="D218" s="61"/>
      <c r="G218" s="62"/>
      <c r="H218" s="61"/>
    </row>
    <row r="219" ht="15.75" customHeight="1">
      <c r="D219" s="61"/>
      <c r="G219" s="62"/>
      <c r="H219" s="61"/>
    </row>
    <row r="220" ht="15.75" customHeight="1">
      <c r="D220" s="61"/>
      <c r="G220" s="62"/>
      <c r="H220" s="61"/>
    </row>
    <row r="221" ht="15.75" customHeight="1">
      <c r="D221" s="61"/>
      <c r="G221" s="62"/>
      <c r="H221" s="61"/>
    </row>
    <row r="222" ht="15.75" customHeight="1">
      <c r="D222" s="61"/>
      <c r="G222" s="62"/>
      <c r="H222" s="61"/>
    </row>
    <row r="223" ht="15.75" customHeight="1">
      <c r="D223" s="61"/>
      <c r="G223" s="62"/>
      <c r="H223" s="61"/>
    </row>
    <row r="224" ht="15.75" customHeight="1">
      <c r="D224" s="61"/>
      <c r="G224" s="62"/>
      <c r="H224" s="61"/>
    </row>
    <row r="225" ht="15.75" customHeight="1">
      <c r="D225" s="61"/>
      <c r="G225" s="62"/>
      <c r="H225" s="61"/>
    </row>
    <row r="226" ht="15.75" customHeight="1">
      <c r="D226" s="61"/>
      <c r="G226" s="62"/>
      <c r="H226" s="61"/>
    </row>
    <row r="227" ht="15.75" customHeight="1">
      <c r="D227" s="61"/>
      <c r="G227" s="62"/>
      <c r="H227" s="61"/>
    </row>
    <row r="228" ht="15.75" customHeight="1">
      <c r="D228" s="61"/>
      <c r="G228" s="62"/>
      <c r="H228" s="61"/>
    </row>
    <row r="229" ht="15.75" customHeight="1">
      <c r="D229" s="61"/>
      <c r="G229" s="62"/>
      <c r="H229" s="61"/>
    </row>
    <row r="230" ht="15.75" customHeight="1">
      <c r="D230" s="61"/>
      <c r="G230" s="62"/>
      <c r="H230" s="61"/>
    </row>
    <row r="231" ht="15.75" customHeight="1">
      <c r="D231" s="61"/>
      <c r="G231" s="62"/>
      <c r="H231" s="61"/>
    </row>
    <row r="232" ht="15.75" customHeight="1">
      <c r="D232" s="61"/>
      <c r="G232" s="62"/>
      <c r="H232" s="61"/>
    </row>
    <row r="233" ht="15.75" customHeight="1">
      <c r="D233" s="61"/>
      <c r="G233" s="62"/>
      <c r="H233" s="61"/>
    </row>
    <row r="234" ht="15.75" customHeight="1">
      <c r="D234" s="61"/>
      <c r="G234" s="62"/>
      <c r="H234" s="61"/>
    </row>
    <row r="235" ht="15.75" customHeight="1">
      <c r="D235" s="61"/>
      <c r="G235" s="62"/>
      <c r="H235" s="61"/>
    </row>
    <row r="236" ht="15.75" customHeight="1">
      <c r="D236" s="61"/>
      <c r="G236" s="62"/>
      <c r="H236" s="61"/>
    </row>
    <row r="237" ht="15.75" customHeight="1">
      <c r="D237" s="61"/>
      <c r="G237" s="62"/>
      <c r="H237" s="61"/>
    </row>
    <row r="238" ht="15.75" customHeight="1">
      <c r="D238" s="61"/>
      <c r="G238" s="62"/>
      <c r="H238" s="61"/>
    </row>
    <row r="239" ht="15.75" customHeight="1">
      <c r="D239" s="61"/>
      <c r="G239" s="62"/>
      <c r="H239" s="61"/>
    </row>
    <row r="240" ht="15.75" customHeight="1">
      <c r="D240" s="61"/>
      <c r="G240" s="62"/>
      <c r="H240" s="61"/>
    </row>
    <row r="241" ht="15.75" customHeight="1">
      <c r="D241" s="61"/>
      <c r="G241" s="62"/>
      <c r="H241" s="61"/>
    </row>
    <row r="242" ht="15.75" customHeight="1">
      <c r="D242" s="61"/>
      <c r="G242" s="62"/>
      <c r="H242" s="61"/>
    </row>
    <row r="243" ht="15.75" customHeight="1">
      <c r="D243" s="61"/>
      <c r="G243" s="62"/>
      <c r="H243" s="61"/>
    </row>
    <row r="244" ht="15.75" customHeight="1">
      <c r="D244" s="61"/>
      <c r="G244" s="62"/>
      <c r="H244" s="61"/>
    </row>
    <row r="245" ht="15.75" customHeight="1">
      <c r="D245" s="61"/>
      <c r="G245" s="62"/>
      <c r="H245" s="61"/>
    </row>
    <row r="246" ht="15.75" customHeight="1">
      <c r="D246" s="61"/>
      <c r="G246" s="62"/>
      <c r="H246" s="61"/>
    </row>
    <row r="247" ht="15.75" customHeight="1">
      <c r="D247" s="61"/>
      <c r="G247" s="62"/>
      <c r="H247" s="61"/>
    </row>
    <row r="248" ht="15.75" customHeight="1">
      <c r="D248" s="61"/>
      <c r="G248" s="62"/>
      <c r="H248" s="61"/>
    </row>
    <row r="249" ht="15.75" customHeight="1">
      <c r="D249" s="61"/>
      <c r="G249" s="62"/>
      <c r="H249" s="61"/>
    </row>
    <row r="250" ht="15.75" customHeight="1">
      <c r="D250" s="61"/>
      <c r="G250" s="62"/>
      <c r="H250" s="61"/>
    </row>
    <row r="251" ht="15.75" customHeight="1">
      <c r="D251" s="61"/>
      <c r="G251" s="62"/>
      <c r="H251" s="61"/>
    </row>
    <row r="252" ht="15.75" customHeight="1">
      <c r="D252" s="61"/>
      <c r="G252" s="62"/>
      <c r="H252" s="61"/>
    </row>
    <row r="253" ht="15.75" customHeight="1">
      <c r="D253" s="61"/>
      <c r="G253" s="62"/>
      <c r="H253" s="61"/>
    </row>
    <row r="254" ht="15.75" customHeight="1">
      <c r="D254" s="61"/>
      <c r="G254" s="62"/>
      <c r="H254" s="61"/>
    </row>
    <row r="255" ht="15.75" customHeight="1">
      <c r="D255" s="61"/>
      <c r="G255" s="62"/>
      <c r="H255" s="61"/>
    </row>
    <row r="256" ht="15.75" customHeight="1">
      <c r="D256" s="61"/>
      <c r="G256" s="62"/>
      <c r="H256" s="61"/>
    </row>
    <row r="257" ht="15.75" customHeight="1">
      <c r="D257" s="61"/>
      <c r="G257" s="62"/>
      <c r="H257" s="61"/>
    </row>
    <row r="258" ht="15.75" customHeight="1">
      <c r="D258" s="61"/>
      <c r="G258" s="62"/>
      <c r="H258" s="61"/>
    </row>
    <row r="259" ht="15.75" customHeight="1">
      <c r="D259" s="61"/>
      <c r="G259" s="62"/>
      <c r="H259" s="61"/>
    </row>
    <row r="260" ht="15.75" customHeight="1">
      <c r="D260" s="61"/>
      <c r="G260" s="62"/>
      <c r="H260" s="61"/>
    </row>
    <row r="261" ht="15.75" customHeight="1">
      <c r="D261" s="61"/>
      <c r="G261" s="62"/>
      <c r="H261" s="61"/>
    </row>
    <row r="262" ht="15.75" customHeight="1">
      <c r="D262" s="61"/>
      <c r="G262" s="62"/>
      <c r="H262" s="61"/>
    </row>
    <row r="263" ht="15.75" customHeight="1">
      <c r="D263" s="61"/>
      <c r="G263" s="62"/>
      <c r="H263" s="61"/>
    </row>
    <row r="264" ht="15.75" customHeight="1">
      <c r="D264" s="61"/>
      <c r="G264" s="62"/>
      <c r="H264" s="61"/>
    </row>
    <row r="265" ht="15.75" customHeight="1">
      <c r="D265" s="61"/>
      <c r="G265" s="62"/>
      <c r="H265" s="61"/>
    </row>
    <row r="266" ht="15.75" customHeight="1">
      <c r="D266" s="61"/>
      <c r="G266" s="62"/>
      <c r="H266" s="61"/>
    </row>
    <row r="267" ht="15.75" customHeight="1">
      <c r="D267" s="61"/>
      <c r="G267" s="62"/>
      <c r="H267" s="61"/>
    </row>
    <row r="268" ht="15.75" customHeight="1">
      <c r="D268" s="61"/>
      <c r="G268" s="62"/>
      <c r="H268" s="61"/>
    </row>
    <row r="269" ht="15.75" customHeight="1">
      <c r="D269" s="61"/>
      <c r="G269" s="62"/>
      <c r="H269" s="61"/>
    </row>
    <row r="270" ht="15.75" customHeight="1">
      <c r="D270" s="61"/>
      <c r="G270" s="62"/>
      <c r="H270" s="61"/>
    </row>
    <row r="271" ht="15.75" customHeight="1">
      <c r="D271" s="61"/>
      <c r="G271" s="62"/>
      <c r="H271" s="61"/>
    </row>
    <row r="272" ht="15.75" customHeight="1">
      <c r="D272" s="61"/>
      <c r="G272" s="62"/>
      <c r="H272" s="61"/>
    </row>
    <row r="273" ht="15.75" customHeight="1">
      <c r="D273" s="61"/>
      <c r="G273" s="62"/>
      <c r="H273" s="61"/>
    </row>
    <row r="274" ht="15.75" customHeight="1">
      <c r="D274" s="61"/>
      <c r="G274" s="62"/>
      <c r="H274" s="61"/>
    </row>
    <row r="275" ht="15.75" customHeight="1">
      <c r="D275" s="61"/>
      <c r="G275" s="62"/>
      <c r="H275" s="61"/>
    </row>
    <row r="276" ht="15.75" customHeight="1">
      <c r="D276" s="61"/>
      <c r="G276" s="62"/>
      <c r="H276" s="61"/>
    </row>
    <row r="277" ht="15.75" customHeight="1">
      <c r="D277" s="61"/>
      <c r="G277" s="62"/>
      <c r="H277" s="61"/>
    </row>
    <row r="278" ht="15.75" customHeight="1">
      <c r="D278" s="61"/>
      <c r="G278" s="62"/>
      <c r="H278" s="61"/>
    </row>
    <row r="279" ht="15.75" customHeight="1">
      <c r="D279" s="61"/>
      <c r="G279" s="62"/>
      <c r="H279" s="61"/>
    </row>
    <row r="280" ht="15.75" customHeight="1">
      <c r="D280" s="61"/>
      <c r="G280" s="62"/>
      <c r="H280" s="61"/>
    </row>
    <row r="281" ht="15.75" customHeight="1">
      <c r="D281" s="61"/>
      <c r="G281" s="62"/>
      <c r="H281" s="61"/>
    </row>
    <row r="282" ht="15.75" customHeight="1">
      <c r="D282" s="61"/>
      <c r="G282" s="62"/>
      <c r="H282" s="61"/>
    </row>
    <row r="283" ht="15.75" customHeight="1">
      <c r="D283" s="61"/>
      <c r="G283" s="62"/>
      <c r="H283" s="61"/>
    </row>
    <row r="284" ht="15.75" customHeight="1">
      <c r="D284" s="61"/>
      <c r="G284" s="62"/>
      <c r="H284" s="61"/>
    </row>
    <row r="285" ht="15.75" customHeight="1">
      <c r="D285" s="61"/>
      <c r="G285" s="62"/>
      <c r="H285" s="61"/>
    </row>
    <row r="286" ht="15.75" customHeight="1">
      <c r="D286" s="61"/>
      <c r="G286" s="62"/>
      <c r="H286" s="61"/>
    </row>
    <row r="287" ht="15.75" customHeight="1">
      <c r="D287" s="61"/>
      <c r="G287" s="62"/>
      <c r="H287" s="61"/>
    </row>
    <row r="288" ht="15.75" customHeight="1">
      <c r="D288" s="61"/>
      <c r="G288" s="62"/>
      <c r="H288" s="61"/>
    </row>
    <row r="289" ht="15.75" customHeight="1">
      <c r="D289" s="61"/>
      <c r="G289" s="62"/>
      <c r="H289" s="61"/>
    </row>
    <row r="290" ht="15.75" customHeight="1">
      <c r="D290" s="61"/>
      <c r="G290" s="62"/>
      <c r="H290" s="61"/>
    </row>
    <row r="291" ht="15.75" customHeight="1">
      <c r="D291" s="61"/>
      <c r="G291" s="62"/>
      <c r="H291" s="61"/>
    </row>
    <row r="292" ht="15.75" customHeight="1">
      <c r="D292" s="61"/>
      <c r="G292" s="62"/>
      <c r="H292" s="61"/>
    </row>
    <row r="293" ht="15.75" customHeight="1">
      <c r="D293" s="61"/>
      <c r="G293" s="62"/>
      <c r="H293" s="61"/>
    </row>
    <row r="294" ht="15.75" customHeight="1">
      <c r="D294" s="61"/>
      <c r="G294" s="62"/>
      <c r="H294" s="61"/>
    </row>
    <row r="295" ht="15.75" customHeight="1">
      <c r="D295" s="61"/>
      <c r="G295" s="62"/>
      <c r="H295" s="61"/>
    </row>
    <row r="296" ht="15.75" customHeight="1">
      <c r="D296" s="61"/>
      <c r="G296" s="62"/>
      <c r="H296" s="61"/>
    </row>
    <row r="297" ht="15.75" customHeight="1">
      <c r="D297" s="61"/>
      <c r="G297" s="62"/>
      <c r="H297" s="61"/>
    </row>
    <row r="298" ht="15.75" customHeight="1">
      <c r="D298" s="61"/>
      <c r="G298" s="62"/>
      <c r="H298" s="61"/>
    </row>
    <row r="299" ht="15.75" customHeight="1">
      <c r="D299" s="61"/>
      <c r="G299" s="62"/>
      <c r="H299" s="61"/>
    </row>
    <row r="300" ht="15.75" customHeight="1">
      <c r="D300" s="61"/>
      <c r="G300" s="62"/>
      <c r="H300" s="61"/>
    </row>
    <row r="301" ht="15.75" customHeight="1">
      <c r="D301" s="61"/>
      <c r="G301" s="62"/>
      <c r="H301" s="61"/>
    </row>
    <row r="302" ht="15.75" customHeight="1">
      <c r="D302" s="61"/>
      <c r="G302" s="62"/>
      <c r="H302" s="61"/>
    </row>
    <row r="303" ht="15.75" customHeight="1">
      <c r="D303" s="61"/>
      <c r="G303" s="62"/>
      <c r="H303" s="61"/>
    </row>
    <row r="304" ht="15.75" customHeight="1">
      <c r="D304" s="61"/>
      <c r="G304" s="62"/>
      <c r="H304" s="61"/>
    </row>
    <row r="305" ht="15.75" customHeight="1">
      <c r="D305" s="20"/>
      <c r="G305" s="26"/>
      <c r="H305" s="20"/>
    </row>
    <row r="306" ht="15.75" customHeight="1">
      <c r="D306" s="20"/>
      <c r="G306" s="26"/>
      <c r="H306" s="20"/>
    </row>
    <row r="307" ht="15.75" customHeight="1">
      <c r="D307" s="20"/>
      <c r="G307" s="26"/>
      <c r="H307" s="20"/>
    </row>
    <row r="308" ht="15.75" customHeight="1">
      <c r="D308" s="20"/>
      <c r="G308" s="26"/>
      <c r="H308" s="20"/>
    </row>
    <row r="309" ht="15.75" customHeight="1">
      <c r="D309" s="20"/>
      <c r="G309" s="26"/>
      <c r="H309" s="20"/>
    </row>
    <row r="310" ht="15.75" customHeight="1">
      <c r="D310" s="20"/>
      <c r="G310" s="26"/>
      <c r="H310" s="20"/>
    </row>
    <row r="311" ht="15.75" customHeight="1">
      <c r="D311" s="20"/>
      <c r="G311" s="26"/>
      <c r="H311" s="20"/>
    </row>
    <row r="312" ht="15.75" customHeight="1">
      <c r="D312" s="20"/>
      <c r="G312" s="26"/>
      <c r="H312" s="20"/>
    </row>
    <row r="313" ht="15.75" customHeight="1">
      <c r="D313" s="20"/>
      <c r="G313" s="26"/>
      <c r="H313" s="20"/>
    </row>
    <row r="314" ht="15.75" customHeight="1">
      <c r="D314" s="20"/>
      <c r="G314" s="26"/>
      <c r="H314" s="20"/>
    </row>
    <row r="315" ht="15.75" customHeight="1">
      <c r="D315" s="20"/>
      <c r="G315" s="26"/>
      <c r="H315" s="20"/>
    </row>
    <row r="316" ht="15.75" customHeight="1">
      <c r="D316" s="20"/>
      <c r="G316" s="26"/>
      <c r="H316" s="20"/>
    </row>
    <row r="317" ht="15.75" customHeight="1">
      <c r="D317" s="20"/>
      <c r="G317" s="26"/>
      <c r="H317" s="20"/>
    </row>
    <row r="318" ht="15.75" customHeight="1">
      <c r="D318" s="20"/>
      <c r="G318" s="26"/>
      <c r="H318" s="20"/>
    </row>
    <row r="319" ht="15.75" customHeight="1">
      <c r="D319" s="20"/>
      <c r="G319" s="26"/>
      <c r="H319" s="20"/>
    </row>
    <row r="320" ht="15.75" customHeight="1">
      <c r="D320" s="20"/>
      <c r="G320" s="26"/>
      <c r="H320" s="20"/>
    </row>
    <row r="321" ht="15.75" customHeight="1">
      <c r="D321" s="20"/>
      <c r="G321" s="26"/>
      <c r="H321" s="20"/>
    </row>
    <row r="322" ht="15.75" customHeight="1">
      <c r="D322" s="20"/>
      <c r="G322" s="26"/>
      <c r="H322" s="20"/>
    </row>
    <row r="323" ht="15.75" customHeight="1">
      <c r="D323" s="20"/>
      <c r="G323" s="26"/>
      <c r="H323" s="20"/>
    </row>
    <row r="324" ht="15.75" customHeight="1">
      <c r="D324" s="20"/>
      <c r="G324" s="26"/>
      <c r="H324" s="20"/>
    </row>
    <row r="325" ht="15.75" customHeight="1">
      <c r="D325" s="20"/>
      <c r="G325" s="26"/>
      <c r="H325" s="20"/>
    </row>
    <row r="326" ht="15.75" customHeight="1">
      <c r="D326" s="20"/>
      <c r="G326" s="26"/>
      <c r="H326" s="20"/>
    </row>
    <row r="327" ht="15.75" customHeight="1">
      <c r="D327" s="20"/>
      <c r="G327" s="26"/>
      <c r="H327" s="20"/>
    </row>
    <row r="328" ht="15.75" customHeight="1">
      <c r="D328" s="20"/>
      <c r="G328" s="26"/>
      <c r="H328" s="20"/>
    </row>
    <row r="329" ht="15.75" customHeight="1">
      <c r="D329" s="20"/>
      <c r="G329" s="26"/>
      <c r="H329" s="20"/>
    </row>
    <row r="330" ht="15.75" customHeight="1">
      <c r="D330" s="20"/>
      <c r="G330" s="26"/>
      <c r="H330" s="20"/>
    </row>
    <row r="331" ht="15.75" customHeight="1">
      <c r="D331" s="20"/>
      <c r="G331" s="26"/>
      <c r="H331" s="20"/>
    </row>
    <row r="332" ht="15.75" customHeight="1">
      <c r="D332" s="20"/>
      <c r="G332" s="26"/>
      <c r="H332" s="20"/>
    </row>
    <row r="333" ht="15.75" customHeight="1">
      <c r="D333" s="20"/>
      <c r="G333" s="26"/>
      <c r="H333" s="20"/>
    </row>
    <row r="334" ht="15.75" customHeight="1">
      <c r="D334" s="20"/>
      <c r="G334" s="26"/>
      <c r="H334" s="20"/>
    </row>
    <row r="335" ht="15.75" customHeight="1">
      <c r="D335" s="20"/>
      <c r="G335" s="26"/>
      <c r="H335" s="20"/>
    </row>
    <row r="336" ht="15.75" customHeight="1">
      <c r="D336" s="20"/>
      <c r="G336" s="26"/>
      <c r="H336" s="20"/>
    </row>
    <row r="337" ht="15.75" customHeight="1">
      <c r="D337" s="20"/>
      <c r="G337" s="26"/>
      <c r="H337" s="20"/>
    </row>
    <row r="338" ht="15.75" customHeight="1">
      <c r="D338" s="20"/>
      <c r="G338" s="26"/>
      <c r="H338" s="20"/>
    </row>
    <row r="339" ht="15.75" customHeight="1">
      <c r="D339" s="20"/>
      <c r="G339" s="26"/>
      <c r="H339" s="20"/>
    </row>
    <row r="340" ht="15.75" customHeight="1">
      <c r="D340" s="20"/>
      <c r="G340" s="26"/>
      <c r="H340" s="20"/>
    </row>
    <row r="341" ht="15.75" customHeight="1">
      <c r="D341" s="20"/>
      <c r="G341" s="26"/>
      <c r="H341" s="20"/>
    </row>
    <row r="342" ht="15.75" customHeight="1">
      <c r="D342" s="20"/>
      <c r="G342" s="26"/>
      <c r="H342" s="20"/>
    </row>
    <row r="343" ht="15.75" customHeight="1">
      <c r="D343" s="20"/>
      <c r="G343" s="26"/>
      <c r="H343" s="20"/>
    </row>
    <row r="344" ht="15.75" customHeight="1">
      <c r="D344" s="20"/>
      <c r="G344" s="26"/>
      <c r="H344" s="20"/>
    </row>
    <row r="345" ht="15.75" customHeight="1">
      <c r="D345" s="20"/>
      <c r="G345" s="26"/>
      <c r="H345" s="20"/>
    </row>
    <row r="346" ht="15.75" customHeight="1">
      <c r="D346" s="20"/>
      <c r="G346" s="26"/>
      <c r="H346" s="20"/>
    </row>
    <row r="347" ht="15.75" customHeight="1">
      <c r="D347" s="20"/>
      <c r="G347" s="26"/>
      <c r="H347" s="20"/>
    </row>
    <row r="348" ht="15.75" customHeight="1">
      <c r="D348" s="20"/>
      <c r="G348" s="26"/>
      <c r="H348" s="20"/>
    </row>
    <row r="349" ht="15.75" customHeight="1">
      <c r="D349" s="20"/>
      <c r="G349" s="26"/>
      <c r="H349" s="20"/>
    </row>
    <row r="350" ht="15.75" customHeight="1">
      <c r="D350" s="20"/>
      <c r="G350" s="26"/>
      <c r="H350" s="20"/>
    </row>
    <row r="351" ht="15.75" customHeight="1">
      <c r="D351" s="20"/>
      <c r="G351" s="26"/>
      <c r="H351" s="20"/>
    </row>
    <row r="352" ht="15.75" customHeight="1">
      <c r="D352" s="20"/>
      <c r="G352" s="26"/>
      <c r="H352" s="20"/>
    </row>
    <row r="353" ht="15.75" customHeight="1">
      <c r="D353" s="20"/>
      <c r="G353" s="26"/>
      <c r="H353" s="20"/>
    </row>
    <row r="354" ht="15.75" customHeight="1">
      <c r="D354" s="20"/>
      <c r="G354" s="26"/>
      <c r="H354" s="20"/>
    </row>
    <row r="355" ht="15.75" customHeight="1">
      <c r="D355" s="20"/>
      <c r="G355" s="26"/>
      <c r="H355" s="20"/>
    </row>
    <row r="356" ht="15.75" customHeight="1">
      <c r="D356" s="20"/>
      <c r="G356" s="26"/>
      <c r="H356" s="20"/>
    </row>
    <row r="357" ht="15.75" customHeight="1">
      <c r="D357" s="20"/>
      <c r="G357" s="26"/>
      <c r="H357" s="20"/>
    </row>
    <row r="358" ht="15.75" customHeight="1">
      <c r="D358" s="20"/>
      <c r="G358" s="26"/>
      <c r="H358" s="20"/>
    </row>
    <row r="359" ht="15.75" customHeight="1">
      <c r="D359" s="20"/>
      <c r="G359" s="26"/>
      <c r="H359" s="20"/>
    </row>
    <row r="360" ht="15.75" customHeight="1">
      <c r="D360" s="20"/>
      <c r="G360" s="26"/>
      <c r="H360" s="20"/>
    </row>
    <row r="361" ht="15.75" customHeight="1">
      <c r="D361" s="20"/>
      <c r="G361" s="26"/>
      <c r="H361" s="20"/>
    </row>
    <row r="362" ht="15.75" customHeight="1">
      <c r="D362" s="20"/>
      <c r="G362" s="26"/>
      <c r="H362" s="20"/>
    </row>
    <row r="363" ht="15.75" customHeight="1">
      <c r="D363" s="20"/>
      <c r="G363" s="26"/>
      <c r="H363" s="20"/>
    </row>
    <row r="364" ht="15.75" customHeight="1">
      <c r="D364" s="20"/>
      <c r="G364" s="26"/>
      <c r="H364" s="20"/>
    </row>
    <row r="365" ht="15.75" customHeight="1">
      <c r="D365" s="20"/>
      <c r="G365" s="26"/>
      <c r="H365" s="20"/>
    </row>
    <row r="366" ht="15.75" customHeight="1">
      <c r="D366" s="20"/>
      <c r="G366" s="26"/>
      <c r="H366" s="20"/>
    </row>
    <row r="367" ht="15.75" customHeight="1">
      <c r="D367" s="20"/>
      <c r="G367" s="26"/>
      <c r="H367" s="20"/>
    </row>
    <row r="368" ht="15.75" customHeight="1">
      <c r="D368" s="20"/>
      <c r="G368" s="26"/>
      <c r="H368" s="20"/>
    </row>
    <row r="369" ht="15.75" customHeight="1">
      <c r="D369" s="20"/>
      <c r="G369" s="26"/>
      <c r="H369" s="20"/>
    </row>
    <row r="370" ht="15.75" customHeight="1">
      <c r="D370" s="20"/>
      <c r="G370" s="26"/>
      <c r="H370" s="20"/>
    </row>
    <row r="371" ht="15.75" customHeight="1">
      <c r="D371" s="20"/>
      <c r="G371" s="26"/>
      <c r="H371" s="20"/>
    </row>
    <row r="372" ht="15.75" customHeight="1">
      <c r="D372" s="20"/>
      <c r="G372" s="26"/>
      <c r="H372" s="20"/>
    </row>
    <row r="373" ht="15.75" customHeight="1">
      <c r="D373" s="20"/>
      <c r="G373" s="26"/>
      <c r="H373" s="20"/>
    </row>
    <row r="374" ht="15.75" customHeight="1">
      <c r="D374" s="20"/>
      <c r="G374" s="26"/>
      <c r="H374" s="20"/>
    </row>
    <row r="375" ht="15.75" customHeight="1">
      <c r="D375" s="20"/>
      <c r="G375" s="26"/>
      <c r="H375" s="20"/>
    </row>
    <row r="376" ht="15.75" customHeight="1">
      <c r="D376" s="20"/>
      <c r="G376" s="26"/>
      <c r="H376" s="20"/>
    </row>
    <row r="377" ht="15.75" customHeight="1">
      <c r="D377" s="20"/>
      <c r="G377" s="26"/>
      <c r="H377" s="20"/>
    </row>
    <row r="378" ht="15.75" customHeight="1">
      <c r="D378" s="20"/>
      <c r="G378" s="26"/>
      <c r="H378" s="20"/>
    </row>
    <row r="379" ht="15.75" customHeight="1">
      <c r="D379" s="20"/>
      <c r="G379" s="26"/>
      <c r="H379" s="20"/>
    </row>
    <row r="380" ht="15.75" customHeight="1">
      <c r="D380" s="20"/>
      <c r="G380" s="26"/>
      <c r="H380" s="20"/>
    </row>
    <row r="381" ht="15.75" customHeight="1">
      <c r="D381" s="20"/>
      <c r="G381" s="26"/>
      <c r="H381" s="20"/>
    </row>
    <row r="382" ht="15.75" customHeight="1">
      <c r="D382" s="20"/>
      <c r="G382" s="26"/>
      <c r="H382" s="20"/>
    </row>
    <row r="383" ht="15.75" customHeight="1">
      <c r="D383" s="20"/>
      <c r="G383" s="26"/>
      <c r="H383" s="20"/>
    </row>
    <row r="384" ht="15.75" customHeight="1">
      <c r="D384" s="20"/>
      <c r="G384" s="26"/>
      <c r="H384" s="20"/>
    </row>
    <row r="385" ht="15.75" customHeight="1">
      <c r="D385" s="20"/>
      <c r="G385" s="26"/>
      <c r="H385" s="20"/>
    </row>
    <row r="386" ht="15.75" customHeight="1">
      <c r="D386" s="20"/>
      <c r="G386" s="26"/>
      <c r="H386" s="20"/>
    </row>
    <row r="387" ht="15.75" customHeight="1">
      <c r="D387" s="20"/>
      <c r="G387" s="26"/>
      <c r="H387" s="20"/>
    </row>
    <row r="388" ht="15.75" customHeight="1">
      <c r="D388" s="20"/>
      <c r="G388" s="26"/>
      <c r="H388" s="20"/>
    </row>
    <row r="389" ht="15.75" customHeight="1">
      <c r="D389" s="20"/>
      <c r="G389" s="26"/>
      <c r="H389" s="20"/>
    </row>
    <row r="390" ht="15.75" customHeight="1">
      <c r="D390" s="20"/>
      <c r="G390" s="26"/>
      <c r="H390" s="20"/>
    </row>
    <row r="391" ht="15.75" customHeight="1">
      <c r="D391" s="20"/>
      <c r="G391" s="26"/>
      <c r="H391" s="20"/>
    </row>
    <row r="392" ht="15.75" customHeight="1">
      <c r="D392" s="20"/>
      <c r="G392" s="26"/>
      <c r="H392" s="20"/>
    </row>
    <row r="393" ht="15.75" customHeight="1">
      <c r="D393" s="20"/>
      <c r="G393" s="26"/>
      <c r="H393" s="20"/>
    </row>
    <row r="394" ht="15.75" customHeight="1">
      <c r="D394" s="20"/>
      <c r="G394" s="26"/>
      <c r="H394" s="20"/>
    </row>
    <row r="395" ht="15.75" customHeight="1">
      <c r="D395" s="20"/>
      <c r="G395" s="26"/>
      <c r="H395" s="20"/>
    </row>
    <row r="396" ht="15.75" customHeight="1">
      <c r="D396" s="20"/>
      <c r="G396" s="26"/>
      <c r="H396" s="20"/>
    </row>
    <row r="397" ht="15.75" customHeight="1">
      <c r="D397" s="20"/>
      <c r="G397" s="26"/>
      <c r="H397" s="20"/>
    </row>
    <row r="398" ht="15.75" customHeight="1">
      <c r="D398" s="20"/>
      <c r="G398" s="26"/>
      <c r="H398" s="20"/>
    </row>
    <row r="399" ht="15.75" customHeight="1">
      <c r="D399" s="20"/>
      <c r="G399" s="26"/>
      <c r="H399" s="20"/>
    </row>
    <row r="400" ht="15.75" customHeight="1">
      <c r="D400" s="20"/>
      <c r="G400" s="26"/>
      <c r="H400" s="20"/>
    </row>
    <row r="401" ht="15.75" customHeight="1">
      <c r="D401" s="20"/>
      <c r="G401" s="26"/>
      <c r="H401" s="20"/>
    </row>
    <row r="402" ht="15.75" customHeight="1">
      <c r="D402" s="20"/>
      <c r="G402" s="26"/>
      <c r="H402" s="20"/>
    </row>
    <row r="403" ht="15.75" customHeight="1">
      <c r="D403" s="20"/>
      <c r="G403" s="26"/>
      <c r="H403" s="20"/>
    </row>
    <row r="404" ht="15.75" customHeight="1">
      <c r="D404" s="20"/>
      <c r="G404" s="26"/>
      <c r="H404" s="20"/>
    </row>
    <row r="405" ht="15.75" customHeight="1">
      <c r="D405" s="20"/>
      <c r="G405" s="26"/>
      <c r="H405" s="20"/>
    </row>
    <row r="406" ht="15.75" customHeight="1">
      <c r="D406" s="20"/>
      <c r="G406" s="26"/>
      <c r="H406" s="20"/>
    </row>
    <row r="407" ht="15.75" customHeight="1">
      <c r="D407" s="20"/>
      <c r="G407" s="26"/>
      <c r="H407" s="20"/>
    </row>
    <row r="408" ht="15.75" customHeight="1">
      <c r="D408" s="20"/>
      <c r="G408" s="26"/>
      <c r="H408" s="20"/>
    </row>
    <row r="409" ht="15.75" customHeight="1">
      <c r="D409" s="20"/>
      <c r="G409" s="26"/>
      <c r="H409" s="20"/>
    </row>
    <row r="410" ht="15.75" customHeight="1">
      <c r="D410" s="20"/>
      <c r="G410" s="26"/>
      <c r="H410" s="20"/>
    </row>
    <row r="411" ht="15.75" customHeight="1">
      <c r="D411" s="20"/>
      <c r="G411" s="26"/>
      <c r="H411" s="20"/>
    </row>
    <row r="412" ht="15.75" customHeight="1">
      <c r="D412" s="20"/>
      <c r="G412" s="26"/>
      <c r="H412" s="20"/>
    </row>
    <row r="413" ht="15.75" customHeight="1">
      <c r="D413" s="20"/>
      <c r="G413" s="26"/>
      <c r="H413" s="20"/>
    </row>
    <row r="414" ht="15.75" customHeight="1">
      <c r="D414" s="20"/>
      <c r="G414" s="26"/>
      <c r="H414" s="20"/>
    </row>
    <row r="415" ht="15.75" customHeight="1">
      <c r="D415" s="20"/>
      <c r="G415" s="26"/>
      <c r="H415" s="20"/>
    </row>
    <row r="416" ht="15.75" customHeight="1">
      <c r="D416" s="20"/>
      <c r="G416" s="26"/>
      <c r="H416" s="20"/>
    </row>
    <row r="417" ht="15.75" customHeight="1">
      <c r="D417" s="20"/>
      <c r="G417" s="26"/>
      <c r="H417" s="20"/>
    </row>
    <row r="418" ht="15.75" customHeight="1">
      <c r="D418" s="20"/>
      <c r="G418" s="26"/>
      <c r="H418" s="20"/>
    </row>
    <row r="419" ht="15.75" customHeight="1">
      <c r="D419" s="20"/>
      <c r="G419" s="26"/>
      <c r="H419" s="20"/>
    </row>
    <row r="420" ht="15.75" customHeight="1">
      <c r="D420" s="20"/>
      <c r="G420" s="26"/>
      <c r="H420" s="20"/>
    </row>
    <row r="421" ht="15.75" customHeight="1">
      <c r="D421" s="20"/>
      <c r="G421" s="26"/>
      <c r="H421" s="20"/>
    </row>
    <row r="422" ht="15.75" customHeight="1">
      <c r="D422" s="20"/>
      <c r="G422" s="26"/>
      <c r="H422" s="20"/>
    </row>
    <row r="423" ht="15.75" customHeight="1">
      <c r="D423" s="20"/>
      <c r="G423" s="26"/>
      <c r="H423" s="20"/>
    </row>
    <row r="424" ht="15.75" customHeight="1">
      <c r="D424" s="20"/>
      <c r="G424" s="26"/>
      <c r="H424" s="20"/>
    </row>
    <row r="425" ht="15.75" customHeight="1">
      <c r="D425" s="20"/>
      <c r="G425" s="26"/>
      <c r="H425" s="20"/>
    </row>
    <row r="426" ht="15.75" customHeight="1">
      <c r="D426" s="20"/>
      <c r="G426" s="26"/>
      <c r="H426" s="20"/>
    </row>
    <row r="427" ht="15.75" customHeight="1">
      <c r="D427" s="20"/>
      <c r="G427" s="26"/>
      <c r="H427" s="20"/>
    </row>
    <row r="428" ht="15.75" customHeight="1">
      <c r="D428" s="20"/>
      <c r="G428" s="26"/>
      <c r="H428" s="20"/>
    </row>
    <row r="429" ht="15.75" customHeight="1">
      <c r="D429" s="20"/>
      <c r="G429" s="26"/>
      <c r="H429" s="20"/>
    </row>
    <row r="430" ht="15.75" customHeight="1">
      <c r="D430" s="20"/>
      <c r="G430" s="26"/>
      <c r="H430" s="20"/>
    </row>
    <row r="431" ht="15.75" customHeight="1">
      <c r="D431" s="20"/>
      <c r="G431" s="26"/>
      <c r="H431" s="20"/>
    </row>
    <row r="432" ht="15.75" customHeight="1">
      <c r="D432" s="20"/>
      <c r="G432" s="26"/>
      <c r="H432" s="20"/>
    </row>
    <row r="433" ht="15.75" customHeight="1">
      <c r="D433" s="20"/>
      <c r="G433" s="26"/>
      <c r="H433" s="20"/>
    </row>
    <row r="434" ht="15.75" customHeight="1">
      <c r="D434" s="20"/>
      <c r="G434" s="26"/>
      <c r="H434" s="20"/>
    </row>
    <row r="435" ht="15.75" customHeight="1">
      <c r="D435" s="20"/>
      <c r="G435" s="26"/>
      <c r="H435" s="20"/>
    </row>
    <row r="436" ht="15.75" customHeight="1">
      <c r="D436" s="20"/>
      <c r="G436" s="26"/>
      <c r="H436" s="20"/>
    </row>
    <row r="437" ht="15.75" customHeight="1">
      <c r="D437" s="20"/>
      <c r="G437" s="26"/>
      <c r="H437" s="20"/>
    </row>
    <row r="438" ht="15.75" customHeight="1">
      <c r="D438" s="20"/>
      <c r="G438" s="26"/>
      <c r="H438" s="20"/>
    </row>
    <row r="439" ht="15.75" customHeight="1">
      <c r="D439" s="20"/>
      <c r="G439" s="26"/>
      <c r="H439" s="20"/>
    </row>
    <row r="440" ht="15.75" customHeight="1">
      <c r="D440" s="20"/>
      <c r="G440" s="26"/>
      <c r="H440" s="20"/>
    </row>
    <row r="441" ht="15.75" customHeight="1">
      <c r="D441" s="20"/>
      <c r="G441" s="26"/>
      <c r="H441" s="20"/>
    </row>
    <row r="442" ht="15.75" customHeight="1">
      <c r="D442" s="20"/>
      <c r="G442" s="26"/>
      <c r="H442" s="20"/>
    </row>
    <row r="443" ht="15.75" customHeight="1">
      <c r="D443" s="20"/>
      <c r="G443" s="26"/>
      <c r="H443" s="20"/>
    </row>
    <row r="444" ht="15.75" customHeight="1">
      <c r="D444" s="20"/>
      <c r="G444" s="26"/>
      <c r="H444" s="20"/>
    </row>
    <row r="445" ht="15.75" customHeight="1">
      <c r="D445" s="20"/>
      <c r="G445" s="26"/>
      <c r="H445" s="20"/>
    </row>
    <row r="446" ht="15.75" customHeight="1">
      <c r="D446" s="20"/>
      <c r="G446" s="26"/>
      <c r="H446" s="20"/>
    </row>
    <row r="447" ht="15.75" customHeight="1">
      <c r="D447" s="20"/>
      <c r="G447" s="26"/>
      <c r="H447" s="20"/>
    </row>
    <row r="448" ht="15.75" customHeight="1">
      <c r="D448" s="20"/>
      <c r="G448" s="26"/>
      <c r="H448" s="20"/>
    </row>
    <row r="449" ht="15.75" customHeight="1">
      <c r="D449" s="20"/>
      <c r="G449" s="26"/>
      <c r="H449" s="20"/>
    </row>
    <row r="450" ht="15.75" customHeight="1">
      <c r="D450" s="20"/>
      <c r="G450" s="26"/>
      <c r="H450" s="20"/>
    </row>
    <row r="451" ht="15.75" customHeight="1">
      <c r="D451" s="20"/>
      <c r="G451" s="26"/>
      <c r="H451" s="20"/>
    </row>
    <row r="452" ht="15.75" customHeight="1">
      <c r="D452" s="20"/>
      <c r="G452" s="26"/>
      <c r="H452" s="20"/>
    </row>
    <row r="453" ht="15.75" customHeight="1">
      <c r="D453" s="20"/>
      <c r="G453" s="26"/>
      <c r="H453" s="20"/>
    </row>
    <row r="454" ht="15.75" customHeight="1">
      <c r="D454" s="20"/>
      <c r="G454" s="26"/>
      <c r="H454" s="20"/>
    </row>
    <row r="455" ht="15.75" customHeight="1">
      <c r="D455" s="20"/>
      <c r="G455" s="26"/>
      <c r="H455" s="20"/>
    </row>
    <row r="456" ht="15.75" customHeight="1">
      <c r="D456" s="20"/>
      <c r="G456" s="26"/>
      <c r="H456" s="20"/>
    </row>
    <row r="457" ht="15.75" customHeight="1">
      <c r="D457" s="20"/>
      <c r="G457" s="26"/>
      <c r="H457" s="20"/>
    </row>
    <row r="458" ht="15.75" customHeight="1">
      <c r="D458" s="20"/>
      <c r="G458" s="26"/>
      <c r="H458" s="20"/>
    </row>
    <row r="459" ht="15.75" customHeight="1">
      <c r="D459" s="20"/>
      <c r="G459" s="26"/>
      <c r="H459" s="20"/>
    </row>
    <row r="460" ht="15.75" customHeight="1">
      <c r="D460" s="20"/>
      <c r="G460" s="26"/>
      <c r="H460" s="20"/>
    </row>
    <row r="461" ht="15.75" customHeight="1">
      <c r="D461" s="20"/>
      <c r="G461" s="26"/>
      <c r="H461" s="20"/>
    </row>
    <row r="462" ht="15.75" customHeight="1">
      <c r="D462" s="20"/>
      <c r="G462" s="26"/>
      <c r="H462" s="20"/>
    </row>
    <row r="463" ht="15.75" customHeight="1">
      <c r="D463" s="20"/>
      <c r="G463" s="26"/>
      <c r="H463" s="20"/>
    </row>
    <row r="464" ht="15.75" customHeight="1">
      <c r="D464" s="20"/>
      <c r="G464" s="26"/>
      <c r="H464" s="20"/>
    </row>
    <row r="465" ht="15.75" customHeight="1">
      <c r="D465" s="20"/>
      <c r="G465" s="26"/>
      <c r="H465" s="20"/>
    </row>
    <row r="466" ht="15.75" customHeight="1">
      <c r="D466" s="20"/>
      <c r="G466" s="26"/>
      <c r="H466" s="20"/>
    </row>
    <row r="467" ht="15.75" customHeight="1">
      <c r="D467" s="20"/>
      <c r="G467" s="26"/>
      <c r="H467" s="20"/>
    </row>
    <row r="468" ht="15.75" customHeight="1">
      <c r="D468" s="20"/>
      <c r="G468" s="26"/>
      <c r="H468" s="20"/>
    </row>
    <row r="469" ht="15.75" customHeight="1">
      <c r="D469" s="20"/>
      <c r="G469" s="26"/>
      <c r="H469" s="20"/>
    </row>
    <row r="470" ht="15.75" customHeight="1">
      <c r="D470" s="20"/>
      <c r="G470" s="26"/>
      <c r="H470" s="20"/>
    </row>
    <row r="471" ht="15.75" customHeight="1">
      <c r="D471" s="20"/>
      <c r="G471" s="26"/>
      <c r="H471" s="20"/>
    </row>
    <row r="472" ht="15.75" customHeight="1">
      <c r="D472" s="20"/>
      <c r="G472" s="26"/>
      <c r="H472" s="20"/>
    </row>
    <row r="473" ht="15.75" customHeight="1">
      <c r="D473" s="20"/>
      <c r="G473" s="26"/>
      <c r="H473" s="20"/>
    </row>
    <row r="474" ht="15.75" customHeight="1">
      <c r="D474" s="20"/>
      <c r="G474" s="26"/>
      <c r="H474" s="20"/>
    </row>
    <row r="475" ht="15.75" customHeight="1">
      <c r="D475" s="20"/>
      <c r="G475" s="26"/>
      <c r="H475" s="20"/>
    </row>
    <row r="476" ht="15.75" customHeight="1">
      <c r="D476" s="20"/>
      <c r="G476" s="26"/>
      <c r="H476" s="20"/>
    </row>
    <row r="477" ht="15.75" customHeight="1">
      <c r="D477" s="20"/>
      <c r="G477" s="26"/>
      <c r="H477" s="20"/>
    </row>
    <row r="478" ht="15.75" customHeight="1">
      <c r="D478" s="20"/>
      <c r="G478" s="26"/>
      <c r="H478" s="20"/>
    </row>
    <row r="479" ht="15.75" customHeight="1">
      <c r="D479" s="20"/>
      <c r="G479" s="26"/>
      <c r="H479" s="20"/>
    </row>
    <row r="480" ht="15.75" customHeight="1">
      <c r="D480" s="20"/>
      <c r="G480" s="26"/>
      <c r="H480" s="20"/>
    </row>
    <row r="481" ht="15.75" customHeight="1">
      <c r="D481" s="20"/>
      <c r="G481" s="26"/>
      <c r="H481" s="20"/>
    </row>
    <row r="482" ht="15.75" customHeight="1">
      <c r="D482" s="20"/>
      <c r="G482" s="26"/>
      <c r="H482" s="20"/>
    </row>
    <row r="483" ht="15.75" customHeight="1">
      <c r="D483" s="20"/>
      <c r="G483" s="26"/>
      <c r="H483" s="20"/>
    </row>
    <row r="484" ht="15.75" customHeight="1">
      <c r="D484" s="20"/>
      <c r="G484" s="26"/>
      <c r="H484" s="20"/>
    </row>
    <row r="485" ht="15.75" customHeight="1">
      <c r="D485" s="20"/>
      <c r="G485" s="26"/>
      <c r="H485" s="20"/>
    </row>
    <row r="486" ht="15.75" customHeight="1">
      <c r="D486" s="20"/>
      <c r="G486" s="26"/>
      <c r="H486" s="20"/>
    </row>
    <row r="487" ht="15.75" customHeight="1">
      <c r="D487" s="20"/>
      <c r="G487" s="26"/>
      <c r="H487" s="20"/>
    </row>
    <row r="488" ht="15.75" customHeight="1">
      <c r="D488" s="20"/>
      <c r="G488" s="26"/>
      <c r="H488" s="20"/>
    </row>
    <row r="489" ht="15.75" customHeight="1">
      <c r="D489" s="20"/>
      <c r="G489" s="26"/>
      <c r="H489" s="20"/>
    </row>
    <row r="490" ht="15.75" customHeight="1">
      <c r="D490" s="20"/>
      <c r="G490" s="26"/>
      <c r="H490" s="20"/>
    </row>
    <row r="491" ht="15.75" customHeight="1">
      <c r="D491" s="20"/>
      <c r="G491" s="26"/>
      <c r="H491" s="20"/>
    </row>
    <row r="492" ht="15.75" customHeight="1">
      <c r="D492" s="20"/>
      <c r="G492" s="26"/>
      <c r="H492" s="20"/>
    </row>
    <row r="493" ht="15.75" customHeight="1">
      <c r="D493" s="20"/>
      <c r="G493" s="26"/>
      <c r="H493" s="20"/>
    </row>
    <row r="494" ht="15.75" customHeight="1">
      <c r="D494" s="20"/>
      <c r="G494" s="26"/>
      <c r="H494" s="20"/>
    </row>
    <row r="495" ht="15.75" customHeight="1">
      <c r="D495" s="20"/>
      <c r="G495" s="26"/>
      <c r="H495" s="20"/>
    </row>
    <row r="496" ht="15.75" customHeight="1">
      <c r="D496" s="20"/>
      <c r="G496" s="26"/>
      <c r="H496" s="20"/>
    </row>
    <row r="497" ht="15.75" customHeight="1">
      <c r="D497" s="20"/>
      <c r="G497" s="26"/>
      <c r="H497" s="20"/>
    </row>
    <row r="498" ht="15.75" customHeight="1">
      <c r="D498" s="20"/>
      <c r="G498" s="26"/>
      <c r="H498" s="20"/>
    </row>
    <row r="499" ht="15.75" customHeight="1">
      <c r="D499" s="20"/>
      <c r="G499" s="26"/>
      <c r="H499" s="20"/>
    </row>
    <row r="500" ht="15.75" customHeight="1">
      <c r="D500" s="20"/>
      <c r="G500" s="26"/>
      <c r="H500" s="20"/>
    </row>
    <row r="501" ht="15.75" customHeight="1">
      <c r="D501" s="20"/>
      <c r="G501" s="26"/>
      <c r="H501" s="20"/>
    </row>
    <row r="502" ht="15.75" customHeight="1">
      <c r="D502" s="20"/>
      <c r="G502" s="26"/>
      <c r="H502" s="20"/>
    </row>
    <row r="503" ht="15.75" customHeight="1">
      <c r="D503" s="20"/>
      <c r="G503" s="26"/>
      <c r="H503" s="20"/>
    </row>
    <row r="504" ht="15.75" customHeight="1">
      <c r="D504" s="20"/>
      <c r="G504" s="26"/>
      <c r="H504" s="20"/>
    </row>
    <row r="505" ht="15.75" customHeight="1">
      <c r="D505" s="20"/>
      <c r="G505" s="26"/>
      <c r="H505" s="20"/>
    </row>
    <row r="506" ht="15.75" customHeight="1">
      <c r="D506" s="20"/>
      <c r="G506" s="26"/>
      <c r="H506" s="20"/>
    </row>
    <row r="507" ht="15.75" customHeight="1">
      <c r="D507" s="20"/>
      <c r="G507" s="26"/>
      <c r="H507" s="20"/>
    </row>
    <row r="508" ht="15.75" customHeight="1">
      <c r="D508" s="20"/>
      <c r="G508" s="26"/>
      <c r="H508" s="20"/>
    </row>
    <row r="509" ht="15.75" customHeight="1">
      <c r="D509" s="20"/>
      <c r="G509" s="26"/>
      <c r="H509" s="20"/>
    </row>
    <row r="510" ht="15.75" customHeight="1">
      <c r="D510" s="20"/>
      <c r="G510" s="26"/>
      <c r="H510" s="20"/>
    </row>
    <row r="511" ht="15.75" customHeight="1">
      <c r="D511" s="20"/>
      <c r="G511" s="26"/>
      <c r="H511" s="20"/>
    </row>
    <row r="512" ht="15.75" customHeight="1">
      <c r="D512" s="20"/>
      <c r="G512" s="26"/>
      <c r="H512" s="20"/>
    </row>
    <row r="513" ht="15.75" customHeight="1">
      <c r="D513" s="20"/>
      <c r="G513" s="26"/>
      <c r="H513" s="20"/>
    </row>
    <row r="514" ht="15.75" customHeight="1">
      <c r="D514" s="20"/>
      <c r="G514" s="26"/>
      <c r="H514" s="20"/>
    </row>
    <row r="515" ht="15.75" customHeight="1">
      <c r="D515" s="20"/>
      <c r="G515" s="26"/>
      <c r="H515" s="20"/>
    </row>
    <row r="516" ht="15.75" customHeight="1">
      <c r="D516" s="20"/>
      <c r="G516" s="26"/>
      <c r="H516" s="20"/>
    </row>
    <row r="517" ht="15.75" customHeight="1">
      <c r="D517" s="20"/>
      <c r="G517" s="26"/>
      <c r="H517" s="20"/>
    </row>
    <row r="518" ht="15.75" customHeight="1">
      <c r="D518" s="20"/>
      <c r="G518" s="26"/>
      <c r="H518" s="20"/>
    </row>
    <row r="519" ht="15.75" customHeight="1">
      <c r="D519" s="20"/>
      <c r="G519" s="26"/>
      <c r="H519" s="20"/>
    </row>
    <row r="520" ht="15.75" customHeight="1">
      <c r="D520" s="20"/>
      <c r="G520" s="26"/>
      <c r="H520" s="20"/>
    </row>
    <row r="521" ht="15.75" customHeight="1">
      <c r="D521" s="20"/>
      <c r="G521" s="26"/>
      <c r="H521" s="20"/>
    </row>
    <row r="522" ht="15.75" customHeight="1">
      <c r="D522" s="20"/>
      <c r="G522" s="26"/>
      <c r="H522" s="20"/>
    </row>
    <row r="523" ht="15.75" customHeight="1">
      <c r="D523" s="20"/>
      <c r="G523" s="26"/>
      <c r="H523" s="20"/>
    </row>
    <row r="524" ht="15.75" customHeight="1">
      <c r="D524" s="20"/>
      <c r="G524" s="26"/>
      <c r="H524" s="20"/>
    </row>
    <row r="525" ht="15.75" customHeight="1">
      <c r="D525" s="20"/>
      <c r="G525" s="26"/>
      <c r="H525" s="20"/>
    </row>
    <row r="526" ht="15.75" customHeight="1">
      <c r="D526" s="20"/>
      <c r="G526" s="26"/>
      <c r="H526" s="20"/>
    </row>
    <row r="527" ht="15.75" customHeight="1">
      <c r="D527" s="20"/>
      <c r="G527" s="26"/>
      <c r="H527" s="20"/>
    </row>
    <row r="528" ht="15.75" customHeight="1">
      <c r="D528" s="20"/>
      <c r="G528" s="26"/>
      <c r="H528" s="20"/>
    </row>
    <row r="529" ht="15.75" customHeight="1">
      <c r="D529" s="20"/>
      <c r="G529" s="26"/>
      <c r="H529" s="20"/>
    </row>
    <row r="530" ht="15.75" customHeight="1">
      <c r="D530" s="20"/>
      <c r="G530" s="26"/>
      <c r="H530" s="20"/>
    </row>
    <row r="531" ht="15.75" customHeight="1">
      <c r="D531" s="20"/>
      <c r="G531" s="26"/>
      <c r="H531" s="20"/>
    </row>
    <row r="532" ht="15.75" customHeight="1">
      <c r="D532" s="20"/>
      <c r="G532" s="26"/>
      <c r="H532" s="20"/>
    </row>
    <row r="533" ht="15.75" customHeight="1">
      <c r="D533" s="20"/>
      <c r="G533" s="26"/>
      <c r="H533" s="20"/>
    </row>
    <row r="534" ht="15.75" customHeight="1">
      <c r="D534" s="20"/>
      <c r="G534" s="26"/>
      <c r="H534" s="20"/>
    </row>
    <row r="535" ht="15.75" customHeight="1">
      <c r="D535" s="20"/>
      <c r="G535" s="26"/>
      <c r="H535" s="20"/>
    </row>
    <row r="536" ht="15.75" customHeight="1">
      <c r="D536" s="20"/>
      <c r="G536" s="26"/>
      <c r="H536" s="20"/>
    </row>
    <row r="537" ht="15.75" customHeight="1">
      <c r="D537" s="20"/>
      <c r="G537" s="26"/>
      <c r="H537" s="20"/>
    </row>
    <row r="538" ht="15.75" customHeight="1">
      <c r="D538" s="20"/>
      <c r="G538" s="26"/>
      <c r="H538" s="20"/>
    </row>
    <row r="539" ht="15.75" customHeight="1">
      <c r="D539" s="20"/>
      <c r="G539" s="26"/>
      <c r="H539" s="20"/>
    </row>
    <row r="540" ht="15.75" customHeight="1">
      <c r="D540" s="20"/>
      <c r="G540" s="26"/>
      <c r="H540" s="20"/>
    </row>
    <row r="541" ht="15.75" customHeight="1">
      <c r="D541" s="20"/>
      <c r="G541" s="26"/>
      <c r="H541" s="20"/>
    </row>
    <row r="542" ht="15.75" customHeight="1">
      <c r="D542" s="20"/>
      <c r="G542" s="26"/>
      <c r="H542" s="20"/>
    </row>
    <row r="543" ht="15.75" customHeight="1">
      <c r="D543" s="20"/>
      <c r="G543" s="26"/>
      <c r="H543" s="20"/>
    </row>
    <row r="544" ht="15.75" customHeight="1">
      <c r="D544" s="20"/>
      <c r="G544" s="26"/>
      <c r="H544" s="20"/>
    </row>
    <row r="545" ht="15.75" customHeight="1">
      <c r="D545" s="20"/>
      <c r="G545" s="26"/>
      <c r="H545" s="20"/>
    </row>
    <row r="546" ht="15.75" customHeight="1">
      <c r="D546" s="20"/>
      <c r="G546" s="26"/>
      <c r="H546" s="20"/>
    </row>
    <row r="547" ht="15.75" customHeight="1">
      <c r="D547" s="20"/>
      <c r="G547" s="26"/>
      <c r="H547" s="20"/>
    </row>
    <row r="548" ht="15.75" customHeight="1">
      <c r="D548" s="20"/>
      <c r="G548" s="26"/>
      <c r="H548" s="20"/>
    </row>
    <row r="549" ht="15.75" customHeight="1">
      <c r="D549" s="20"/>
      <c r="G549" s="26"/>
      <c r="H549" s="20"/>
    </row>
    <row r="550" ht="15.75" customHeight="1">
      <c r="D550" s="20"/>
      <c r="G550" s="26"/>
      <c r="H550" s="20"/>
    </row>
    <row r="551" ht="15.75" customHeight="1">
      <c r="D551" s="20"/>
      <c r="G551" s="26"/>
      <c r="H551" s="20"/>
    </row>
    <row r="552" ht="15.75" customHeight="1">
      <c r="D552" s="20"/>
      <c r="G552" s="26"/>
      <c r="H552" s="20"/>
    </row>
    <row r="553" ht="15.75" customHeight="1">
      <c r="D553" s="20"/>
      <c r="G553" s="26"/>
      <c r="H553" s="20"/>
    </row>
    <row r="554" ht="15.75" customHeight="1">
      <c r="D554" s="20"/>
      <c r="G554" s="26"/>
      <c r="H554" s="20"/>
    </row>
    <row r="555" ht="15.75" customHeight="1">
      <c r="D555" s="20"/>
      <c r="G555" s="26"/>
      <c r="H555" s="20"/>
    </row>
    <row r="556" ht="15.75" customHeight="1">
      <c r="D556" s="20"/>
      <c r="G556" s="26"/>
      <c r="H556" s="20"/>
    </row>
    <row r="557" ht="15.75" customHeight="1">
      <c r="D557" s="20"/>
      <c r="G557" s="26"/>
      <c r="H557" s="20"/>
    </row>
    <row r="558" ht="15.75" customHeight="1">
      <c r="D558" s="20"/>
      <c r="G558" s="26"/>
      <c r="H558" s="20"/>
    </row>
    <row r="559" ht="15.75" customHeight="1">
      <c r="D559" s="20"/>
      <c r="G559" s="26"/>
      <c r="H559" s="20"/>
    </row>
    <row r="560" ht="15.75" customHeight="1">
      <c r="D560" s="20"/>
      <c r="G560" s="26"/>
      <c r="H560" s="20"/>
    </row>
    <row r="561" ht="15.75" customHeight="1">
      <c r="D561" s="20"/>
      <c r="G561" s="26"/>
      <c r="H561" s="20"/>
    </row>
    <row r="562" ht="15.75" customHeight="1">
      <c r="D562" s="20"/>
      <c r="G562" s="26"/>
      <c r="H562" s="20"/>
    </row>
    <row r="563" ht="15.75" customHeight="1">
      <c r="D563" s="20"/>
      <c r="G563" s="26"/>
      <c r="H563" s="20"/>
    </row>
    <row r="564" ht="15.75" customHeight="1">
      <c r="D564" s="20"/>
      <c r="G564" s="26"/>
      <c r="H564" s="20"/>
    </row>
    <row r="565" ht="15.75" customHeight="1">
      <c r="D565" s="20"/>
      <c r="G565" s="26"/>
      <c r="H565" s="20"/>
    </row>
    <row r="566" ht="15.75" customHeight="1">
      <c r="D566" s="20"/>
      <c r="G566" s="26"/>
      <c r="H566" s="20"/>
    </row>
    <row r="567" ht="15.75" customHeight="1">
      <c r="D567" s="20"/>
      <c r="G567" s="26"/>
      <c r="H567" s="20"/>
    </row>
    <row r="568" ht="15.75" customHeight="1">
      <c r="D568" s="20"/>
      <c r="G568" s="26"/>
      <c r="H568" s="20"/>
    </row>
    <row r="569" ht="15.75" customHeight="1">
      <c r="D569" s="20"/>
      <c r="G569" s="26"/>
      <c r="H569" s="20"/>
    </row>
    <row r="570" ht="15.75" customHeight="1">
      <c r="D570" s="20"/>
      <c r="G570" s="26"/>
      <c r="H570" s="20"/>
    </row>
    <row r="571" ht="15.75" customHeight="1">
      <c r="D571" s="20"/>
      <c r="G571" s="26"/>
      <c r="H571" s="20"/>
    </row>
    <row r="572" ht="15.75" customHeight="1">
      <c r="D572" s="20"/>
      <c r="G572" s="26"/>
      <c r="H572" s="20"/>
    </row>
    <row r="573" ht="15.75" customHeight="1">
      <c r="D573" s="20"/>
      <c r="G573" s="26"/>
      <c r="H573" s="20"/>
    </row>
    <row r="574" ht="15.75" customHeight="1">
      <c r="D574" s="20"/>
      <c r="G574" s="26"/>
      <c r="H574" s="20"/>
    </row>
    <row r="575" ht="15.75" customHeight="1">
      <c r="D575" s="20"/>
      <c r="G575" s="26"/>
      <c r="H575" s="20"/>
    </row>
    <row r="576" ht="15.75" customHeight="1">
      <c r="D576" s="20"/>
      <c r="G576" s="26"/>
      <c r="H576" s="20"/>
    </row>
    <row r="577" ht="15.75" customHeight="1">
      <c r="D577" s="20"/>
      <c r="G577" s="26"/>
      <c r="H577" s="20"/>
    </row>
    <row r="578" ht="15.75" customHeight="1">
      <c r="D578" s="20"/>
      <c r="G578" s="26"/>
      <c r="H578" s="20"/>
    </row>
    <row r="579" ht="15.75" customHeight="1">
      <c r="D579" s="20"/>
      <c r="G579" s="26"/>
      <c r="H579" s="20"/>
    </row>
    <row r="580" ht="15.75" customHeight="1">
      <c r="D580" s="20"/>
      <c r="G580" s="26"/>
      <c r="H580" s="20"/>
    </row>
    <row r="581" ht="15.75" customHeight="1">
      <c r="D581" s="20"/>
      <c r="G581" s="26"/>
      <c r="H581" s="20"/>
    </row>
    <row r="582" ht="15.75" customHeight="1">
      <c r="D582" s="20"/>
      <c r="G582" s="26"/>
      <c r="H582" s="20"/>
    </row>
    <row r="583" ht="15.75" customHeight="1">
      <c r="D583" s="20"/>
      <c r="G583" s="26"/>
      <c r="H583" s="20"/>
    </row>
    <row r="584" ht="15.75" customHeight="1">
      <c r="D584" s="20"/>
      <c r="G584" s="26"/>
      <c r="H584" s="20"/>
    </row>
    <row r="585" ht="15.75" customHeight="1">
      <c r="D585" s="20"/>
      <c r="G585" s="26"/>
      <c r="H585" s="20"/>
    </row>
    <row r="586" ht="15.75" customHeight="1">
      <c r="D586" s="20"/>
      <c r="G586" s="26"/>
      <c r="H586" s="20"/>
    </row>
    <row r="587" ht="15.75" customHeight="1">
      <c r="D587" s="20"/>
      <c r="G587" s="26"/>
      <c r="H587" s="20"/>
    </row>
    <row r="588" ht="15.75" customHeight="1">
      <c r="D588" s="20"/>
      <c r="G588" s="26"/>
      <c r="H588" s="20"/>
    </row>
    <row r="589" ht="15.75" customHeight="1">
      <c r="D589" s="20"/>
      <c r="G589" s="26"/>
      <c r="H589" s="20"/>
    </row>
    <row r="590" ht="15.75" customHeight="1">
      <c r="D590" s="20"/>
      <c r="G590" s="26"/>
      <c r="H590" s="20"/>
    </row>
    <row r="591" ht="15.75" customHeight="1">
      <c r="D591" s="20"/>
      <c r="G591" s="26"/>
      <c r="H591" s="20"/>
    </row>
    <row r="592" ht="15.75" customHeight="1">
      <c r="D592" s="20"/>
      <c r="G592" s="26"/>
      <c r="H592" s="20"/>
    </row>
    <row r="593" ht="15.75" customHeight="1">
      <c r="D593" s="20"/>
      <c r="G593" s="26"/>
      <c r="H593" s="20"/>
    </row>
    <row r="594" ht="15.75" customHeight="1">
      <c r="D594" s="20"/>
      <c r="G594" s="26"/>
      <c r="H594" s="20"/>
    </row>
    <row r="595" ht="15.75" customHeight="1">
      <c r="D595" s="20"/>
      <c r="G595" s="26"/>
      <c r="H595" s="20"/>
    </row>
    <row r="596" ht="15.75" customHeight="1">
      <c r="D596" s="20"/>
      <c r="G596" s="26"/>
      <c r="H596" s="20"/>
    </row>
    <row r="597" ht="15.75" customHeight="1">
      <c r="D597" s="20"/>
      <c r="G597" s="26"/>
      <c r="H597" s="20"/>
    </row>
    <row r="598" ht="15.75" customHeight="1">
      <c r="D598" s="20"/>
      <c r="G598" s="26"/>
      <c r="H598" s="20"/>
    </row>
    <row r="599" ht="15.75" customHeight="1">
      <c r="D599" s="20"/>
      <c r="G599" s="26"/>
      <c r="H599" s="20"/>
    </row>
    <row r="600" ht="15.75" customHeight="1">
      <c r="D600" s="20"/>
      <c r="G600" s="26"/>
      <c r="H600" s="20"/>
    </row>
    <row r="601" ht="15.75" customHeight="1">
      <c r="D601" s="20"/>
      <c r="G601" s="26"/>
      <c r="H601" s="20"/>
    </row>
    <row r="602" ht="15.75" customHeight="1">
      <c r="D602" s="20"/>
      <c r="G602" s="26"/>
      <c r="H602" s="20"/>
    </row>
    <row r="603" ht="15.75" customHeight="1">
      <c r="D603" s="20"/>
      <c r="G603" s="26"/>
      <c r="H603" s="20"/>
    </row>
    <row r="604" ht="15.75" customHeight="1">
      <c r="D604" s="20"/>
      <c r="G604" s="26"/>
      <c r="H604" s="20"/>
    </row>
    <row r="605" ht="15.75" customHeight="1">
      <c r="D605" s="20"/>
      <c r="G605" s="26"/>
      <c r="H605" s="20"/>
    </row>
    <row r="606" ht="15.75" customHeight="1">
      <c r="D606" s="20"/>
      <c r="G606" s="26"/>
      <c r="H606" s="20"/>
    </row>
    <row r="607" ht="15.75" customHeight="1">
      <c r="D607" s="20"/>
      <c r="G607" s="26"/>
      <c r="H607" s="20"/>
    </row>
    <row r="608" ht="15.75" customHeight="1">
      <c r="D608" s="20"/>
      <c r="G608" s="26"/>
      <c r="H608" s="20"/>
    </row>
    <row r="609" ht="15.75" customHeight="1">
      <c r="D609" s="20"/>
      <c r="G609" s="26"/>
      <c r="H609" s="20"/>
    </row>
    <row r="610" ht="15.75" customHeight="1">
      <c r="D610" s="20"/>
      <c r="G610" s="26"/>
      <c r="H610" s="20"/>
    </row>
    <row r="611" ht="15.75" customHeight="1">
      <c r="D611" s="20"/>
      <c r="G611" s="26"/>
      <c r="H611" s="20"/>
    </row>
    <row r="612" ht="15.75" customHeight="1">
      <c r="D612" s="20"/>
      <c r="G612" s="26"/>
      <c r="H612" s="20"/>
    </row>
    <row r="613" ht="15.75" customHeight="1">
      <c r="D613" s="20"/>
      <c r="G613" s="26"/>
      <c r="H613" s="20"/>
    </row>
    <row r="614" ht="15.75" customHeight="1">
      <c r="D614" s="20"/>
      <c r="G614" s="26"/>
      <c r="H614" s="20"/>
    </row>
    <row r="615" ht="15.75" customHeight="1">
      <c r="D615" s="20"/>
      <c r="G615" s="26"/>
      <c r="H615" s="20"/>
    </row>
    <row r="616" ht="15.75" customHeight="1">
      <c r="D616" s="20"/>
      <c r="G616" s="26"/>
      <c r="H616" s="20"/>
    </row>
    <row r="617" ht="15.75" customHeight="1">
      <c r="D617" s="20"/>
      <c r="G617" s="26"/>
      <c r="H617" s="20"/>
    </row>
    <row r="618" ht="15.75" customHeight="1">
      <c r="D618" s="20"/>
      <c r="G618" s="26"/>
      <c r="H618" s="20"/>
    </row>
    <row r="619" ht="15.75" customHeight="1">
      <c r="D619" s="20"/>
      <c r="G619" s="26"/>
      <c r="H619" s="20"/>
    </row>
    <row r="620" ht="15.75" customHeight="1">
      <c r="D620" s="20"/>
      <c r="G620" s="26"/>
      <c r="H620" s="20"/>
    </row>
    <row r="621" ht="15.75" customHeight="1">
      <c r="D621" s="20"/>
      <c r="G621" s="26"/>
      <c r="H621" s="20"/>
    </row>
    <row r="622" ht="15.75" customHeight="1">
      <c r="D622" s="20"/>
      <c r="G622" s="26"/>
      <c r="H622" s="20"/>
    </row>
    <row r="623" ht="15.75" customHeight="1">
      <c r="D623" s="20"/>
      <c r="G623" s="26"/>
      <c r="H623" s="20"/>
    </row>
    <row r="624" ht="15.75" customHeight="1">
      <c r="D624" s="20"/>
      <c r="G624" s="26"/>
      <c r="H624" s="20"/>
    </row>
    <row r="625" ht="15.75" customHeight="1">
      <c r="D625" s="20"/>
      <c r="G625" s="26"/>
      <c r="H625" s="20"/>
    </row>
    <row r="626" ht="15.75" customHeight="1">
      <c r="D626" s="20"/>
      <c r="G626" s="26"/>
      <c r="H626" s="20"/>
    </row>
    <row r="627" ht="15.75" customHeight="1">
      <c r="D627" s="20"/>
      <c r="G627" s="26"/>
      <c r="H627" s="20"/>
    </row>
    <row r="628" ht="15.75" customHeight="1">
      <c r="D628" s="20"/>
      <c r="G628" s="26"/>
      <c r="H628" s="20"/>
    </row>
    <row r="629" ht="15.75" customHeight="1">
      <c r="D629" s="20"/>
      <c r="G629" s="26"/>
      <c r="H629" s="20"/>
    </row>
    <row r="630" ht="15.75" customHeight="1">
      <c r="D630" s="20"/>
      <c r="G630" s="26"/>
      <c r="H630" s="20"/>
    </row>
    <row r="631" ht="15.75" customHeight="1">
      <c r="D631" s="20"/>
      <c r="G631" s="26"/>
      <c r="H631" s="20"/>
    </row>
    <row r="632" ht="15.75" customHeight="1">
      <c r="D632" s="20"/>
      <c r="G632" s="26"/>
      <c r="H632" s="20"/>
    </row>
    <row r="633" ht="15.75" customHeight="1">
      <c r="D633" s="20"/>
      <c r="G633" s="26"/>
      <c r="H633" s="20"/>
    </row>
    <row r="634" ht="15.75" customHeight="1">
      <c r="D634" s="20"/>
      <c r="G634" s="26"/>
      <c r="H634" s="20"/>
    </row>
    <row r="635" ht="15.75" customHeight="1">
      <c r="D635" s="20"/>
      <c r="G635" s="26"/>
      <c r="H635" s="20"/>
    </row>
    <row r="636" ht="15.75" customHeight="1">
      <c r="D636" s="20"/>
      <c r="G636" s="26"/>
      <c r="H636" s="20"/>
    </row>
    <row r="637" ht="15.75" customHeight="1">
      <c r="D637" s="20"/>
      <c r="G637" s="26"/>
      <c r="H637" s="20"/>
    </row>
    <row r="638" ht="15.75" customHeight="1">
      <c r="D638" s="20"/>
      <c r="G638" s="26"/>
      <c r="H638" s="20"/>
    </row>
    <row r="639" ht="15.75" customHeight="1">
      <c r="D639" s="20"/>
      <c r="G639" s="26"/>
      <c r="H639" s="20"/>
    </row>
    <row r="640" ht="15.75" customHeight="1">
      <c r="D640" s="20"/>
      <c r="G640" s="26"/>
      <c r="H640" s="20"/>
    </row>
    <row r="641" ht="15.75" customHeight="1">
      <c r="D641" s="20"/>
      <c r="G641" s="26"/>
      <c r="H641" s="20"/>
    </row>
    <row r="642" ht="15.75" customHeight="1">
      <c r="D642" s="20"/>
      <c r="G642" s="26"/>
      <c r="H642" s="20"/>
    </row>
    <row r="643" ht="15.75" customHeight="1">
      <c r="D643" s="20"/>
      <c r="G643" s="26"/>
      <c r="H643" s="20"/>
    </row>
    <row r="644" ht="15.75" customHeight="1">
      <c r="D644" s="20"/>
      <c r="G644" s="26"/>
      <c r="H644" s="20"/>
    </row>
    <row r="645" ht="15.75" customHeight="1">
      <c r="D645" s="20"/>
      <c r="G645" s="26"/>
      <c r="H645" s="20"/>
    </row>
    <row r="646" ht="15.75" customHeight="1">
      <c r="D646" s="20"/>
      <c r="G646" s="26"/>
      <c r="H646" s="20"/>
    </row>
    <row r="647" ht="15.75" customHeight="1">
      <c r="D647" s="20"/>
      <c r="G647" s="26"/>
      <c r="H647" s="20"/>
    </row>
    <row r="648" ht="15.75" customHeight="1">
      <c r="D648" s="20"/>
      <c r="G648" s="26"/>
      <c r="H648" s="20"/>
    </row>
    <row r="649" ht="15.75" customHeight="1">
      <c r="D649" s="20"/>
      <c r="G649" s="26"/>
      <c r="H649" s="20"/>
    </row>
    <row r="650" ht="15.75" customHeight="1">
      <c r="D650" s="20"/>
      <c r="G650" s="26"/>
      <c r="H650" s="20"/>
    </row>
    <row r="651" ht="15.75" customHeight="1">
      <c r="D651" s="20"/>
      <c r="G651" s="26"/>
      <c r="H651" s="20"/>
    </row>
    <row r="652" ht="15.75" customHeight="1">
      <c r="D652" s="20"/>
      <c r="G652" s="26"/>
      <c r="H652" s="20"/>
    </row>
    <row r="653" ht="15.75" customHeight="1">
      <c r="D653" s="20"/>
      <c r="G653" s="26"/>
      <c r="H653" s="20"/>
    </row>
    <row r="654" ht="15.75" customHeight="1">
      <c r="D654" s="20"/>
      <c r="G654" s="26"/>
      <c r="H654" s="20"/>
    </row>
    <row r="655" ht="15.75" customHeight="1">
      <c r="D655" s="20"/>
      <c r="G655" s="26"/>
      <c r="H655" s="20"/>
    </row>
    <row r="656" ht="15.75" customHeight="1">
      <c r="D656" s="20"/>
      <c r="G656" s="26"/>
      <c r="H656" s="20"/>
    </row>
    <row r="657" ht="15.75" customHeight="1">
      <c r="D657" s="20"/>
      <c r="G657" s="26"/>
      <c r="H657" s="20"/>
    </row>
    <row r="658" ht="15.75" customHeight="1">
      <c r="D658" s="20"/>
      <c r="G658" s="26"/>
      <c r="H658" s="20"/>
    </row>
    <row r="659" ht="15.75" customHeight="1">
      <c r="D659" s="20"/>
      <c r="G659" s="26"/>
      <c r="H659" s="20"/>
    </row>
    <row r="660" ht="15.75" customHeight="1">
      <c r="D660" s="20"/>
      <c r="G660" s="26"/>
      <c r="H660" s="20"/>
    </row>
    <row r="661" ht="15.75" customHeight="1">
      <c r="D661" s="20"/>
      <c r="G661" s="26"/>
      <c r="H661" s="20"/>
    </row>
    <row r="662" ht="15.75" customHeight="1">
      <c r="D662" s="20"/>
      <c r="G662" s="26"/>
      <c r="H662" s="20"/>
    </row>
    <row r="663" ht="15.75" customHeight="1">
      <c r="D663" s="20"/>
      <c r="G663" s="26"/>
      <c r="H663" s="20"/>
    </row>
    <row r="664" ht="15.75" customHeight="1">
      <c r="D664" s="20"/>
      <c r="G664" s="26"/>
      <c r="H664" s="20"/>
    </row>
    <row r="665" ht="15.75" customHeight="1">
      <c r="D665" s="20"/>
      <c r="G665" s="26"/>
      <c r="H665" s="20"/>
    </row>
    <row r="666" ht="15.75" customHeight="1">
      <c r="D666" s="20"/>
      <c r="G666" s="26"/>
      <c r="H666" s="20"/>
    </row>
    <row r="667" ht="15.75" customHeight="1">
      <c r="D667" s="20"/>
      <c r="G667" s="26"/>
      <c r="H667" s="20"/>
    </row>
    <row r="668" ht="15.75" customHeight="1">
      <c r="D668" s="20"/>
      <c r="G668" s="26"/>
      <c r="H668" s="20"/>
    </row>
    <row r="669" ht="15.75" customHeight="1">
      <c r="D669" s="20"/>
      <c r="G669" s="26"/>
      <c r="H669" s="20"/>
    </row>
    <row r="670" ht="15.75" customHeight="1">
      <c r="D670" s="20"/>
      <c r="G670" s="26"/>
      <c r="H670" s="20"/>
    </row>
    <row r="671" ht="15.75" customHeight="1">
      <c r="D671" s="20"/>
      <c r="G671" s="26"/>
      <c r="H671" s="20"/>
    </row>
    <row r="672" ht="15.75" customHeight="1">
      <c r="D672" s="20"/>
      <c r="G672" s="26"/>
      <c r="H672" s="20"/>
    </row>
    <row r="673" ht="15.75" customHeight="1">
      <c r="D673" s="20"/>
      <c r="G673" s="26"/>
      <c r="H673" s="20"/>
    </row>
    <row r="674" ht="15.75" customHeight="1">
      <c r="D674" s="20"/>
      <c r="G674" s="26"/>
      <c r="H674" s="20"/>
    </row>
    <row r="675" ht="15.75" customHeight="1">
      <c r="D675" s="20"/>
      <c r="G675" s="26"/>
      <c r="H675" s="20"/>
    </row>
    <row r="676" ht="15.75" customHeight="1">
      <c r="D676" s="20"/>
      <c r="G676" s="26"/>
      <c r="H676" s="20"/>
    </row>
    <row r="677" ht="15.75" customHeight="1">
      <c r="D677" s="20"/>
      <c r="G677" s="26"/>
      <c r="H677" s="20"/>
    </row>
    <row r="678" ht="15.75" customHeight="1">
      <c r="D678" s="20"/>
      <c r="G678" s="26"/>
      <c r="H678" s="20"/>
    </row>
    <row r="679" ht="15.75" customHeight="1">
      <c r="D679" s="20"/>
      <c r="G679" s="26"/>
      <c r="H679" s="20"/>
    </row>
    <row r="680" ht="15.75" customHeight="1">
      <c r="D680" s="20"/>
      <c r="G680" s="26"/>
      <c r="H680" s="20"/>
    </row>
    <row r="681" ht="15.75" customHeight="1">
      <c r="D681" s="20"/>
      <c r="G681" s="26"/>
      <c r="H681" s="20"/>
    </row>
    <row r="682" ht="15.75" customHeight="1">
      <c r="D682" s="20"/>
      <c r="G682" s="26"/>
      <c r="H682" s="20"/>
    </row>
    <row r="683" ht="15.75" customHeight="1">
      <c r="D683" s="20"/>
      <c r="G683" s="26"/>
      <c r="H683" s="20"/>
    </row>
    <row r="684" ht="15.75" customHeight="1">
      <c r="D684" s="20"/>
      <c r="G684" s="26"/>
      <c r="H684" s="20"/>
    </row>
    <row r="685" ht="15.75" customHeight="1">
      <c r="D685" s="20"/>
      <c r="G685" s="26"/>
      <c r="H685" s="20"/>
    </row>
    <row r="686" ht="15.75" customHeight="1">
      <c r="D686" s="20"/>
      <c r="G686" s="26"/>
      <c r="H686" s="20"/>
    </row>
    <row r="687" ht="15.75" customHeight="1">
      <c r="D687" s="20"/>
      <c r="G687" s="26"/>
      <c r="H687" s="20"/>
    </row>
    <row r="688" ht="15.75" customHeight="1">
      <c r="D688" s="20"/>
      <c r="G688" s="26"/>
      <c r="H688" s="20"/>
    </row>
    <row r="689" ht="15.75" customHeight="1">
      <c r="D689" s="20"/>
      <c r="G689" s="26"/>
      <c r="H689" s="20"/>
    </row>
    <row r="690" ht="15.75" customHeight="1">
      <c r="D690" s="20"/>
      <c r="G690" s="26"/>
      <c r="H690" s="20"/>
    </row>
    <row r="691" ht="15.75" customHeight="1">
      <c r="D691" s="20"/>
      <c r="G691" s="26"/>
      <c r="H691" s="20"/>
    </row>
    <row r="692" ht="15.75" customHeight="1">
      <c r="D692" s="20"/>
      <c r="G692" s="26"/>
      <c r="H692" s="20"/>
    </row>
    <row r="693" ht="15.75" customHeight="1">
      <c r="D693" s="20"/>
      <c r="G693" s="26"/>
      <c r="H693" s="20"/>
    </row>
    <row r="694" ht="15.75" customHeight="1">
      <c r="D694" s="20"/>
      <c r="G694" s="26"/>
      <c r="H694" s="20"/>
    </row>
    <row r="695" ht="15.75" customHeight="1">
      <c r="D695" s="20"/>
      <c r="G695" s="26"/>
      <c r="H695" s="20"/>
    </row>
    <row r="696" ht="15.75" customHeight="1">
      <c r="D696" s="20"/>
      <c r="G696" s="26"/>
      <c r="H696" s="20"/>
    </row>
    <row r="697" ht="15.75" customHeight="1">
      <c r="D697" s="20"/>
      <c r="G697" s="26"/>
      <c r="H697" s="20"/>
    </row>
    <row r="698" ht="15.75" customHeight="1">
      <c r="D698" s="20"/>
      <c r="G698" s="26"/>
      <c r="H698" s="20"/>
    </row>
    <row r="699" ht="15.75" customHeight="1">
      <c r="D699" s="20"/>
      <c r="G699" s="26"/>
      <c r="H699" s="20"/>
    </row>
    <row r="700" ht="15.75" customHeight="1">
      <c r="D700" s="20"/>
      <c r="G700" s="26"/>
      <c r="H700" s="20"/>
    </row>
    <row r="701" ht="15.75" customHeight="1">
      <c r="D701" s="20"/>
      <c r="G701" s="26"/>
      <c r="H701" s="20"/>
    </row>
    <row r="702" ht="15.75" customHeight="1">
      <c r="D702" s="20"/>
      <c r="G702" s="26"/>
      <c r="H702" s="20"/>
    </row>
    <row r="703" ht="15.75" customHeight="1">
      <c r="D703" s="20"/>
      <c r="G703" s="26"/>
      <c r="H703" s="20"/>
    </row>
    <row r="704" ht="15.75" customHeight="1">
      <c r="D704" s="20"/>
      <c r="G704" s="26"/>
      <c r="H704" s="20"/>
    </row>
    <row r="705" ht="15.75" customHeight="1">
      <c r="D705" s="20"/>
      <c r="G705" s="26"/>
      <c r="H705" s="20"/>
    </row>
    <row r="706" ht="15.75" customHeight="1">
      <c r="D706" s="20"/>
      <c r="G706" s="26"/>
      <c r="H706" s="20"/>
    </row>
    <row r="707" ht="15.75" customHeight="1">
      <c r="D707" s="20"/>
      <c r="G707" s="26"/>
      <c r="H707" s="20"/>
    </row>
    <row r="708" ht="15.75" customHeight="1">
      <c r="D708" s="20"/>
      <c r="G708" s="26"/>
      <c r="H708" s="20"/>
    </row>
    <row r="709" ht="15.75" customHeight="1">
      <c r="D709" s="20"/>
      <c r="G709" s="26"/>
      <c r="H709" s="20"/>
    </row>
    <row r="710" ht="15.75" customHeight="1">
      <c r="D710" s="20"/>
      <c r="G710" s="26"/>
      <c r="H710" s="20"/>
    </row>
    <row r="711" ht="15.75" customHeight="1">
      <c r="D711" s="20"/>
      <c r="G711" s="26"/>
      <c r="H711" s="20"/>
    </row>
    <row r="712" ht="15.75" customHeight="1">
      <c r="D712" s="20"/>
      <c r="G712" s="26"/>
      <c r="H712" s="20"/>
    </row>
    <row r="713" ht="15.75" customHeight="1">
      <c r="D713" s="20"/>
      <c r="G713" s="26"/>
      <c r="H713" s="20"/>
    </row>
    <row r="714" ht="15.75" customHeight="1">
      <c r="D714" s="20"/>
      <c r="G714" s="26"/>
      <c r="H714" s="20"/>
    </row>
    <row r="715" ht="15.75" customHeight="1">
      <c r="D715" s="20"/>
      <c r="G715" s="26"/>
      <c r="H715" s="20"/>
    </row>
    <row r="716" ht="15.75" customHeight="1">
      <c r="D716" s="20"/>
      <c r="G716" s="26"/>
      <c r="H716" s="20"/>
    </row>
    <row r="717" ht="15.75" customHeight="1">
      <c r="D717" s="20"/>
      <c r="G717" s="26"/>
      <c r="H717" s="20"/>
    </row>
    <row r="718" ht="15.75" customHeight="1">
      <c r="D718" s="20"/>
      <c r="G718" s="26"/>
      <c r="H718" s="20"/>
    </row>
    <row r="719" ht="15.75" customHeight="1">
      <c r="D719" s="20"/>
      <c r="G719" s="26"/>
      <c r="H719" s="20"/>
    </row>
    <row r="720" ht="15.75" customHeight="1">
      <c r="D720" s="20"/>
      <c r="G720" s="26"/>
      <c r="H720" s="20"/>
    </row>
    <row r="721" ht="15.75" customHeight="1">
      <c r="D721" s="20"/>
      <c r="G721" s="26"/>
      <c r="H721" s="20"/>
    </row>
    <row r="722" ht="15.75" customHeight="1">
      <c r="D722" s="20"/>
      <c r="G722" s="26"/>
      <c r="H722" s="20"/>
    </row>
    <row r="723" ht="15.75" customHeight="1">
      <c r="D723" s="20"/>
      <c r="G723" s="26"/>
      <c r="H723" s="20"/>
    </row>
    <row r="724" ht="15.75" customHeight="1">
      <c r="D724" s="20"/>
      <c r="G724" s="26"/>
      <c r="H724" s="20"/>
    </row>
    <row r="725" ht="15.75" customHeight="1">
      <c r="D725" s="20"/>
      <c r="G725" s="26"/>
      <c r="H725" s="20"/>
    </row>
    <row r="726" ht="15.75" customHeight="1">
      <c r="D726" s="20"/>
      <c r="G726" s="26"/>
      <c r="H726" s="20"/>
    </row>
    <row r="727" ht="15.75" customHeight="1">
      <c r="D727" s="20"/>
      <c r="G727" s="26"/>
      <c r="H727" s="20"/>
    </row>
    <row r="728" ht="15.75" customHeight="1">
      <c r="D728" s="20"/>
      <c r="G728" s="26"/>
      <c r="H728" s="20"/>
    </row>
    <row r="729" ht="15.75" customHeight="1">
      <c r="D729" s="20"/>
      <c r="G729" s="26"/>
      <c r="H729" s="20"/>
    </row>
    <row r="730" ht="15.75" customHeight="1">
      <c r="D730" s="20"/>
      <c r="G730" s="26"/>
      <c r="H730" s="20"/>
    </row>
    <row r="731" ht="15.75" customHeight="1">
      <c r="D731" s="20"/>
      <c r="G731" s="26"/>
      <c r="H731" s="20"/>
    </row>
    <row r="732" ht="15.75" customHeight="1">
      <c r="D732" s="20"/>
      <c r="G732" s="26"/>
      <c r="H732" s="20"/>
    </row>
    <row r="733" ht="15.75" customHeight="1">
      <c r="D733" s="20"/>
      <c r="G733" s="26"/>
      <c r="H733" s="20"/>
    </row>
    <row r="734" ht="15.75" customHeight="1">
      <c r="D734" s="20"/>
      <c r="G734" s="26"/>
      <c r="H734" s="20"/>
    </row>
    <row r="735" ht="15.75" customHeight="1">
      <c r="D735" s="20"/>
      <c r="G735" s="26"/>
      <c r="H735" s="20"/>
    </row>
    <row r="736" ht="15.75" customHeight="1">
      <c r="D736" s="20"/>
      <c r="G736" s="26"/>
      <c r="H736" s="20"/>
    </row>
    <row r="737" ht="15.75" customHeight="1">
      <c r="D737" s="20"/>
      <c r="G737" s="26"/>
      <c r="H737" s="20"/>
    </row>
    <row r="738" ht="15.75" customHeight="1">
      <c r="D738" s="20"/>
      <c r="G738" s="26"/>
      <c r="H738" s="20"/>
    </row>
    <row r="739" ht="15.75" customHeight="1">
      <c r="D739" s="20"/>
      <c r="G739" s="26"/>
      <c r="H739" s="20"/>
    </row>
    <row r="740" ht="15.75" customHeight="1">
      <c r="D740" s="20"/>
      <c r="G740" s="26"/>
      <c r="H740" s="20"/>
    </row>
    <row r="741" ht="15.75" customHeight="1">
      <c r="D741" s="20"/>
      <c r="G741" s="26"/>
      <c r="H741" s="20"/>
    </row>
    <row r="742" ht="15.75" customHeight="1">
      <c r="D742" s="20"/>
      <c r="G742" s="26"/>
      <c r="H742" s="20"/>
    </row>
    <row r="743" ht="15.75" customHeight="1">
      <c r="D743" s="20"/>
      <c r="G743" s="26"/>
      <c r="H743" s="20"/>
    </row>
    <row r="744" ht="15.75" customHeight="1">
      <c r="D744" s="20"/>
      <c r="G744" s="26"/>
      <c r="H744" s="20"/>
    </row>
    <row r="745" ht="15.75" customHeight="1">
      <c r="D745" s="20"/>
      <c r="G745" s="26"/>
      <c r="H745" s="20"/>
    </row>
    <row r="746" ht="15.75" customHeight="1">
      <c r="D746" s="20"/>
      <c r="G746" s="26"/>
      <c r="H746" s="20"/>
    </row>
    <row r="747" ht="15.75" customHeight="1">
      <c r="D747" s="20"/>
      <c r="G747" s="26"/>
      <c r="H747" s="20"/>
    </row>
    <row r="748" ht="15.75" customHeight="1">
      <c r="D748" s="20"/>
      <c r="G748" s="26"/>
      <c r="H748" s="20"/>
    </row>
    <row r="749" ht="15.75" customHeight="1">
      <c r="D749" s="20"/>
      <c r="G749" s="26"/>
      <c r="H749" s="20"/>
    </row>
    <row r="750" ht="15.75" customHeight="1">
      <c r="D750" s="20"/>
      <c r="G750" s="26"/>
      <c r="H750" s="20"/>
    </row>
    <row r="751" ht="15.75" customHeight="1">
      <c r="D751" s="20"/>
      <c r="G751" s="26"/>
      <c r="H751" s="20"/>
    </row>
    <row r="752" ht="15.75" customHeight="1">
      <c r="D752" s="20"/>
      <c r="G752" s="26"/>
      <c r="H752" s="20"/>
    </row>
    <row r="753" ht="15.75" customHeight="1">
      <c r="D753" s="20"/>
      <c r="G753" s="26"/>
      <c r="H753" s="20"/>
    </row>
    <row r="754" ht="15.75" customHeight="1">
      <c r="D754" s="20"/>
      <c r="G754" s="26"/>
      <c r="H754" s="20"/>
    </row>
    <row r="755" ht="15.75" customHeight="1">
      <c r="D755" s="20"/>
      <c r="G755" s="26"/>
      <c r="H755" s="20"/>
    </row>
    <row r="756" ht="15.75" customHeight="1">
      <c r="D756" s="20"/>
      <c r="G756" s="26"/>
      <c r="H756" s="20"/>
    </row>
    <row r="757" ht="15.75" customHeight="1">
      <c r="D757" s="20"/>
      <c r="G757" s="26"/>
      <c r="H757" s="20"/>
    </row>
    <row r="758" ht="15.75" customHeight="1">
      <c r="D758" s="20"/>
      <c r="G758" s="26"/>
      <c r="H758" s="20"/>
    </row>
    <row r="759" ht="15.75" customHeight="1">
      <c r="D759" s="20"/>
      <c r="G759" s="26"/>
      <c r="H759" s="20"/>
    </row>
    <row r="760" ht="15.75" customHeight="1">
      <c r="D760" s="20"/>
      <c r="G760" s="26"/>
      <c r="H760" s="20"/>
    </row>
    <row r="761" ht="15.75" customHeight="1">
      <c r="D761" s="20"/>
      <c r="G761" s="26"/>
      <c r="H761" s="20"/>
    </row>
    <row r="762" ht="15.75" customHeight="1">
      <c r="D762" s="20"/>
      <c r="G762" s="26"/>
      <c r="H762" s="20"/>
    </row>
    <row r="763" ht="15.75" customHeight="1">
      <c r="D763" s="20"/>
      <c r="G763" s="26"/>
      <c r="H763" s="20"/>
    </row>
    <row r="764" ht="15.75" customHeight="1">
      <c r="D764" s="20"/>
      <c r="G764" s="26"/>
      <c r="H764" s="20"/>
    </row>
    <row r="765" ht="15.75" customHeight="1">
      <c r="D765" s="20"/>
      <c r="G765" s="26"/>
      <c r="H765" s="20"/>
    </row>
    <row r="766" ht="15.75" customHeight="1">
      <c r="D766" s="20"/>
      <c r="G766" s="26"/>
      <c r="H766" s="20"/>
    </row>
    <row r="767" ht="15.75" customHeight="1">
      <c r="D767" s="20"/>
      <c r="G767" s="26"/>
      <c r="H767" s="20"/>
    </row>
    <row r="768" ht="15.75" customHeight="1">
      <c r="D768" s="20"/>
      <c r="G768" s="26"/>
      <c r="H768" s="20"/>
    </row>
    <row r="769" ht="15.75" customHeight="1">
      <c r="D769" s="20"/>
      <c r="G769" s="26"/>
      <c r="H769" s="20"/>
    </row>
    <row r="770" ht="15.75" customHeight="1">
      <c r="D770" s="20"/>
      <c r="G770" s="26"/>
      <c r="H770" s="20"/>
    </row>
    <row r="771" ht="15.75" customHeight="1">
      <c r="D771" s="20"/>
      <c r="G771" s="26"/>
      <c r="H771" s="20"/>
    </row>
    <row r="772" ht="15.75" customHeight="1">
      <c r="D772" s="20"/>
      <c r="G772" s="26"/>
      <c r="H772" s="20"/>
    </row>
    <row r="773" ht="15.75" customHeight="1">
      <c r="D773" s="20"/>
      <c r="G773" s="26"/>
      <c r="H773" s="20"/>
    </row>
    <row r="774" ht="15.75" customHeight="1">
      <c r="D774" s="20"/>
      <c r="G774" s="26"/>
      <c r="H774" s="20"/>
    </row>
    <row r="775" ht="15.75" customHeight="1">
      <c r="D775" s="20"/>
      <c r="G775" s="26"/>
      <c r="H775" s="20"/>
    </row>
    <row r="776" ht="15.75" customHeight="1">
      <c r="D776" s="20"/>
      <c r="G776" s="26"/>
      <c r="H776" s="20"/>
    </row>
    <row r="777" ht="15.75" customHeight="1">
      <c r="D777" s="20"/>
      <c r="G777" s="26"/>
      <c r="H777" s="20"/>
    </row>
    <row r="778" ht="15.75" customHeight="1">
      <c r="D778" s="20"/>
      <c r="G778" s="26"/>
      <c r="H778" s="20"/>
    </row>
    <row r="779" ht="15.75" customHeight="1">
      <c r="D779" s="20"/>
      <c r="G779" s="26"/>
      <c r="H779" s="20"/>
    </row>
    <row r="780" ht="15.75" customHeight="1">
      <c r="D780" s="20"/>
      <c r="G780" s="26"/>
      <c r="H780" s="20"/>
    </row>
    <row r="781" ht="15.75" customHeight="1">
      <c r="D781" s="20"/>
      <c r="G781" s="26"/>
      <c r="H781" s="20"/>
    </row>
    <row r="782" ht="15.75" customHeight="1">
      <c r="D782" s="20"/>
      <c r="G782" s="26"/>
      <c r="H782" s="20"/>
    </row>
    <row r="783" ht="15.75" customHeight="1">
      <c r="D783" s="20"/>
      <c r="G783" s="26"/>
      <c r="H783" s="20"/>
    </row>
    <row r="784" ht="15.75" customHeight="1">
      <c r="D784" s="20"/>
      <c r="G784" s="26"/>
      <c r="H784" s="20"/>
    </row>
    <row r="785" ht="15.75" customHeight="1">
      <c r="D785" s="20"/>
      <c r="G785" s="26"/>
      <c r="H785" s="20"/>
    </row>
    <row r="786" ht="15.75" customHeight="1">
      <c r="D786" s="20"/>
      <c r="G786" s="26"/>
      <c r="H786" s="20"/>
    </row>
    <row r="787" ht="15.75" customHeight="1">
      <c r="D787" s="20"/>
      <c r="G787" s="26"/>
      <c r="H787" s="20"/>
    </row>
    <row r="788" ht="15.75" customHeight="1">
      <c r="D788" s="20"/>
      <c r="G788" s="26"/>
      <c r="H788" s="20"/>
    </row>
    <row r="789" ht="15.75" customHeight="1">
      <c r="D789" s="20"/>
      <c r="G789" s="26"/>
      <c r="H789" s="20"/>
    </row>
    <row r="790" ht="15.75" customHeight="1">
      <c r="D790" s="20"/>
      <c r="G790" s="26"/>
      <c r="H790" s="20"/>
    </row>
    <row r="791" ht="15.75" customHeight="1">
      <c r="D791" s="20"/>
      <c r="G791" s="26"/>
      <c r="H791" s="20"/>
    </row>
    <row r="792" ht="15.75" customHeight="1">
      <c r="D792" s="20"/>
      <c r="G792" s="26"/>
      <c r="H792" s="20"/>
    </row>
    <row r="793" ht="15.75" customHeight="1">
      <c r="D793" s="20"/>
      <c r="G793" s="26"/>
      <c r="H793" s="20"/>
    </row>
    <row r="794" ht="15.75" customHeight="1">
      <c r="D794" s="20"/>
      <c r="G794" s="26"/>
      <c r="H794" s="20"/>
    </row>
    <row r="795" ht="15.75" customHeight="1">
      <c r="D795" s="20"/>
      <c r="G795" s="26"/>
      <c r="H795" s="20"/>
    </row>
    <row r="796" ht="15.75" customHeight="1">
      <c r="D796" s="20"/>
      <c r="G796" s="26"/>
      <c r="H796" s="20"/>
    </row>
    <row r="797" ht="15.75" customHeight="1">
      <c r="D797" s="20"/>
      <c r="G797" s="26"/>
      <c r="H797" s="20"/>
    </row>
    <row r="798" ht="15.75" customHeight="1">
      <c r="D798" s="20"/>
      <c r="G798" s="26"/>
      <c r="H798" s="20"/>
    </row>
    <row r="799" ht="15.75" customHeight="1">
      <c r="D799" s="20"/>
      <c r="G799" s="26"/>
      <c r="H799" s="20"/>
    </row>
    <row r="800" ht="15.75" customHeight="1">
      <c r="D800" s="20"/>
      <c r="G800" s="26"/>
      <c r="H800" s="20"/>
    </row>
    <row r="801" ht="15.75" customHeight="1">
      <c r="D801" s="20"/>
      <c r="G801" s="26"/>
      <c r="H801" s="20"/>
    </row>
    <row r="802" ht="15.75" customHeight="1">
      <c r="D802" s="20"/>
      <c r="G802" s="26"/>
      <c r="H802" s="20"/>
    </row>
    <row r="803" ht="15.75" customHeight="1">
      <c r="D803" s="20"/>
      <c r="G803" s="26"/>
      <c r="H803" s="20"/>
    </row>
    <row r="804" ht="15.75" customHeight="1">
      <c r="D804" s="20"/>
      <c r="G804" s="26"/>
      <c r="H804" s="20"/>
    </row>
    <row r="805" ht="15.75" customHeight="1">
      <c r="D805" s="20"/>
      <c r="G805" s="26"/>
      <c r="H805" s="20"/>
    </row>
    <row r="806" ht="15.75" customHeight="1">
      <c r="D806" s="20"/>
      <c r="G806" s="26"/>
      <c r="H806" s="20"/>
    </row>
    <row r="807" ht="15.75" customHeight="1">
      <c r="D807" s="20"/>
      <c r="G807" s="26"/>
      <c r="H807" s="20"/>
    </row>
    <row r="808" ht="15.75" customHeight="1">
      <c r="D808" s="20"/>
      <c r="G808" s="26"/>
      <c r="H808" s="20"/>
    </row>
    <row r="809" ht="15.75" customHeight="1">
      <c r="D809" s="20"/>
      <c r="G809" s="26"/>
      <c r="H809" s="20"/>
    </row>
    <row r="810" ht="15.75" customHeight="1">
      <c r="D810" s="20"/>
      <c r="G810" s="26"/>
      <c r="H810" s="20"/>
    </row>
    <row r="811" ht="15.75" customHeight="1">
      <c r="D811" s="20"/>
      <c r="G811" s="26"/>
      <c r="H811" s="20"/>
    </row>
    <row r="812" ht="15.75" customHeight="1">
      <c r="D812" s="20"/>
      <c r="G812" s="26"/>
      <c r="H812" s="20"/>
    </row>
    <row r="813" ht="15.75" customHeight="1">
      <c r="D813" s="20"/>
      <c r="G813" s="26"/>
      <c r="H813" s="20"/>
    </row>
    <row r="814" ht="15.75" customHeight="1">
      <c r="D814" s="20"/>
      <c r="G814" s="26"/>
      <c r="H814" s="20"/>
    </row>
    <row r="815" ht="15.75" customHeight="1">
      <c r="D815" s="20"/>
      <c r="G815" s="26"/>
      <c r="H815" s="20"/>
    </row>
    <row r="816" ht="15.75" customHeight="1">
      <c r="D816" s="20"/>
      <c r="G816" s="26"/>
      <c r="H816" s="20"/>
    </row>
    <row r="817" ht="15.75" customHeight="1">
      <c r="D817" s="20"/>
      <c r="G817" s="26"/>
      <c r="H817" s="20"/>
    </row>
    <row r="818" ht="15.75" customHeight="1">
      <c r="D818" s="20"/>
      <c r="G818" s="26"/>
      <c r="H818" s="20"/>
    </row>
    <row r="819" ht="15.75" customHeight="1">
      <c r="D819" s="20"/>
      <c r="G819" s="26"/>
      <c r="H819" s="20"/>
    </row>
    <row r="820" ht="15.75" customHeight="1">
      <c r="D820" s="20"/>
      <c r="G820" s="26"/>
      <c r="H820" s="20"/>
    </row>
    <row r="821" ht="15.75" customHeight="1">
      <c r="D821" s="20"/>
      <c r="G821" s="26"/>
      <c r="H821" s="20"/>
    </row>
    <row r="822" ht="15.75" customHeight="1">
      <c r="D822" s="20"/>
      <c r="G822" s="26"/>
      <c r="H822" s="20"/>
    </row>
    <row r="823" ht="15.75" customHeight="1">
      <c r="D823" s="20"/>
      <c r="G823" s="26"/>
      <c r="H823" s="20"/>
    </row>
    <row r="824" ht="15.75" customHeight="1">
      <c r="D824" s="20"/>
      <c r="G824" s="26"/>
      <c r="H824" s="20"/>
    </row>
    <row r="825" ht="15.75" customHeight="1">
      <c r="D825" s="20"/>
      <c r="G825" s="26"/>
      <c r="H825" s="20"/>
    </row>
    <row r="826" ht="15.75" customHeight="1">
      <c r="D826" s="20"/>
      <c r="G826" s="26"/>
      <c r="H826" s="20"/>
    </row>
    <row r="827" ht="15.75" customHeight="1">
      <c r="D827" s="20"/>
      <c r="G827" s="26"/>
      <c r="H827" s="20"/>
    </row>
    <row r="828" ht="15.75" customHeight="1">
      <c r="D828" s="20"/>
      <c r="G828" s="26"/>
      <c r="H828" s="20"/>
    </row>
    <row r="829" ht="15.75" customHeight="1">
      <c r="D829" s="20"/>
      <c r="G829" s="26"/>
      <c r="H829" s="20"/>
    </row>
    <row r="830" ht="15.75" customHeight="1">
      <c r="D830" s="20"/>
      <c r="G830" s="26"/>
      <c r="H830" s="20"/>
    </row>
    <row r="831" ht="15.75" customHeight="1">
      <c r="D831" s="20"/>
      <c r="G831" s="26"/>
      <c r="H831" s="20"/>
    </row>
    <row r="832" ht="15.75" customHeight="1">
      <c r="D832" s="20"/>
      <c r="G832" s="26"/>
      <c r="H832" s="20"/>
    </row>
    <row r="833" ht="15.75" customHeight="1">
      <c r="D833" s="20"/>
      <c r="G833" s="26"/>
      <c r="H833" s="20"/>
    </row>
    <row r="834" ht="15.75" customHeight="1">
      <c r="D834" s="20"/>
      <c r="G834" s="26"/>
      <c r="H834" s="20"/>
    </row>
    <row r="835" ht="15.75" customHeight="1">
      <c r="D835" s="20"/>
      <c r="G835" s="26"/>
      <c r="H835" s="20"/>
    </row>
    <row r="836" ht="15.75" customHeight="1">
      <c r="D836" s="20"/>
      <c r="G836" s="26"/>
      <c r="H836" s="20"/>
    </row>
    <row r="837" ht="15.75" customHeight="1">
      <c r="D837" s="20"/>
      <c r="G837" s="26"/>
      <c r="H837" s="20"/>
    </row>
    <row r="838" ht="15.75" customHeight="1">
      <c r="D838" s="20"/>
      <c r="G838" s="26"/>
      <c r="H838" s="20"/>
    </row>
    <row r="839" ht="15.75" customHeight="1">
      <c r="D839" s="20"/>
      <c r="G839" s="26"/>
      <c r="H839" s="20"/>
    </row>
    <row r="840" ht="15.75" customHeight="1">
      <c r="D840" s="20"/>
      <c r="G840" s="26"/>
      <c r="H840" s="20"/>
    </row>
    <row r="841" ht="15.75" customHeight="1">
      <c r="D841" s="20"/>
      <c r="G841" s="26"/>
      <c r="H841" s="20"/>
    </row>
    <row r="842" ht="15.75" customHeight="1">
      <c r="D842" s="20"/>
      <c r="G842" s="26"/>
      <c r="H842" s="20"/>
    </row>
    <row r="843" ht="15.75" customHeight="1">
      <c r="D843" s="20"/>
      <c r="G843" s="26"/>
      <c r="H843" s="20"/>
    </row>
    <row r="844" ht="15.75" customHeight="1">
      <c r="D844" s="20"/>
      <c r="G844" s="26"/>
      <c r="H844" s="20"/>
    </row>
    <row r="845" ht="15.75" customHeight="1">
      <c r="D845" s="20"/>
      <c r="G845" s="26"/>
      <c r="H845" s="20"/>
    </row>
    <row r="846" ht="15.75" customHeight="1">
      <c r="D846" s="20"/>
      <c r="G846" s="26"/>
      <c r="H846" s="20"/>
    </row>
    <row r="847" ht="15.75" customHeight="1">
      <c r="D847" s="20"/>
      <c r="G847" s="26"/>
      <c r="H847" s="20"/>
    </row>
    <row r="848" ht="15.75" customHeight="1">
      <c r="D848" s="20"/>
      <c r="G848" s="26"/>
      <c r="H848" s="20"/>
    </row>
    <row r="849" ht="15.75" customHeight="1">
      <c r="D849" s="20"/>
      <c r="G849" s="26"/>
      <c r="H849" s="20"/>
    </row>
    <row r="850" ht="15.75" customHeight="1">
      <c r="D850" s="20"/>
      <c r="G850" s="26"/>
      <c r="H850" s="20"/>
    </row>
    <row r="851" ht="15.75" customHeight="1">
      <c r="D851" s="20"/>
      <c r="G851" s="26"/>
      <c r="H851" s="20"/>
    </row>
    <row r="852" ht="15.75" customHeight="1">
      <c r="D852" s="20"/>
      <c r="G852" s="26"/>
      <c r="H852" s="20"/>
    </row>
    <row r="853" ht="15.75" customHeight="1">
      <c r="D853" s="20"/>
      <c r="G853" s="26"/>
      <c r="H853" s="20"/>
    </row>
    <row r="854" ht="15.75" customHeight="1">
      <c r="D854" s="20"/>
      <c r="G854" s="26"/>
      <c r="H854" s="20"/>
    </row>
    <row r="855" ht="15.75" customHeight="1">
      <c r="D855" s="20"/>
      <c r="G855" s="26"/>
      <c r="H855" s="20"/>
    </row>
    <row r="856" ht="15.75" customHeight="1">
      <c r="D856" s="20"/>
      <c r="G856" s="26"/>
      <c r="H856" s="20"/>
    </row>
    <row r="857" ht="15.75" customHeight="1">
      <c r="D857" s="20"/>
      <c r="G857" s="26"/>
      <c r="H857" s="20"/>
    </row>
    <row r="858" ht="15.75" customHeight="1">
      <c r="D858" s="20"/>
      <c r="G858" s="26"/>
      <c r="H858" s="20"/>
    </row>
    <row r="859" ht="15.75" customHeight="1">
      <c r="D859" s="20"/>
      <c r="G859" s="26"/>
      <c r="H859" s="20"/>
    </row>
    <row r="860" ht="15.75" customHeight="1">
      <c r="D860" s="20"/>
      <c r="G860" s="26"/>
      <c r="H860" s="20"/>
    </row>
    <row r="861" ht="15.75" customHeight="1">
      <c r="D861" s="20"/>
      <c r="G861" s="26"/>
      <c r="H861" s="20"/>
    </row>
    <row r="862" ht="15.75" customHeight="1">
      <c r="D862" s="20"/>
      <c r="G862" s="26"/>
      <c r="H862" s="20"/>
    </row>
    <row r="863" ht="15.75" customHeight="1">
      <c r="D863" s="20"/>
      <c r="G863" s="26"/>
      <c r="H863" s="20"/>
    </row>
    <row r="864" ht="15.75" customHeight="1">
      <c r="D864" s="20"/>
      <c r="G864" s="26"/>
      <c r="H864" s="20"/>
    </row>
    <row r="865" ht="15.75" customHeight="1">
      <c r="D865" s="20"/>
      <c r="G865" s="26"/>
      <c r="H865" s="20"/>
    </row>
    <row r="866" ht="15.75" customHeight="1">
      <c r="D866" s="20"/>
      <c r="G866" s="26"/>
      <c r="H866" s="20"/>
    </row>
    <row r="867" ht="15.75" customHeight="1">
      <c r="D867" s="20"/>
      <c r="G867" s="26"/>
      <c r="H867" s="20"/>
    </row>
    <row r="868" ht="15.75" customHeight="1">
      <c r="D868" s="20"/>
      <c r="G868" s="26"/>
      <c r="H868" s="20"/>
    </row>
    <row r="869" ht="15.75" customHeight="1">
      <c r="D869" s="20"/>
      <c r="G869" s="26"/>
      <c r="H869" s="20"/>
    </row>
    <row r="870" ht="15.75" customHeight="1">
      <c r="D870" s="20"/>
      <c r="G870" s="26"/>
      <c r="H870" s="20"/>
    </row>
    <row r="871" ht="15.75" customHeight="1">
      <c r="D871" s="20"/>
      <c r="G871" s="26"/>
      <c r="H871" s="20"/>
    </row>
    <row r="872" ht="15.75" customHeight="1">
      <c r="D872" s="20"/>
      <c r="G872" s="26"/>
      <c r="H872" s="20"/>
    </row>
    <row r="873" ht="15.75" customHeight="1">
      <c r="D873" s="20"/>
      <c r="G873" s="26"/>
      <c r="H873" s="20"/>
    </row>
    <row r="874" ht="15.75" customHeight="1">
      <c r="D874" s="20"/>
      <c r="G874" s="26"/>
      <c r="H874" s="20"/>
    </row>
    <row r="875" ht="15.75" customHeight="1">
      <c r="D875" s="20"/>
      <c r="G875" s="26"/>
      <c r="H875" s="20"/>
    </row>
    <row r="876" ht="15.75" customHeight="1">
      <c r="D876" s="20"/>
      <c r="G876" s="26"/>
      <c r="H876" s="20"/>
    </row>
    <row r="877" ht="15.75" customHeight="1">
      <c r="D877" s="20"/>
      <c r="G877" s="26"/>
      <c r="H877" s="20"/>
    </row>
    <row r="878" ht="15.75" customHeight="1">
      <c r="D878" s="20"/>
      <c r="G878" s="26"/>
      <c r="H878" s="20"/>
    </row>
    <row r="879" ht="15.75" customHeight="1">
      <c r="D879" s="20"/>
      <c r="G879" s="26"/>
      <c r="H879" s="20"/>
    </row>
    <row r="880" ht="15.75" customHeight="1">
      <c r="D880" s="20"/>
      <c r="G880" s="26"/>
      <c r="H880" s="20"/>
    </row>
    <row r="881" ht="15.75" customHeight="1">
      <c r="D881" s="20"/>
      <c r="G881" s="26"/>
      <c r="H881" s="20"/>
    </row>
    <row r="882" ht="15.75" customHeight="1">
      <c r="D882" s="20"/>
      <c r="G882" s="26"/>
      <c r="H882" s="20"/>
    </row>
    <row r="883" ht="15.75" customHeight="1">
      <c r="D883" s="20"/>
      <c r="G883" s="26"/>
      <c r="H883" s="20"/>
    </row>
    <row r="884" ht="15.75" customHeight="1">
      <c r="D884" s="20"/>
      <c r="G884" s="26"/>
      <c r="H884" s="20"/>
    </row>
    <row r="885" ht="15.75" customHeight="1">
      <c r="D885" s="20"/>
      <c r="G885" s="26"/>
      <c r="H885" s="20"/>
    </row>
    <row r="886" ht="15.75" customHeight="1">
      <c r="D886" s="20"/>
      <c r="G886" s="26"/>
      <c r="H886" s="20"/>
    </row>
    <row r="887" ht="15.75" customHeight="1">
      <c r="D887" s="20"/>
      <c r="G887" s="26"/>
      <c r="H887" s="20"/>
    </row>
    <row r="888" ht="15.75" customHeight="1">
      <c r="D888" s="20"/>
      <c r="G888" s="26"/>
      <c r="H888" s="20"/>
    </row>
    <row r="889" ht="15.75" customHeight="1">
      <c r="D889" s="20"/>
      <c r="G889" s="26"/>
      <c r="H889" s="20"/>
    </row>
    <row r="890" ht="15.75" customHeight="1">
      <c r="D890" s="20"/>
      <c r="G890" s="26"/>
      <c r="H890" s="20"/>
    </row>
    <row r="891" ht="15.75" customHeight="1">
      <c r="D891" s="20"/>
      <c r="G891" s="26"/>
      <c r="H891" s="20"/>
    </row>
    <row r="892" ht="15.75" customHeight="1">
      <c r="D892" s="20"/>
      <c r="G892" s="26"/>
      <c r="H892" s="20"/>
    </row>
    <row r="893" ht="15.75" customHeight="1">
      <c r="D893" s="20"/>
      <c r="G893" s="26"/>
      <c r="H893" s="20"/>
    </row>
    <row r="894" ht="15.75" customHeight="1">
      <c r="D894" s="20"/>
      <c r="G894" s="26"/>
      <c r="H894" s="20"/>
    </row>
    <row r="895" ht="15.75" customHeight="1">
      <c r="D895" s="20"/>
      <c r="G895" s="26"/>
      <c r="H895" s="20"/>
    </row>
    <row r="896" ht="15.75" customHeight="1">
      <c r="D896" s="20"/>
      <c r="G896" s="26"/>
      <c r="H896" s="20"/>
    </row>
    <row r="897" ht="15.75" customHeight="1">
      <c r="D897" s="20"/>
      <c r="G897" s="26"/>
      <c r="H897" s="20"/>
    </row>
    <row r="898" ht="15.75" customHeight="1">
      <c r="D898" s="20"/>
      <c r="G898" s="26"/>
      <c r="H898" s="20"/>
    </row>
    <row r="899" ht="15.75" customHeight="1">
      <c r="D899" s="20"/>
      <c r="G899" s="26"/>
      <c r="H899" s="20"/>
    </row>
    <row r="900" ht="15.75" customHeight="1">
      <c r="D900" s="20"/>
      <c r="G900" s="26"/>
      <c r="H900" s="20"/>
    </row>
    <row r="901" ht="15.75" customHeight="1">
      <c r="D901" s="20"/>
      <c r="G901" s="26"/>
      <c r="H901" s="20"/>
    </row>
    <row r="902" ht="15.75" customHeight="1">
      <c r="D902" s="20"/>
      <c r="G902" s="26"/>
      <c r="H902" s="20"/>
    </row>
    <row r="903" ht="15.75" customHeight="1">
      <c r="D903" s="20"/>
      <c r="G903" s="26"/>
      <c r="H903" s="20"/>
    </row>
    <row r="904" ht="15.75" customHeight="1">
      <c r="D904" s="20"/>
      <c r="G904" s="26"/>
      <c r="H904" s="20"/>
    </row>
    <row r="905" ht="15.75" customHeight="1">
      <c r="D905" s="20"/>
      <c r="G905" s="26"/>
      <c r="H905" s="20"/>
    </row>
    <row r="906" ht="15.75" customHeight="1">
      <c r="D906" s="20"/>
      <c r="G906" s="26"/>
      <c r="H906" s="20"/>
    </row>
    <row r="907" ht="15.75" customHeight="1">
      <c r="D907" s="20"/>
      <c r="G907" s="26"/>
      <c r="H907" s="20"/>
    </row>
    <row r="908" ht="15.75" customHeight="1">
      <c r="D908" s="20"/>
      <c r="G908" s="26"/>
      <c r="H908" s="20"/>
    </row>
    <row r="909" ht="15.75" customHeight="1">
      <c r="D909" s="20"/>
      <c r="G909" s="26"/>
      <c r="H909" s="20"/>
    </row>
    <row r="910" ht="15.75" customHeight="1">
      <c r="D910" s="20"/>
      <c r="G910" s="26"/>
      <c r="H910" s="20"/>
    </row>
    <row r="911" ht="15.75" customHeight="1">
      <c r="D911" s="20"/>
      <c r="G911" s="26"/>
      <c r="H911" s="20"/>
    </row>
    <row r="912" ht="15.75" customHeight="1">
      <c r="D912" s="20"/>
      <c r="G912" s="26"/>
      <c r="H912" s="20"/>
    </row>
    <row r="913" ht="15.75" customHeight="1">
      <c r="D913" s="20"/>
      <c r="G913" s="26"/>
      <c r="H913" s="20"/>
    </row>
    <row r="914" ht="15.75" customHeight="1">
      <c r="D914" s="20"/>
      <c r="G914" s="26"/>
      <c r="H914" s="20"/>
    </row>
    <row r="915" ht="15.75" customHeight="1">
      <c r="D915" s="20"/>
      <c r="G915" s="26"/>
      <c r="H915" s="20"/>
    </row>
    <row r="916" ht="15.75" customHeight="1">
      <c r="D916" s="20"/>
      <c r="G916" s="26"/>
      <c r="H916" s="20"/>
    </row>
    <row r="917" ht="15.75" customHeight="1">
      <c r="D917" s="20"/>
      <c r="G917" s="26"/>
      <c r="H917" s="20"/>
    </row>
    <row r="918" ht="15.75" customHeight="1">
      <c r="D918" s="20"/>
      <c r="G918" s="26"/>
      <c r="H918" s="20"/>
    </row>
    <row r="919" ht="15.75" customHeight="1">
      <c r="D919" s="20"/>
      <c r="G919" s="26"/>
      <c r="H919" s="20"/>
    </row>
    <row r="920" ht="15.75" customHeight="1">
      <c r="D920" s="20"/>
      <c r="G920" s="26"/>
      <c r="H920" s="20"/>
    </row>
    <row r="921" ht="15.75" customHeight="1">
      <c r="D921" s="20"/>
      <c r="G921" s="26"/>
      <c r="H921" s="20"/>
    </row>
    <row r="922" ht="15.75" customHeight="1">
      <c r="D922" s="20"/>
      <c r="G922" s="26"/>
      <c r="H922" s="20"/>
    </row>
    <row r="923" ht="15.75" customHeight="1">
      <c r="D923" s="20"/>
      <c r="G923" s="26"/>
      <c r="H923" s="20"/>
    </row>
    <row r="924" ht="15.75" customHeight="1">
      <c r="D924" s="20"/>
      <c r="G924" s="26"/>
      <c r="H924" s="20"/>
    </row>
    <row r="925" ht="15.75" customHeight="1">
      <c r="D925" s="20"/>
      <c r="G925" s="26"/>
      <c r="H925" s="20"/>
    </row>
    <row r="926" ht="15.75" customHeight="1">
      <c r="D926" s="20"/>
      <c r="G926" s="26"/>
      <c r="H926" s="20"/>
    </row>
    <row r="927" ht="15.75" customHeight="1">
      <c r="D927" s="20"/>
      <c r="G927" s="26"/>
      <c r="H927" s="20"/>
    </row>
    <row r="928" ht="15.75" customHeight="1">
      <c r="D928" s="20"/>
      <c r="G928" s="26"/>
      <c r="H928" s="20"/>
    </row>
    <row r="929" ht="15.75" customHeight="1">
      <c r="D929" s="20"/>
      <c r="G929" s="26"/>
      <c r="H929" s="20"/>
    </row>
    <row r="930" ht="15.75" customHeight="1">
      <c r="D930" s="20"/>
      <c r="G930" s="26"/>
      <c r="H930" s="20"/>
    </row>
    <row r="931" ht="15.75" customHeight="1">
      <c r="D931" s="20"/>
      <c r="G931" s="26"/>
      <c r="H931" s="20"/>
    </row>
    <row r="932" ht="15.75" customHeight="1">
      <c r="D932" s="20"/>
      <c r="G932" s="26"/>
      <c r="H932" s="20"/>
    </row>
    <row r="933" ht="15.75" customHeight="1">
      <c r="D933" s="20"/>
      <c r="G933" s="26"/>
      <c r="H933" s="20"/>
    </row>
    <row r="934" ht="15.75" customHeight="1">
      <c r="D934" s="20"/>
      <c r="G934" s="26"/>
      <c r="H934" s="20"/>
    </row>
    <row r="935" ht="15.75" customHeight="1">
      <c r="D935" s="20"/>
      <c r="G935" s="26"/>
      <c r="H935" s="20"/>
    </row>
    <row r="936" ht="15.75" customHeight="1">
      <c r="D936" s="20"/>
      <c r="G936" s="26"/>
      <c r="H936" s="20"/>
    </row>
    <row r="937" ht="15.75" customHeight="1">
      <c r="D937" s="20"/>
      <c r="G937" s="26"/>
      <c r="H937" s="20"/>
    </row>
    <row r="938" ht="15.75" customHeight="1">
      <c r="D938" s="20"/>
      <c r="G938" s="26"/>
      <c r="H938" s="20"/>
    </row>
    <row r="939" ht="15.75" customHeight="1">
      <c r="D939" s="20"/>
      <c r="G939" s="26"/>
      <c r="H939" s="20"/>
    </row>
    <row r="940" ht="15.75" customHeight="1">
      <c r="D940" s="20"/>
      <c r="G940" s="26"/>
      <c r="H940" s="20"/>
    </row>
    <row r="941" ht="15.75" customHeight="1">
      <c r="D941" s="20"/>
      <c r="G941" s="26"/>
      <c r="H941" s="20"/>
    </row>
    <row r="942" ht="15.75" customHeight="1">
      <c r="D942" s="20"/>
      <c r="G942" s="26"/>
      <c r="H942" s="20"/>
    </row>
    <row r="943" ht="15.75" customHeight="1">
      <c r="D943" s="20"/>
      <c r="G943" s="26"/>
      <c r="H943" s="20"/>
    </row>
    <row r="944" ht="15.75" customHeight="1">
      <c r="D944" s="20"/>
      <c r="G944" s="26"/>
      <c r="H944" s="20"/>
    </row>
    <row r="945" ht="15.75" customHeight="1">
      <c r="D945" s="20"/>
      <c r="G945" s="26"/>
      <c r="H945" s="20"/>
    </row>
    <row r="946" ht="15.75" customHeight="1">
      <c r="D946" s="20"/>
      <c r="G946" s="26"/>
      <c r="H946" s="20"/>
    </row>
    <row r="947" ht="15.75" customHeight="1">
      <c r="D947" s="20"/>
      <c r="G947" s="26"/>
      <c r="H947" s="20"/>
    </row>
    <row r="948" ht="15.75" customHeight="1">
      <c r="D948" s="20"/>
      <c r="G948" s="26"/>
      <c r="H948" s="20"/>
    </row>
    <row r="949" ht="15.75" customHeight="1">
      <c r="D949" s="20"/>
      <c r="G949" s="26"/>
      <c r="H949" s="20"/>
    </row>
    <row r="950" ht="15.75" customHeight="1">
      <c r="D950" s="20"/>
      <c r="G950" s="26"/>
      <c r="H950" s="20"/>
    </row>
    <row r="951" ht="15.75" customHeight="1">
      <c r="D951" s="20"/>
      <c r="G951" s="26"/>
      <c r="H951" s="20"/>
    </row>
    <row r="952" ht="15.75" customHeight="1">
      <c r="D952" s="20"/>
      <c r="G952" s="26"/>
      <c r="H952" s="20"/>
    </row>
    <row r="953" ht="15.75" customHeight="1">
      <c r="D953" s="20"/>
      <c r="G953" s="26"/>
      <c r="H953" s="20"/>
    </row>
    <row r="954" ht="15.75" customHeight="1">
      <c r="D954" s="20"/>
      <c r="G954" s="26"/>
      <c r="H954" s="20"/>
    </row>
    <row r="955" ht="15.75" customHeight="1">
      <c r="D955" s="20"/>
      <c r="G955" s="26"/>
      <c r="H955" s="20"/>
    </row>
    <row r="956" ht="15.75" customHeight="1">
      <c r="D956" s="20"/>
      <c r="G956" s="26"/>
      <c r="H956" s="20"/>
    </row>
    <row r="957" ht="15.75" customHeight="1">
      <c r="D957" s="20"/>
      <c r="G957" s="26"/>
      <c r="H957" s="20"/>
    </row>
    <row r="958" ht="15.75" customHeight="1">
      <c r="D958" s="20"/>
      <c r="G958" s="26"/>
      <c r="H958" s="20"/>
    </row>
    <row r="959" ht="15.75" customHeight="1">
      <c r="D959" s="20"/>
      <c r="G959" s="26"/>
      <c r="H959" s="20"/>
    </row>
    <row r="960" ht="15.75" customHeight="1">
      <c r="D960" s="20"/>
      <c r="G960" s="26"/>
      <c r="H960" s="20"/>
    </row>
    <row r="961" ht="15.75" customHeight="1">
      <c r="D961" s="20"/>
      <c r="G961" s="26"/>
      <c r="H961" s="20"/>
    </row>
    <row r="962" ht="15.75" customHeight="1">
      <c r="D962" s="20"/>
      <c r="G962" s="26"/>
      <c r="H962" s="20"/>
    </row>
    <row r="963" ht="15.75" customHeight="1">
      <c r="D963" s="20"/>
      <c r="G963" s="26"/>
      <c r="H963" s="20"/>
    </row>
    <row r="964" ht="15.75" customHeight="1">
      <c r="D964" s="20"/>
      <c r="G964" s="26"/>
      <c r="H964" s="20"/>
    </row>
    <row r="965" ht="15.75" customHeight="1">
      <c r="D965" s="20"/>
      <c r="G965" s="26"/>
      <c r="H965" s="20"/>
    </row>
    <row r="966" ht="15.75" customHeight="1">
      <c r="D966" s="20"/>
      <c r="G966" s="26"/>
      <c r="H966" s="20"/>
    </row>
    <row r="967" ht="15.75" customHeight="1">
      <c r="D967" s="20"/>
      <c r="G967" s="26"/>
      <c r="H967" s="20"/>
    </row>
    <row r="968" ht="15.75" customHeight="1">
      <c r="D968" s="20"/>
      <c r="G968" s="26"/>
      <c r="H968" s="20"/>
    </row>
    <row r="969" ht="15.75" customHeight="1">
      <c r="D969" s="20"/>
      <c r="G969" s="26"/>
      <c r="H969" s="20"/>
    </row>
    <row r="970" ht="15.75" customHeight="1">
      <c r="D970" s="20"/>
      <c r="G970" s="26"/>
      <c r="H970" s="20"/>
    </row>
    <row r="971" ht="15.75" customHeight="1">
      <c r="D971" s="20"/>
      <c r="G971" s="26"/>
      <c r="H971" s="20"/>
    </row>
    <row r="972" ht="15.75" customHeight="1">
      <c r="D972" s="20"/>
      <c r="G972" s="26"/>
      <c r="H972" s="20"/>
    </row>
    <row r="973" ht="15.75" customHeight="1">
      <c r="D973" s="20"/>
      <c r="G973" s="26"/>
      <c r="H973" s="20"/>
    </row>
    <row r="974" ht="15.75" customHeight="1">
      <c r="D974" s="20"/>
      <c r="G974" s="26"/>
      <c r="H974" s="20"/>
    </row>
    <row r="975" ht="15.75" customHeight="1">
      <c r="D975" s="20"/>
      <c r="G975" s="26"/>
      <c r="H975" s="20"/>
    </row>
    <row r="976" ht="15.75" customHeight="1">
      <c r="D976" s="20"/>
      <c r="G976" s="26"/>
      <c r="H976" s="20"/>
    </row>
    <row r="977" ht="15.75" customHeight="1">
      <c r="D977" s="20"/>
      <c r="G977" s="26"/>
      <c r="H977" s="20"/>
    </row>
    <row r="978" ht="15.75" customHeight="1">
      <c r="D978" s="20"/>
      <c r="G978" s="26"/>
      <c r="H978" s="20"/>
    </row>
    <row r="979" ht="15.75" customHeight="1">
      <c r="D979" s="20"/>
      <c r="G979" s="26"/>
      <c r="H979" s="20"/>
    </row>
    <row r="980" ht="15.75" customHeight="1">
      <c r="D980" s="20"/>
      <c r="G980" s="26"/>
      <c r="H980" s="20"/>
    </row>
    <row r="981" ht="15.75" customHeight="1">
      <c r="D981" s="20"/>
      <c r="G981" s="26"/>
      <c r="H981" s="20"/>
    </row>
    <row r="982" ht="15.75" customHeight="1">
      <c r="D982" s="20"/>
      <c r="G982" s="26"/>
      <c r="H982" s="20"/>
    </row>
    <row r="983" ht="15.75" customHeight="1">
      <c r="D983" s="20"/>
      <c r="G983" s="26"/>
      <c r="H983" s="20"/>
    </row>
    <row r="984" ht="15.75" customHeight="1">
      <c r="D984" s="20"/>
      <c r="G984" s="26"/>
      <c r="H984" s="20"/>
    </row>
    <row r="985" ht="15.75" customHeight="1">
      <c r="D985" s="20"/>
      <c r="G985" s="26"/>
      <c r="H985" s="20"/>
    </row>
    <row r="986" ht="15.75" customHeight="1">
      <c r="D986" s="20"/>
      <c r="G986" s="26"/>
      <c r="H986" s="20"/>
    </row>
    <row r="987" ht="15.75" customHeight="1">
      <c r="D987" s="20"/>
      <c r="G987" s="26"/>
      <c r="H987" s="20"/>
    </row>
    <row r="988" ht="15.75" customHeight="1">
      <c r="D988" s="20"/>
      <c r="G988" s="26"/>
      <c r="H988" s="20"/>
    </row>
    <row r="989" ht="15.75" customHeight="1">
      <c r="D989" s="20"/>
      <c r="G989" s="26"/>
      <c r="H989" s="20"/>
    </row>
    <row r="990" ht="15.75" customHeight="1">
      <c r="D990" s="20"/>
      <c r="G990" s="26"/>
      <c r="H990" s="20"/>
    </row>
    <row r="991" ht="15.75" customHeight="1">
      <c r="D991" s="20"/>
      <c r="G991" s="26"/>
      <c r="H991" s="20"/>
    </row>
    <row r="992" ht="15.75" customHeight="1">
      <c r="D992" s="20"/>
      <c r="G992" s="26"/>
      <c r="H992" s="20"/>
    </row>
    <row r="993" ht="15.75" customHeight="1">
      <c r="D993" s="20"/>
      <c r="G993" s="26"/>
      <c r="H993" s="20"/>
    </row>
    <row r="994" ht="15.75" customHeight="1">
      <c r="D994" s="20"/>
      <c r="G994" s="26"/>
      <c r="H994" s="20"/>
    </row>
    <row r="995" ht="15.75" customHeight="1">
      <c r="D995" s="20"/>
      <c r="G995" s="26"/>
      <c r="H995" s="20"/>
    </row>
    <row r="996" ht="15.75" customHeight="1">
      <c r="D996" s="20"/>
      <c r="G996" s="26"/>
      <c r="H996" s="20"/>
    </row>
    <row r="997" ht="15.75" customHeight="1">
      <c r="D997" s="20"/>
      <c r="G997" s="26"/>
      <c r="H997" s="20"/>
    </row>
    <row r="998" ht="15.75" customHeight="1">
      <c r="D998" s="20"/>
      <c r="G998" s="26"/>
      <c r="H998" s="20"/>
    </row>
    <row r="999" ht="15.75" customHeight="1">
      <c r="D999" s="20"/>
      <c r="G999" s="26"/>
      <c r="H999" s="20"/>
    </row>
    <row r="1000" ht="15.75" customHeight="1">
      <c r="D1000" s="20"/>
      <c r="G1000" s="26"/>
      <c r="H1000" s="20"/>
    </row>
  </sheetData>
  <mergeCells count="1">
    <mergeCell ref="A1:H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8" width="16.38"/>
    <col customWidth="1" min="9" max="26" width="8.63"/>
  </cols>
  <sheetData>
    <row r="1" ht="27.75" customHeight="1">
      <c r="A1" s="52" t="s">
        <v>304</v>
      </c>
    </row>
    <row r="2">
      <c r="A2" s="53" t="s">
        <v>47</v>
      </c>
      <c r="B2" s="54">
        <f>IFERROR(SUM(E5:E1000)/SUM(F5:F1000),0)</f>
        <v>0.5757575758</v>
      </c>
      <c r="C2" s="16"/>
      <c r="D2" s="55" t="s">
        <v>48</v>
      </c>
      <c r="E2" s="56">
        <f>Settings!B3</f>
        <v>46266</v>
      </c>
      <c r="F2" s="16"/>
      <c r="G2" s="57"/>
      <c r="H2" s="56"/>
    </row>
    <row r="3">
      <c r="A3" s="16"/>
      <c r="B3" s="16"/>
      <c r="C3" s="16"/>
      <c r="D3" s="56"/>
      <c r="E3" s="16"/>
      <c r="F3" s="16"/>
      <c r="G3" s="57"/>
      <c r="H3" s="56"/>
    </row>
    <row r="4">
      <c r="A4" s="58" t="s">
        <v>50</v>
      </c>
      <c r="B4" s="58" t="s">
        <v>51</v>
      </c>
      <c r="C4" s="58" t="s">
        <v>36</v>
      </c>
      <c r="D4" s="59" t="s">
        <v>52</v>
      </c>
      <c r="E4" s="58" t="s">
        <v>39</v>
      </c>
      <c r="F4" s="58" t="s">
        <v>53</v>
      </c>
      <c r="G4" s="60" t="s">
        <v>54</v>
      </c>
      <c r="H4" s="59" t="s">
        <v>55</v>
      </c>
    </row>
    <row r="5">
      <c r="A5" s="53" t="s">
        <v>305</v>
      </c>
      <c r="B5" s="53" t="s">
        <v>61</v>
      </c>
      <c r="C5" s="53" t="s">
        <v>45</v>
      </c>
      <c r="D5" s="55">
        <v>46268.33333333333</v>
      </c>
      <c r="E5" s="16">
        <f>IF($A5="","",SUMPRODUCT((AttendanceLog!$E$2:$E$5000=$A5)*(AttendanceLog!$C$2:$C$5000&gt;=MAX($D5,Settings!$B$3))*((AttendanceLog!$I$2:$I$5000="")+(IFERROR(SEARCH(","&amp;$C5&amp;",",","&amp;AttendanceLog!$I$2:$I$5000&amp;","),0)&gt;0))))</f>
        <v>0</v>
      </c>
      <c r="F5" s="16">
        <f>IF($A5="","",SUMPRODUCT((EventLog!$C$2:$C$5000&gt;=MAX($D5,Settings!$B$3))*(EventLog!$C$2:$C$5000&lt;=TODAY())*((EventLog!$F$2:$F$5000="")+(IFERROR(SEARCH(","&amp;$C5&amp;",",","&amp;EventLog!$F$2:$F$5000&amp;","),0)&gt;0))))</f>
        <v>3</v>
      </c>
      <c r="G5" s="57">
        <f t="shared" ref="G5:G37" si="1">IFERROR(E5/F5,0)</f>
        <v>0</v>
      </c>
      <c r="H5" s="56" t="str">
        <f>IFERROR(__xludf.DUMMYFUNCTION("IFERROR(MAX(FILTER(AttendanceLog!$C:$C,AttendanceLog!$E:$E=$A5,(AttendanceLog!$I:$I="""")+(IFERROR(SEARCH("",""&amp;$C5&amp;"","","",""&amp;AttendanceLog!$I:$I&amp;"",""),0)&gt;0))),"""")"),"")</f>
        <v/>
      </c>
    </row>
    <row r="6">
      <c r="A6" s="53" t="s">
        <v>306</v>
      </c>
      <c r="B6" s="53" t="s">
        <v>61</v>
      </c>
      <c r="C6" s="53" t="s">
        <v>45</v>
      </c>
      <c r="D6" s="55">
        <v>45900.33333333333</v>
      </c>
      <c r="E6" s="16">
        <f>IF($A6="","",SUMPRODUCT((AttendanceLog!$E$2:$E$5000=$A6)*(AttendanceLog!$C$2:$C$5000&gt;=MAX($D6,Settings!$B$3))*((AttendanceLog!$I$2:$I$5000="")+(IFERROR(SEARCH(","&amp;$C6&amp;",",","&amp;AttendanceLog!$I$2:$I$5000&amp;","),0)&gt;0))))</f>
        <v>0</v>
      </c>
      <c r="F6" s="16">
        <f>IF($A6="","",SUMPRODUCT((EventLog!$C$2:$C$5000&gt;=MAX($D6,Settings!$B$3))*(EventLog!$C$2:$C$5000&lt;=TODAY())*((EventLog!$F$2:$F$5000="")+(IFERROR(SEARCH(","&amp;$C6&amp;",",","&amp;EventLog!$F$2:$F$5000&amp;","),0)&gt;0))))</f>
        <v>3</v>
      </c>
      <c r="G6" s="57">
        <f t="shared" si="1"/>
        <v>0</v>
      </c>
      <c r="H6" s="56" t="str">
        <f>IFERROR(__xludf.DUMMYFUNCTION("IFERROR(MAX(FILTER(AttendanceLog!$C:$C,AttendanceLog!$E:$E=$A6,(AttendanceLog!$I:$I="""")+(IFERROR(SEARCH("",""&amp;$C6&amp;"","","",""&amp;AttendanceLog!$I:$I&amp;"",""),0)&gt;0))),"""")"),"")</f>
        <v/>
      </c>
    </row>
    <row r="7">
      <c r="A7" s="53" t="s">
        <v>103</v>
      </c>
      <c r="B7" s="53" t="s">
        <v>61</v>
      </c>
      <c r="C7" s="53" t="s">
        <v>45</v>
      </c>
      <c r="D7" s="55">
        <v>45900.33333333333</v>
      </c>
      <c r="E7" s="16">
        <f>IF($A7="","",SUMPRODUCT((AttendanceLog!$E$2:$E$5000=$A7)*(AttendanceLog!$C$2:$C$5000&gt;=MAX($D7,Settings!$B$3))*((AttendanceLog!$I$2:$I$5000="")+(IFERROR(SEARCH(","&amp;$C7&amp;",",","&amp;AttendanceLog!$I$2:$I$5000&amp;","),0)&gt;0))))</f>
        <v>0</v>
      </c>
      <c r="F7" s="16">
        <f>IF($A7="","",SUMPRODUCT((EventLog!$C$2:$C$5000&gt;=MAX($D7,Settings!$B$3))*(EventLog!$C$2:$C$5000&lt;=TODAY())*((EventLog!$F$2:$F$5000="")+(IFERROR(SEARCH(","&amp;$C7&amp;",",","&amp;EventLog!$F$2:$F$5000&amp;","),0)&gt;0))))</f>
        <v>3</v>
      </c>
      <c r="G7" s="57">
        <f t="shared" si="1"/>
        <v>0</v>
      </c>
      <c r="H7" s="56" t="str">
        <f>IFERROR(__xludf.DUMMYFUNCTION("IFERROR(MAX(FILTER(AttendanceLog!$C:$C,AttendanceLog!$E:$E=$A7,(AttendanceLog!$I:$I="""")+(IFERROR(SEARCH("",""&amp;$C7&amp;"","","",""&amp;AttendanceLog!$I:$I&amp;"",""),0)&gt;0))),"""")"),"")</f>
        <v/>
      </c>
    </row>
    <row r="8">
      <c r="A8" s="53" t="s">
        <v>307</v>
      </c>
      <c r="B8" s="53" t="s">
        <v>61</v>
      </c>
      <c r="C8" s="53" t="s">
        <v>45</v>
      </c>
      <c r="D8" s="55">
        <v>46268.33333333333</v>
      </c>
      <c r="E8" s="16">
        <f>IF($A8="","",SUMPRODUCT((AttendanceLog!$E$2:$E$5000=$A8)*(AttendanceLog!$C$2:$C$5000&gt;=MAX($D8,Settings!$B$3))*((AttendanceLog!$I$2:$I$5000="")+(IFERROR(SEARCH(","&amp;$C8&amp;",",","&amp;AttendanceLog!$I$2:$I$5000&amp;","),0)&gt;0))))</f>
        <v>1</v>
      </c>
      <c r="F8" s="16">
        <f>IF($A8="","",SUMPRODUCT((EventLog!$C$2:$C$5000&gt;=MAX($D8,Settings!$B$3))*(EventLog!$C$2:$C$5000&lt;=TODAY())*((EventLog!$F$2:$F$5000="")+(IFERROR(SEARCH(","&amp;$C8&amp;",",","&amp;EventLog!$F$2:$F$5000&amp;","),0)&gt;0))))</f>
        <v>3</v>
      </c>
      <c r="G8" s="57">
        <f t="shared" si="1"/>
        <v>0.3333333333</v>
      </c>
      <c r="H8" s="56">
        <f>IFERROR(__xludf.DUMMYFUNCTION("IFERROR(MAX(FILTER(AttendanceLog!$C:$C,AttendanceLog!$E:$E=$A8,(AttendanceLog!$I:$I="""")+(IFERROR(SEARCH("",""&amp;$C8&amp;"","","",""&amp;AttendanceLog!$I:$I&amp;"",""),0)&gt;0))),"""")"),46303.33333333333)</f>
        <v>46303.33333</v>
      </c>
    </row>
    <row r="9">
      <c r="A9" s="53" t="s">
        <v>308</v>
      </c>
      <c r="B9" s="53" t="s">
        <v>61</v>
      </c>
      <c r="C9" s="53" t="s">
        <v>45</v>
      </c>
      <c r="D9" s="55">
        <v>46268.33333333333</v>
      </c>
      <c r="E9" s="16">
        <f>IF($A9="","",SUMPRODUCT((AttendanceLog!$E$2:$E$5000=$A9)*(AttendanceLog!$C$2:$C$5000&gt;=MAX($D9,Settings!$B$3))*((AttendanceLog!$I$2:$I$5000="")+(IFERROR(SEARCH(","&amp;$C9&amp;",",","&amp;AttendanceLog!$I$2:$I$5000&amp;","),0)&gt;0))))</f>
        <v>0</v>
      </c>
      <c r="F9" s="16">
        <f>IF($A9="","",SUMPRODUCT((EventLog!$C$2:$C$5000&gt;=MAX($D9,Settings!$B$3))*(EventLog!$C$2:$C$5000&lt;=TODAY())*((EventLog!$F$2:$F$5000="")+(IFERROR(SEARCH(","&amp;$C9&amp;",",","&amp;EventLog!$F$2:$F$5000&amp;","),0)&gt;0))))</f>
        <v>3</v>
      </c>
      <c r="G9" s="57">
        <f t="shared" si="1"/>
        <v>0</v>
      </c>
      <c r="H9" s="56" t="str">
        <f>IFERROR(__xludf.DUMMYFUNCTION("IFERROR(MAX(FILTER(AttendanceLog!$C:$C,AttendanceLog!$E:$E=$A9,(AttendanceLog!$I:$I="""")+(IFERROR(SEARCH("",""&amp;$C9&amp;"","","",""&amp;AttendanceLog!$I:$I&amp;"",""),0)&gt;0))),"""")"),"")</f>
        <v/>
      </c>
    </row>
    <row r="10">
      <c r="A10" s="53" t="s">
        <v>309</v>
      </c>
      <c r="B10" s="53" t="s">
        <v>61</v>
      </c>
      <c r="C10" s="53" t="s">
        <v>45</v>
      </c>
      <c r="D10" s="55">
        <v>46268.33333333333</v>
      </c>
      <c r="E10" s="16">
        <f>IF($A10="","",SUMPRODUCT((AttendanceLog!$E$2:$E$5000=$A10)*(AttendanceLog!$C$2:$C$5000&gt;=MAX($D10,Settings!$B$3))*((AttendanceLog!$I$2:$I$5000="")+(IFERROR(SEARCH(","&amp;$C10&amp;",",","&amp;AttendanceLog!$I$2:$I$5000&amp;","),0)&gt;0))))</f>
        <v>1</v>
      </c>
      <c r="F10" s="16">
        <f>IF($A10="","",SUMPRODUCT((EventLog!$C$2:$C$5000&gt;=MAX($D10,Settings!$B$3))*(EventLog!$C$2:$C$5000&lt;=TODAY())*((EventLog!$F$2:$F$5000="")+(IFERROR(SEARCH(","&amp;$C10&amp;",",","&amp;EventLog!$F$2:$F$5000&amp;","),0)&gt;0))))</f>
        <v>3</v>
      </c>
      <c r="G10" s="57">
        <f t="shared" si="1"/>
        <v>0.3333333333</v>
      </c>
      <c r="H10" s="56">
        <f>IFERROR(__xludf.DUMMYFUNCTION("IFERROR(MAX(FILTER(AttendanceLog!$C:$C,AttendanceLog!$E:$E=$A10,(AttendanceLog!$I:$I="""")+(IFERROR(SEARCH("",""&amp;$C10&amp;"","","",""&amp;AttendanceLog!$I:$I&amp;"",""),0)&gt;0))),"""")"),46283.6875)</f>
        <v>46283.6875</v>
      </c>
    </row>
    <row r="11">
      <c r="A11" s="53" t="s">
        <v>310</v>
      </c>
      <c r="B11" s="53" t="s">
        <v>61</v>
      </c>
      <c r="C11" s="53" t="s">
        <v>45</v>
      </c>
      <c r="D11" s="55">
        <v>46268.33333333333</v>
      </c>
      <c r="E11" s="16">
        <f>IF($A11="","",SUMPRODUCT((AttendanceLog!$E$2:$E$5000=$A11)*(AttendanceLog!$C$2:$C$5000&gt;=MAX($D11,Settings!$B$3))*((AttendanceLog!$I$2:$I$5000="")+(IFERROR(SEARCH(","&amp;$C11&amp;",",","&amp;AttendanceLog!$I$2:$I$5000&amp;","),0)&gt;0))))</f>
        <v>3</v>
      </c>
      <c r="F11" s="16">
        <f>IF($A11="","",SUMPRODUCT((EventLog!$C$2:$C$5000&gt;=MAX($D11,Settings!$B$3))*(EventLog!$C$2:$C$5000&lt;=TODAY())*((EventLog!$F$2:$F$5000="")+(IFERROR(SEARCH(","&amp;$C11&amp;",",","&amp;EventLog!$F$2:$F$5000&amp;","),0)&gt;0))))</f>
        <v>3</v>
      </c>
      <c r="G11" s="57">
        <f t="shared" si="1"/>
        <v>1</v>
      </c>
      <c r="H11" s="56">
        <f>IFERROR(__xludf.DUMMYFUNCTION("IFERROR(MAX(FILTER(AttendanceLog!$C:$C,AttendanceLog!$E:$E=$A11,(AttendanceLog!$I:$I="""")+(IFERROR(SEARCH("",""&amp;$C11&amp;"","","",""&amp;AttendanceLog!$I:$I&amp;"",""),0)&gt;0))),"""")"),46305.33333333333)</f>
        <v>46305.33333</v>
      </c>
    </row>
    <row r="12">
      <c r="A12" s="53" t="s">
        <v>311</v>
      </c>
      <c r="B12" s="53" t="s">
        <v>61</v>
      </c>
      <c r="C12" s="53" t="s">
        <v>45</v>
      </c>
      <c r="D12" s="55">
        <v>46268.33333333333</v>
      </c>
      <c r="E12" s="16">
        <f>IF($A12="","",SUMPRODUCT((AttendanceLog!$E$2:$E$5000=$A12)*(AttendanceLog!$C$2:$C$5000&gt;=MAX($D12,Settings!$B$3))*((AttendanceLog!$I$2:$I$5000="")+(IFERROR(SEARCH(","&amp;$C12&amp;",",","&amp;AttendanceLog!$I$2:$I$5000&amp;","),0)&gt;0))))</f>
        <v>3</v>
      </c>
      <c r="F12" s="16">
        <f>IF($A12="","",SUMPRODUCT((EventLog!$C$2:$C$5000&gt;=MAX($D12,Settings!$B$3))*(EventLog!$C$2:$C$5000&lt;=TODAY())*((EventLog!$F$2:$F$5000="")+(IFERROR(SEARCH(","&amp;$C12&amp;",",","&amp;EventLog!$F$2:$F$5000&amp;","),0)&gt;0))))</f>
        <v>3</v>
      </c>
      <c r="G12" s="57">
        <f t="shared" si="1"/>
        <v>1</v>
      </c>
      <c r="H12" s="56">
        <f>IFERROR(__xludf.DUMMYFUNCTION("IFERROR(MAX(FILTER(AttendanceLog!$C:$C,AttendanceLog!$E:$E=$A12,(AttendanceLog!$I:$I="""")+(IFERROR(SEARCH("",""&amp;$C12&amp;"","","",""&amp;AttendanceLog!$I:$I&amp;"",""),0)&gt;0))),"""")"),46305.33333333333)</f>
        <v>46305.33333</v>
      </c>
    </row>
    <row r="13">
      <c r="A13" s="53" t="s">
        <v>312</v>
      </c>
      <c r="B13" s="53" t="s">
        <v>61</v>
      </c>
      <c r="C13" s="53" t="s">
        <v>45</v>
      </c>
      <c r="D13" s="55">
        <v>46268.33333333333</v>
      </c>
      <c r="E13" s="16">
        <f>IF($A13="","",SUMPRODUCT((AttendanceLog!$E$2:$E$5000=$A13)*(AttendanceLog!$C$2:$C$5000&gt;=MAX($D13,Settings!$B$3))*((AttendanceLog!$I$2:$I$5000="")+(IFERROR(SEARCH(","&amp;$C13&amp;",",","&amp;AttendanceLog!$I$2:$I$5000&amp;","),0)&gt;0))))</f>
        <v>3</v>
      </c>
      <c r="F13" s="16">
        <f>IF($A13="","",SUMPRODUCT((EventLog!$C$2:$C$5000&gt;=MAX($D13,Settings!$B$3))*(EventLog!$C$2:$C$5000&lt;=TODAY())*((EventLog!$F$2:$F$5000="")+(IFERROR(SEARCH(","&amp;$C13&amp;",",","&amp;EventLog!$F$2:$F$5000&amp;","),0)&gt;0))))</f>
        <v>3</v>
      </c>
      <c r="G13" s="57">
        <f t="shared" si="1"/>
        <v>1</v>
      </c>
      <c r="H13" s="56">
        <f>IFERROR(__xludf.DUMMYFUNCTION("IFERROR(MAX(FILTER(AttendanceLog!$C:$C,AttendanceLog!$E:$E=$A13,(AttendanceLog!$I:$I="""")+(IFERROR(SEARCH("",""&amp;$C13&amp;"","","",""&amp;AttendanceLog!$I:$I&amp;"",""),0)&gt;0))),"""")"),46305.33333333333)</f>
        <v>46305.33333</v>
      </c>
    </row>
    <row r="14">
      <c r="A14" s="53" t="s">
        <v>313</v>
      </c>
      <c r="B14" s="53" t="s">
        <v>61</v>
      </c>
      <c r="C14" s="53" t="s">
        <v>45</v>
      </c>
      <c r="D14" s="55">
        <v>46268.33333333333</v>
      </c>
      <c r="E14" s="16">
        <f>IF($A14="","",SUMPRODUCT((AttendanceLog!$E$2:$E$5000=$A14)*(AttendanceLog!$C$2:$C$5000&gt;=MAX($D14,Settings!$B$3))*((AttendanceLog!$I$2:$I$5000="")+(IFERROR(SEARCH(","&amp;$C14&amp;",",","&amp;AttendanceLog!$I$2:$I$5000&amp;","),0)&gt;0))))</f>
        <v>1</v>
      </c>
      <c r="F14" s="16">
        <f>IF($A14="","",SUMPRODUCT((EventLog!$C$2:$C$5000&gt;=MAX($D14,Settings!$B$3))*(EventLog!$C$2:$C$5000&lt;=TODAY())*((EventLog!$F$2:$F$5000="")+(IFERROR(SEARCH(","&amp;$C14&amp;",",","&amp;EventLog!$F$2:$F$5000&amp;","),0)&gt;0))))</f>
        <v>3</v>
      </c>
      <c r="G14" s="57">
        <f t="shared" si="1"/>
        <v>0.3333333333</v>
      </c>
      <c r="H14" s="56">
        <f>IFERROR(__xludf.DUMMYFUNCTION("IFERROR(MAX(FILTER(AttendanceLog!$C:$C,AttendanceLog!$E:$E=$A14,(AttendanceLog!$I:$I="""")+(IFERROR(SEARCH("",""&amp;$C14&amp;"","","",""&amp;AttendanceLog!$I:$I&amp;"",""),0)&gt;0))),"""")"),46283.6875)</f>
        <v>46283.6875</v>
      </c>
    </row>
    <row r="15">
      <c r="A15" s="53" t="s">
        <v>314</v>
      </c>
      <c r="B15" s="53" t="s">
        <v>61</v>
      </c>
      <c r="C15" s="53" t="s">
        <v>45</v>
      </c>
      <c r="D15" s="55">
        <v>46268.33333333333</v>
      </c>
      <c r="E15" s="16">
        <f>IF($A15="","",SUMPRODUCT((AttendanceLog!$E$2:$E$5000=$A15)*(AttendanceLog!$C$2:$C$5000&gt;=MAX($D15,Settings!$B$3))*((AttendanceLog!$I$2:$I$5000="")+(IFERROR(SEARCH(","&amp;$C15&amp;",",","&amp;AttendanceLog!$I$2:$I$5000&amp;","),0)&gt;0))))</f>
        <v>3</v>
      </c>
      <c r="F15" s="16">
        <f>IF($A15="","",SUMPRODUCT((EventLog!$C$2:$C$5000&gt;=MAX($D15,Settings!$B$3))*(EventLog!$C$2:$C$5000&lt;=TODAY())*((EventLog!$F$2:$F$5000="")+(IFERROR(SEARCH(","&amp;$C15&amp;",",","&amp;EventLog!$F$2:$F$5000&amp;","),0)&gt;0))))</f>
        <v>3</v>
      </c>
      <c r="G15" s="57">
        <f t="shared" si="1"/>
        <v>1</v>
      </c>
      <c r="H15" s="56">
        <f>IFERROR(__xludf.DUMMYFUNCTION("IFERROR(MAX(FILTER(AttendanceLog!$C:$C,AttendanceLog!$E:$E=$A15,(AttendanceLog!$I:$I="""")+(IFERROR(SEARCH("",""&amp;$C15&amp;"","","",""&amp;AttendanceLog!$I:$I&amp;"",""),0)&gt;0))),"""")"),46305.33333333333)</f>
        <v>46305.33333</v>
      </c>
    </row>
    <row r="16">
      <c r="A16" s="53" t="s">
        <v>315</v>
      </c>
      <c r="B16" s="53" t="s">
        <v>61</v>
      </c>
      <c r="C16" s="53" t="s">
        <v>45</v>
      </c>
      <c r="D16" s="55">
        <v>46268.33333333333</v>
      </c>
      <c r="E16" s="16">
        <f>IF($A16="","",SUMPRODUCT((AttendanceLog!$E$2:$E$5000=$A16)*(AttendanceLog!$C$2:$C$5000&gt;=MAX($D16,Settings!$B$3))*((AttendanceLog!$I$2:$I$5000="")+(IFERROR(SEARCH(","&amp;$C16&amp;",",","&amp;AttendanceLog!$I$2:$I$5000&amp;","),0)&gt;0))))</f>
        <v>3</v>
      </c>
      <c r="F16" s="16">
        <f>IF($A16="","",SUMPRODUCT((EventLog!$C$2:$C$5000&gt;=MAX($D16,Settings!$B$3))*(EventLog!$C$2:$C$5000&lt;=TODAY())*((EventLog!$F$2:$F$5000="")+(IFERROR(SEARCH(","&amp;$C16&amp;",",","&amp;EventLog!$F$2:$F$5000&amp;","),0)&gt;0))))</f>
        <v>3</v>
      </c>
      <c r="G16" s="57">
        <f t="shared" si="1"/>
        <v>1</v>
      </c>
      <c r="H16" s="56">
        <f>IFERROR(__xludf.DUMMYFUNCTION("IFERROR(MAX(FILTER(AttendanceLog!$C:$C,AttendanceLog!$E:$E=$A16,(AttendanceLog!$I:$I="""")+(IFERROR(SEARCH("",""&amp;$C16&amp;"","","",""&amp;AttendanceLog!$I:$I&amp;"",""),0)&gt;0))),"""")"),46305.33333333333)</f>
        <v>46305.33333</v>
      </c>
    </row>
    <row r="17">
      <c r="A17" s="53" t="s">
        <v>316</v>
      </c>
      <c r="B17" s="53" t="s">
        <v>61</v>
      </c>
      <c r="C17" s="53" t="s">
        <v>45</v>
      </c>
      <c r="D17" s="55">
        <v>46268.33333333333</v>
      </c>
      <c r="E17" s="16">
        <f>IF($A17="","",SUMPRODUCT((AttendanceLog!$E$2:$E$5000=$A17)*(AttendanceLog!$C$2:$C$5000&gt;=MAX($D17,Settings!$B$3))*((AttendanceLog!$I$2:$I$5000="")+(IFERROR(SEARCH(","&amp;$C17&amp;",",","&amp;AttendanceLog!$I$2:$I$5000&amp;","),0)&gt;0))))</f>
        <v>1</v>
      </c>
      <c r="F17" s="16">
        <f>IF($A17="","",SUMPRODUCT((EventLog!$C$2:$C$5000&gt;=MAX($D17,Settings!$B$3))*(EventLog!$C$2:$C$5000&lt;=TODAY())*((EventLog!$F$2:$F$5000="")+(IFERROR(SEARCH(","&amp;$C17&amp;",",","&amp;EventLog!$F$2:$F$5000&amp;","),0)&gt;0))))</f>
        <v>3</v>
      </c>
      <c r="G17" s="57">
        <f t="shared" si="1"/>
        <v>0.3333333333</v>
      </c>
      <c r="H17" s="56">
        <f>IFERROR(__xludf.DUMMYFUNCTION("IFERROR(MAX(FILTER(AttendanceLog!$C:$C,AttendanceLog!$E:$E=$A17,(AttendanceLog!$I:$I="""")+(IFERROR(SEARCH("",""&amp;$C17&amp;"","","",""&amp;AttendanceLog!$I:$I&amp;"",""),0)&gt;0))),"""")"),46283.6875)</f>
        <v>46283.6875</v>
      </c>
    </row>
    <row r="18">
      <c r="A18" s="53" t="s">
        <v>317</v>
      </c>
      <c r="B18" s="53" t="s">
        <v>61</v>
      </c>
      <c r="C18" s="53" t="s">
        <v>45</v>
      </c>
      <c r="D18" s="55">
        <v>46268.33333333333</v>
      </c>
      <c r="E18" s="16">
        <f>IF($A18="","",SUMPRODUCT((AttendanceLog!$E$2:$E$5000=$A18)*(AttendanceLog!$C$2:$C$5000&gt;=MAX($D18,Settings!$B$3))*((AttendanceLog!$I$2:$I$5000="")+(IFERROR(SEARCH(","&amp;$C18&amp;",",","&amp;AttendanceLog!$I$2:$I$5000&amp;","),0)&gt;0))))</f>
        <v>2</v>
      </c>
      <c r="F18" s="16">
        <f>IF($A18="","",SUMPRODUCT((EventLog!$C$2:$C$5000&gt;=MAX($D18,Settings!$B$3))*(EventLog!$C$2:$C$5000&lt;=TODAY())*((EventLog!$F$2:$F$5000="")+(IFERROR(SEARCH(","&amp;$C18&amp;",",","&amp;EventLog!$F$2:$F$5000&amp;","),0)&gt;0))))</f>
        <v>3</v>
      </c>
      <c r="G18" s="57">
        <f t="shared" si="1"/>
        <v>0.6666666667</v>
      </c>
      <c r="H18" s="56">
        <f>IFERROR(__xludf.DUMMYFUNCTION("IFERROR(MAX(FILTER(AttendanceLog!$C:$C,AttendanceLog!$E:$E=$A18,(AttendanceLog!$I:$I="""")+(IFERROR(SEARCH("",""&amp;$C18&amp;"","","",""&amp;AttendanceLog!$I:$I&amp;"",""),0)&gt;0))),"""")"),46303.33333333333)</f>
        <v>46303.33333</v>
      </c>
    </row>
    <row r="19">
      <c r="A19" s="53" t="s">
        <v>318</v>
      </c>
      <c r="B19" s="53" t="s">
        <v>61</v>
      </c>
      <c r="C19" s="53" t="s">
        <v>45</v>
      </c>
      <c r="D19" s="55">
        <v>46268.33333333333</v>
      </c>
      <c r="E19" s="16">
        <f>IF($A19="","",SUMPRODUCT((AttendanceLog!$E$2:$E$5000=$A19)*(AttendanceLog!$C$2:$C$5000&gt;=MAX($D19,Settings!$B$3))*((AttendanceLog!$I$2:$I$5000="")+(IFERROR(SEARCH(","&amp;$C19&amp;",",","&amp;AttendanceLog!$I$2:$I$5000&amp;","),0)&gt;0))))</f>
        <v>1</v>
      </c>
      <c r="F19" s="16">
        <f>IF($A19="","",SUMPRODUCT((EventLog!$C$2:$C$5000&gt;=MAX($D19,Settings!$B$3))*(EventLog!$C$2:$C$5000&lt;=TODAY())*((EventLog!$F$2:$F$5000="")+(IFERROR(SEARCH(","&amp;$C19&amp;",",","&amp;EventLog!$F$2:$F$5000&amp;","),0)&gt;0))))</f>
        <v>3</v>
      </c>
      <c r="G19" s="57">
        <f t="shared" si="1"/>
        <v>0.3333333333</v>
      </c>
      <c r="H19" s="56">
        <f>IFERROR(__xludf.DUMMYFUNCTION("IFERROR(MAX(FILTER(AttendanceLog!$C:$C,AttendanceLog!$E:$E=$A19,(AttendanceLog!$I:$I="""")+(IFERROR(SEARCH("",""&amp;$C19&amp;"","","",""&amp;AttendanceLog!$I:$I&amp;"",""),0)&gt;0))),"""")"),46303.33333333333)</f>
        <v>46303.33333</v>
      </c>
    </row>
    <row r="20">
      <c r="A20" s="53" t="s">
        <v>319</v>
      </c>
      <c r="B20" s="53" t="s">
        <v>61</v>
      </c>
      <c r="C20" s="53" t="s">
        <v>45</v>
      </c>
      <c r="D20" s="55">
        <v>46268.33333333333</v>
      </c>
      <c r="E20" s="16">
        <f>IF($A20="","",SUMPRODUCT((AttendanceLog!$E$2:$E$5000=$A20)*(AttendanceLog!$C$2:$C$5000&gt;=MAX($D20,Settings!$B$3))*((AttendanceLog!$I$2:$I$5000="")+(IFERROR(SEARCH(","&amp;$C20&amp;",",","&amp;AttendanceLog!$I$2:$I$5000&amp;","),0)&gt;0))))</f>
        <v>0</v>
      </c>
      <c r="F20" s="16">
        <f>IF($A20="","",SUMPRODUCT((EventLog!$C$2:$C$5000&gt;=MAX($D20,Settings!$B$3))*(EventLog!$C$2:$C$5000&lt;=TODAY())*((EventLog!$F$2:$F$5000="")+(IFERROR(SEARCH(","&amp;$C20&amp;",",","&amp;EventLog!$F$2:$F$5000&amp;","),0)&gt;0))))</f>
        <v>3</v>
      </c>
      <c r="G20" s="57">
        <f t="shared" si="1"/>
        <v>0</v>
      </c>
      <c r="H20" s="56" t="str">
        <f>IFERROR(__xludf.DUMMYFUNCTION("IFERROR(MAX(FILTER(AttendanceLog!$C:$C,AttendanceLog!$E:$E=$A20,(AttendanceLog!$I:$I="""")+(IFERROR(SEARCH("",""&amp;$C20&amp;"","","",""&amp;AttendanceLog!$I:$I&amp;"",""),0)&gt;0))),"""")"),"")</f>
        <v/>
      </c>
    </row>
    <row r="21" ht="15.75" customHeight="1">
      <c r="A21" s="53" t="s">
        <v>320</v>
      </c>
      <c r="B21" s="53" t="s">
        <v>61</v>
      </c>
      <c r="C21" s="53" t="s">
        <v>45</v>
      </c>
      <c r="D21" s="55">
        <v>46268.33333333333</v>
      </c>
      <c r="E21" s="16">
        <f>IF($A21="","",SUMPRODUCT((AttendanceLog!$E$2:$E$5000=$A21)*(AttendanceLog!$C$2:$C$5000&gt;=MAX($D21,Settings!$B$3))*((AttendanceLog!$I$2:$I$5000="")+(IFERROR(SEARCH(","&amp;$C21&amp;",",","&amp;AttendanceLog!$I$2:$I$5000&amp;","),0)&gt;0))))</f>
        <v>2</v>
      </c>
      <c r="F21" s="16">
        <f>IF($A21="","",SUMPRODUCT((EventLog!$C$2:$C$5000&gt;=MAX($D21,Settings!$B$3))*(EventLog!$C$2:$C$5000&lt;=TODAY())*((EventLog!$F$2:$F$5000="")+(IFERROR(SEARCH(","&amp;$C21&amp;",",","&amp;EventLog!$F$2:$F$5000&amp;","),0)&gt;0))))</f>
        <v>3</v>
      </c>
      <c r="G21" s="57">
        <f t="shared" si="1"/>
        <v>0.6666666667</v>
      </c>
      <c r="H21" s="56">
        <f>IFERROR(__xludf.DUMMYFUNCTION("IFERROR(MAX(FILTER(AttendanceLog!$C:$C,AttendanceLog!$E:$E=$A21,(AttendanceLog!$I:$I="""")+(IFERROR(SEARCH("",""&amp;$C21&amp;"","","",""&amp;AttendanceLog!$I:$I&amp;"",""),0)&gt;0))),"""")"),46303.33333333333)</f>
        <v>46303.33333</v>
      </c>
    </row>
    <row r="22" ht="15.75" customHeight="1">
      <c r="A22" s="53" t="s">
        <v>321</v>
      </c>
      <c r="B22" s="53" t="s">
        <v>61</v>
      </c>
      <c r="C22" s="53" t="s">
        <v>45</v>
      </c>
      <c r="D22" s="55">
        <v>46268.33333333333</v>
      </c>
      <c r="E22" s="16">
        <f>IF($A22="","",SUMPRODUCT((AttendanceLog!$E$2:$E$5000=$A22)*(AttendanceLog!$C$2:$C$5000&gt;=MAX($D22,Settings!$B$3))*((AttendanceLog!$I$2:$I$5000="")+(IFERROR(SEARCH(","&amp;$C22&amp;",",","&amp;AttendanceLog!$I$2:$I$5000&amp;","),0)&gt;0))))</f>
        <v>3</v>
      </c>
      <c r="F22" s="16">
        <f>IF($A22="","",SUMPRODUCT((EventLog!$C$2:$C$5000&gt;=MAX($D22,Settings!$B$3))*(EventLog!$C$2:$C$5000&lt;=TODAY())*((EventLog!$F$2:$F$5000="")+(IFERROR(SEARCH(","&amp;$C22&amp;",",","&amp;EventLog!$F$2:$F$5000&amp;","),0)&gt;0))))</f>
        <v>3</v>
      </c>
      <c r="G22" s="57">
        <f t="shared" si="1"/>
        <v>1</v>
      </c>
      <c r="H22" s="56">
        <f>IFERROR(__xludf.DUMMYFUNCTION("IFERROR(MAX(FILTER(AttendanceLog!$C:$C,AttendanceLog!$E:$E=$A22,(AttendanceLog!$I:$I="""")+(IFERROR(SEARCH("",""&amp;$C22&amp;"","","",""&amp;AttendanceLog!$I:$I&amp;"",""),0)&gt;0))),"""")"),46305.33333333333)</f>
        <v>46305.33333</v>
      </c>
    </row>
    <row r="23" ht="15.75" customHeight="1">
      <c r="A23" s="53" t="s">
        <v>322</v>
      </c>
      <c r="B23" s="53" t="s">
        <v>61</v>
      </c>
      <c r="C23" s="53" t="s">
        <v>45</v>
      </c>
      <c r="D23" s="55">
        <v>46268.33333333333</v>
      </c>
      <c r="E23" s="16">
        <f>IF($A23="","",SUMPRODUCT((AttendanceLog!$E$2:$E$5000=$A23)*(AttendanceLog!$C$2:$C$5000&gt;=MAX($D23,Settings!$B$3))*((AttendanceLog!$I$2:$I$5000="")+(IFERROR(SEARCH(","&amp;$C23&amp;",",","&amp;AttendanceLog!$I$2:$I$5000&amp;","),0)&gt;0))))</f>
        <v>2</v>
      </c>
      <c r="F23" s="16">
        <f>IF($A23="","",SUMPRODUCT((EventLog!$C$2:$C$5000&gt;=MAX($D23,Settings!$B$3))*(EventLog!$C$2:$C$5000&lt;=TODAY())*((EventLog!$F$2:$F$5000="")+(IFERROR(SEARCH(","&amp;$C23&amp;",",","&amp;EventLog!$F$2:$F$5000&amp;","),0)&gt;0))))</f>
        <v>3</v>
      </c>
      <c r="G23" s="57">
        <f t="shared" si="1"/>
        <v>0.6666666667</v>
      </c>
      <c r="H23" s="56">
        <f>IFERROR(__xludf.DUMMYFUNCTION("IFERROR(MAX(FILTER(AttendanceLog!$C:$C,AttendanceLog!$E:$E=$A23,(AttendanceLog!$I:$I="""")+(IFERROR(SEARCH("",""&amp;$C23&amp;"","","",""&amp;AttendanceLog!$I:$I&amp;"",""),0)&gt;0))),"""")"),46303.33333333333)</f>
        <v>46303.33333</v>
      </c>
    </row>
    <row r="24" ht="15.75" customHeight="1">
      <c r="A24" s="53" t="s">
        <v>323</v>
      </c>
      <c r="B24" s="53" t="s">
        <v>61</v>
      </c>
      <c r="C24" s="53" t="s">
        <v>45</v>
      </c>
      <c r="D24" s="55">
        <v>46268.33333333333</v>
      </c>
      <c r="E24" s="16">
        <f>IF($A24="","",SUMPRODUCT((AttendanceLog!$E$2:$E$5000=$A24)*(AttendanceLog!$C$2:$C$5000&gt;=MAX($D24,Settings!$B$3))*((AttendanceLog!$I$2:$I$5000="")+(IFERROR(SEARCH(","&amp;$C24&amp;",",","&amp;AttendanceLog!$I$2:$I$5000&amp;","),0)&gt;0))))</f>
        <v>2</v>
      </c>
      <c r="F24" s="16">
        <f>IF($A24="","",SUMPRODUCT((EventLog!$C$2:$C$5000&gt;=MAX($D24,Settings!$B$3))*(EventLog!$C$2:$C$5000&lt;=TODAY())*((EventLog!$F$2:$F$5000="")+(IFERROR(SEARCH(","&amp;$C24&amp;",",","&amp;EventLog!$F$2:$F$5000&amp;","),0)&gt;0))))</f>
        <v>3</v>
      </c>
      <c r="G24" s="57">
        <f t="shared" si="1"/>
        <v>0.6666666667</v>
      </c>
      <c r="H24" s="56">
        <f>IFERROR(__xludf.DUMMYFUNCTION("IFERROR(MAX(FILTER(AttendanceLog!$C:$C,AttendanceLog!$E:$E=$A24,(AttendanceLog!$I:$I="""")+(IFERROR(SEARCH("",""&amp;$C24&amp;"","","",""&amp;AttendanceLog!$I:$I&amp;"",""),0)&gt;0))),"""")"),46303.33333333333)</f>
        <v>46303.33333</v>
      </c>
    </row>
    <row r="25" ht="15.75" customHeight="1">
      <c r="A25" s="53" t="s">
        <v>324</v>
      </c>
      <c r="B25" s="53" t="s">
        <v>61</v>
      </c>
      <c r="C25" s="53" t="s">
        <v>45</v>
      </c>
      <c r="D25" s="55">
        <v>46268.33333333333</v>
      </c>
      <c r="E25" s="16">
        <f>IF($A25="","",SUMPRODUCT((AttendanceLog!$E$2:$E$5000=$A25)*(AttendanceLog!$C$2:$C$5000&gt;=MAX($D25,Settings!$B$3))*((AttendanceLog!$I$2:$I$5000="")+(IFERROR(SEARCH(","&amp;$C25&amp;",",","&amp;AttendanceLog!$I$2:$I$5000&amp;","),0)&gt;0))))</f>
        <v>1</v>
      </c>
      <c r="F25" s="16">
        <f>IF($A25="","",SUMPRODUCT((EventLog!$C$2:$C$5000&gt;=MAX($D25,Settings!$B$3))*(EventLog!$C$2:$C$5000&lt;=TODAY())*((EventLog!$F$2:$F$5000="")+(IFERROR(SEARCH(","&amp;$C25&amp;",",","&amp;EventLog!$F$2:$F$5000&amp;","),0)&gt;0))))</f>
        <v>3</v>
      </c>
      <c r="G25" s="57">
        <f t="shared" si="1"/>
        <v>0.3333333333</v>
      </c>
      <c r="H25" s="56">
        <f>IFERROR(__xludf.DUMMYFUNCTION("IFERROR(MAX(FILTER(AttendanceLog!$C:$C,AttendanceLog!$E:$E=$A25,(AttendanceLog!$I:$I="""")+(IFERROR(SEARCH("",""&amp;$C25&amp;"","","",""&amp;AttendanceLog!$I:$I&amp;"",""),0)&gt;0))),"""")"),46303.33333333333)</f>
        <v>46303.33333</v>
      </c>
    </row>
    <row r="26" ht="15.75" customHeight="1">
      <c r="A26" s="53" t="s">
        <v>325</v>
      </c>
      <c r="B26" s="53" t="s">
        <v>61</v>
      </c>
      <c r="C26" s="53" t="s">
        <v>45</v>
      </c>
      <c r="D26" s="55">
        <v>46268.33333333333</v>
      </c>
      <c r="E26" s="16">
        <f>IF($A26="","",SUMPRODUCT((AttendanceLog!$E$2:$E$5000=$A26)*(AttendanceLog!$C$2:$C$5000&gt;=MAX($D26,Settings!$B$3))*((AttendanceLog!$I$2:$I$5000="")+(IFERROR(SEARCH(","&amp;$C26&amp;",",","&amp;AttendanceLog!$I$2:$I$5000&amp;","),0)&gt;0))))</f>
        <v>2</v>
      </c>
      <c r="F26" s="16">
        <f>IF($A26="","",SUMPRODUCT((EventLog!$C$2:$C$5000&gt;=MAX($D26,Settings!$B$3))*(EventLog!$C$2:$C$5000&lt;=TODAY())*((EventLog!$F$2:$F$5000="")+(IFERROR(SEARCH(","&amp;$C26&amp;",",","&amp;EventLog!$F$2:$F$5000&amp;","),0)&gt;0))))</f>
        <v>3</v>
      </c>
      <c r="G26" s="57">
        <f t="shared" si="1"/>
        <v>0.6666666667</v>
      </c>
      <c r="H26" s="56">
        <f>IFERROR(__xludf.DUMMYFUNCTION("IFERROR(MAX(FILTER(AttendanceLog!$C:$C,AttendanceLog!$E:$E=$A26,(AttendanceLog!$I:$I="""")+(IFERROR(SEARCH("",""&amp;$C26&amp;"","","",""&amp;AttendanceLog!$I:$I&amp;"",""),0)&gt;0))),"""")"),46303.33333333333)</f>
        <v>46303.33333</v>
      </c>
    </row>
    <row r="27" ht="15.75" customHeight="1">
      <c r="A27" s="53" t="s">
        <v>326</v>
      </c>
      <c r="B27" s="53" t="s">
        <v>61</v>
      </c>
      <c r="C27" s="53" t="s">
        <v>45</v>
      </c>
      <c r="D27" s="55">
        <v>46268.33333333333</v>
      </c>
      <c r="E27" s="16">
        <f>IF($A27="","",SUMPRODUCT((AttendanceLog!$E$2:$E$5000=$A27)*(AttendanceLog!$C$2:$C$5000&gt;=MAX($D27,Settings!$B$3))*((AttendanceLog!$I$2:$I$5000="")+(IFERROR(SEARCH(","&amp;$C27&amp;",",","&amp;AttendanceLog!$I$2:$I$5000&amp;","),0)&gt;0))))</f>
        <v>1</v>
      </c>
      <c r="F27" s="16">
        <f>IF($A27="","",SUMPRODUCT((EventLog!$C$2:$C$5000&gt;=MAX($D27,Settings!$B$3))*(EventLog!$C$2:$C$5000&lt;=TODAY())*((EventLog!$F$2:$F$5000="")+(IFERROR(SEARCH(","&amp;$C27&amp;",",","&amp;EventLog!$F$2:$F$5000&amp;","),0)&gt;0))))</f>
        <v>3</v>
      </c>
      <c r="G27" s="57">
        <f t="shared" si="1"/>
        <v>0.3333333333</v>
      </c>
      <c r="H27" s="56">
        <f>IFERROR(__xludf.DUMMYFUNCTION("IFERROR(MAX(FILTER(AttendanceLog!$C:$C,AttendanceLog!$E:$E=$A27,(AttendanceLog!$I:$I="""")+(IFERROR(SEARCH("",""&amp;$C27&amp;"","","",""&amp;AttendanceLog!$I:$I&amp;"",""),0)&gt;0))),"""")"),46303.33333333333)</f>
        <v>46303.33333</v>
      </c>
    </row>
    <row r="28" ht="15.75" customHeight="1">
      <c r="A28" s="53" t="s">
        <v>327</v>
      </c>
      <c r="B28" s="53" t="s">
        <v>61</v>
      </c>
      <c r="C28" s="53" t="s">
        <v>45</v>
      </c>
      <c r="D28" s="55">
        <v>46268.33333333333</v>
      </c>
      <c r="E28" s="16">
        <f>IF($A28="","",SUMPRODUCT((AttendanceLog!$E$2:$E$5000=$A28)*(AttendanceLog!$C$2:$C$5000&gt;=MAX($D28,Settings!$B$3))*((AttendanceLog!$I$2:$I$5000="")+(IFERROR(SEARCH(","&amp;$C28&amp;",",","&amp;AttendanceLog!$I$2:$I$5000&amp;","),0)&gt;0))))</f>
        <v>3</v>
      </c>
      <c r="F28" s="16">
        <f>IF($A28="","",SUMPRODUCT((EventLog!$C$2:$C$5000&gt;=MAX($D28,Settings!$B$3))*(EventLog!$C$2:$C$5000&lt;=TODAY())*((EventLog!$F$2:$F$5000="")+(IFERROR(SEARCH(","&amp;$C28&amp;",",","&amp;EventLog!$F$2:$F$5000&amp;","),0)&gt;0))))</f>
        <v>3</v>
      </c>
      <c r="G28" s="57">
        <f t="shared" si="1"/>
        <v>1</v>
      </c>
      <c r="H28" s="56">
        <f>IFERROR(__xludf.DUMMYFUNCTION("IFERROR(MAX(FILTER(AttendanceLog!$C:$C,AttendanceLog!$E:$E=$A28,(AttendanceLog!$I:$I="""")+(IFERROR(SEARCH("",""&amp;$C28&amp;"","","",""&amp;AttendanceLog!$I:$I&amp;"",""),0)&gt;0))),"""")"),46305.33333333333)</f>
        <v>46305.33333</v>
      </c>
    </row>
    <row r="29" ht="15.75" customHeight="1">
      <c r="A29" s="53" t="s">
        <v>328</v>
      </c>
      <c r="B29" s="53" t="s">
        <v>61</v>
      </c>
      <c r="C29" s="53" t="s">
        <v>45</v>
      </c>
      <c r="D29" s="55">
        <v>46268.33333333333</v>
      </c>
      <c r="E29" s="16">
        <f>IF($A29="","",SUMPRODUCT((AttendanceLog!$E$2:$E$5000=$A29)*(AttendanceLog!$C$2:$C$5000&gt;=MAX($D29,Settings!$B$3))*((AttendanceLog!$I$2:$I$5000="")+(IFERROR(SEARCH(","&amp;$C29&amp;",",","&amp;AttendanceLog!$I$2:$I$5000&amp;","),0)&gt;0))))</f>
        <v>3</v>
      </c>
      <c r="F29" s="16">
        <f>IF($A29="","",SUMPRODUCT((EventLog!$C$2:$C$5000&gt;=MAX($D29,Settings!$B$3))*(EventLog!$C$2:$C$5000&lt;=TODAY())*((EventLog!$F$2:$F$5000="")+(IFERROR(SEARCH(","&amp;$C29&amp;",",","&amp;EventLog!$F$2:$F$5000&amp;","),0)&gt;0))))</f>
        <v>3</v>
      </c>
      <c r="G29" s="57">
        <f t="shared" si="1"/>
        <v>1</v>
      </c>
      <c r="H29" s="56">
        <f>IFERROR(__xludf.DUMMYFUNCTION("IFERROR(MAX(FILTER(AttendanceLog!$C:$C,AttendanceLog!$E:$E=$A29,(AttendanceLog!$I:$I="""")+(IFERROR(SEARCH("",""&amp;$C29&amp;"","","",""&amp;AttendanceLog!$I:$I&amp;"",""),0)&gt;0))),"""")"),46305.33333333333)</f>
        <v>46305.33333</v>
      </c>
    </row>
    <row r="30" ht="15.75" customHeight="1">
      <c r="A30" s="53" t="s">
        <v>329</v>
      </c>
      <c r="B30" s="53" t="s">
        <v>61</v>
      </c>
      <c r="C30" s="53" t="s">
        <v>45</v>
      </c>
      <c r="D30" s="55">
        <v>46268.33333333333</v>
      </c>
      <c r="E30" s="16">
        <f>IF($A30="","",SUMPRODUCT((AttendanceLog!$E$2:$E$5000=$A30)*(AttendanceLog!$C$2:$C$5000&gt;=MAX($D30,Settings!$B$3))*((AttendanceLog!$I$2:$I$5000="")+(IFERROR(SEARCH(","&amp;$C30&amp;",",","&amp;AttendanceLog!$I$2:$I$5000&amp;","),0)&gt;0))))</f>
        <v>1</v>
      </c>
      <c r="F30" s="16">
        <f>IF($A30="","",SUMPRODUCT((EventLog!$C$2:$C$5000&gt;=MAX($D30,Settings!$B$3))*(EventLog!$C$2:$C$5000&lt;=TODAY())*((EventLog!$F$2:$F$5000="")+(IFERROR(SEARCH(","&amp;$C30&amp;",",","&amp;EventLog!$F$2:$F$5000&amp;","),0)&gt;0))))</f>
        <v>3</v>
      </c>
      <c r="G30" s="57">
        <f t="shared" si="1"/>
        <v>0.3333333333</v>
      </c>
      <c r="H30" s="56">
        <f>IFERROR(__xludf.DUMMYFUNCTION("IFERROR(MAX(FILTER(AttendanceLog!$C:$C,AttendanceLog!$E:$E=$A30,(AttendanceLog!$I:$I="""")+(IFERROR(SEARCH("",""&amp;$C30&amp;"","","",""&amp;AttendanceLog!$I:$I&amp;"",""),0)&gt;0))),"""")"),46303.33333333333)</f>
        <v>46303.33333</v>
      </c>
    </row>
    <row r="31" ht="15.75" customHeight="1">
      <c r="A31" s="53" t="s">
        <v>330</v>
      </c>
      <c r="B31" s="53" t="s">
        <v>61</v>
      </c>
      <c r="C31" s="53" t="s">
        <v>45</v>
      </c>
      <c r="D31" s="55">
        <v>46268.33333333333</v>
      </c>
      <c r="E31" s="16">
        <f>IF($A31="","",SUMPRODUCT((AttendanceLog!$E$2:$E$5000=$A31)*(AttendanceLog!$C$2:$C$5000&gt;=MAX($D31,Settings!$B$3))*((AttendanceLog!$I$2:$I$5000="")+(IFERROR(SEARCH(","&amp;$C31&amp;",",","&amp;AttendanceLog!$I$2:$I$5000&amp;","),0)&gt;0))))</f>
        <v>3</v>
      </c>
      <c r="F31" s="16">
        <f>IF($A31="","",SUMPRODUCT((EventLog!$C$2:$C$5000&gt;=MAX($D31,Settings!$B$3))*(EventLog!$C$2:$C$5000&lt;=TODAY())*((EventLog!$F$2:$F$5000="")+(IFERROR(SEARCH(","&amp;$C31&amp;",",","&amp;EventLog!$F$2:$F$5000&amp;","),0)&gt;0))))</f>
        <v>3</v>
      </c>
      <c r="G31" s="57">
        <f t="shared" si="1"/>
        <v>1</v>
      </c>
      <c r="H31" s="56">
        <f>IFERROR(__xludf.DUMMYFUNCTION("IFERROR(MAX(FILTER(AttendanceLog!$C:$C,AttendanceLog!$E:$E=$A31,(AttendanceLog!$I:$I="""")+(IFERROR(SEARCH("",""&amp;$C31&amp;"","","",""&amp;AttendanceLog!$I:$I&amp;"",""),0)&gt;0))),"""")"),46305.33333333333)</f>
        <v>46305.33333</v>
      </c>
    </row>
    <row r="32" ht="15.75" customHeight="1">
      <c r="A32" s="53" t="s">
        <v>331</v>
      </c>
      <c r="B32" s="53" t="s">
        <v>61</v>
      </c>
      <c r="C32" s="53" t="s">
        <v>45</v>
      </c>
      <c r="D32" s="55">
        <v>46268.33333333333</v>
      </c>
      <c r="E32" s="16">
        <f>IF($A32="","",SUMPRODUCT((AttendanceLog!$E$2:$E$5000=$A32)*(AttendanceLog!$C$2:$C$5000&gt;=MAX($D32,Settings!$B$3))*((AttendanceLog!$I$2:$I$5000="")+(IFERROR(SEARCH(","&amp;$C32&amp;",",","&amp;AttendanceLog!$I$2:$I$5000&amp;","),0)&gt;0))))</f>
        <v>3</v>
      </c>
      <c r="F32" s="16">
        <f>IF($A32="","",SUMPRODUCT((EventLog!$C$2:$C$5000&gt;=MAX($D32,Settings!$B$3))*(EventLog!$C$2:$C$5000&lt;=TODAY())*((EventLog!$F$2:$F$5000="")+(IFERROR(SEARCH(","&amp;$C32&amp;",",","&amp;EventLog!$F$2:$F$5000&amp;","),0)&gt;0))))</f>
        <v>3</v>
      </c>
      <c r="G32" s="57">
        <f t="shared" si="1"/>
        <v>1</v>
      </c>
      <c r="H32" s="56">
        <f>IFERROR(__xludf.DUMMYFUNCTION("IFERROR(MAX(FILTER(AttendanceLog!$C:$C,AttendanceLog!$E:$E=$A32,(AttendanceLog!$I:$I="""")+(IFERROR(SEARCH("",""&amp;$C32&amp;"","","",""&amp;AttendanceLog!$I:$I&amp;"",""),0)&gt;0))),"""")"),46305.33333333333)</f>
        <v>46305.33333</v>
      </c>
    </row>
    <row r="33" ht="15.75" customHeight="1">
      <c r="A33" s="53" t="s">
        <v>332</v>
      </c>
      <c r="B33" s="53" t="s">
        <v>61</v>
      </c>
      <c r="C33" s="53" t="s">
        <v>45</v>
      </c>
      <c r="D33" s="55">
        <v>46268.33333333333</v>
      </c>
      <c r="E33" s="16">
        <f>IF($A33="","",SUMPRODUCT((AttendanceLog!$E$2:$E$5000=$A33)*(AttendanceLog!$C$2:$C$5000&gt;=MAX($D33,Settings!$B$3))*((AttendanceLog!$I$2:$I$5000="")+(IFERROR(SEARCH(","&amp;$C33&amp;",",","&amp;AttendanceLog!$I$2:$I$5000&amp;","),0)&gt;0))))</f>
        <v>2</v>
      </c>
      <c r="F33" s="16">
        <f>IF($A33="","",SUMPRODUCT((EventLog!$C$2:$C$5000&gt;=MAX($D33,Settings!$B$3))*(EventLog!$C$2:$C$5000&lt;=TODAY())*((EventLog!$F$2:$F$5000="")+(IFERROR(SEARCH(","&amp;$C33&amp;",",","&amp;EventLog!$F$2:$F$5000&amp;","),0)&gt;0))))</f>
        <v>3</v>
      </c>
      <c r="G33" s="57">
        <f t="shared" si="1"/>
        <v>0.6666666667</v>
      </c>
      <c r="H33" s="56">
        <f>IFERROR(__xludf.DUMMYFUNCTION("IFERROR(MAX(FILTER(AttendanceLog!$C:$C,AttendanceLog!$E:$E=$A33,(AttendanceLog!$I:$I="""")+(IFERROR(SEARCH("",""&amp;$C33&amp;"","","",""&amp;AttendanceLog!$I:$I&amp;"",""),0)&gt;0))),"""")"),46303.33333333333)</f>
        <v>46303.33333</v>
      </c>
    </row>
    <row r="34" ht="15.75" customHeight="1">
      <c r="A34" s="53" t="s">
        <v>333</v>
      </c>
      <c r="B34" s="53" t="s">
        <v>61</v>
      </c>
      <c r="C34" s="53" t="s">
        <v>45</v>
      </c>
      <c r="D34" s="55">
        <v>46268.33333333333</v>
      </c>
      <c r="E34" s="16">
        <f>IF($A34="","",SUMPRODUCT((AttendanceLog!$E$2:$E$5000=$A34)*(AttendanceLog!$C$2:$C$5000&gt;=MAX($D34,Settings!$B$3))*((AttendanceLog!$I$2:$I$5000="")+(IFERROR(SEARCH(","&amp;$C34&amp;",",","&amp;AttendanceLog!$I$2:$I$5000&amp;","),0)&gt;0))))</f>
        <v>1</v>
      </c>
      <c r="F34" s="16">
        <f>IF($A34="","",SUMPRODUCT((EventLog!$C$2:$C$5000&gt;=MAX($D34,Settings!$B$3))*(EventLog!$C$2:$C$5000&lt;=TODAY())*((EventLog!$F$2:$F$5000="")+(IFERROR(SEARCH(","&amp;$C34&amp;",",","&amp;EventLog!$F$2:$F$5000&amp;","),0)&gt;0))))</f>
        <v>3</v>
      </c>
      <c r="G34" s="57">
        <f t="shared" si="1"/>
        <v>0.3333333333</v>
      </c>
      <c r="H34" s="56">
        <f>IFERROR(__xludf.DUMMYFUNCTION("IFERROR(MAX(FILTER(AttendanceLog!$C:$C,AttendanceLog!$E:$E=$A34,(AttendanceLog!$I:$I="""")+(IFERROR(SEARCH("",""&amp;$C34&amp;"","","",""&amp;AttendanceLog!$I:$I&amp;"",""),0)&gt;0))),"""")"),46303.33333333333)</f>
        <v>46303.33333</v>
      </c>
    </row>
    <row r="35" ht="15.75" customHeight="1">
      <c r="A35" s="53" t="s">
        <v>334</v>
      </c>
      <c r="B35" s="53" t="s">
        <v>61</v>
      </c>
      <c r="C35" s="53" t="s">
        <v>45</v>
      </c>
      <c r="D35" s="55">
        <v>46268.33333333333</v>
      </c>
      <c r="E35" s="16">
        <f>IF($A35="","",SUMPRODUCT((AttendanceLog!$E$2:$E$5000=$A35)*(AttendanceLog!$C$2:$C$5000&gt;=MAX($D35,Settings!$B$3))*((AttendanceLog!$I$2:$I$5000="")+(IFERROR(SEARCH(","&amp;$C35&amp;",",","&amp;AttendanceLog!$I$2:$I$5000&amp;","),0)&gt;0))))</f>
        <v>2</v>
      </c>
      <c r="F35" s="16">
        <f>IF($A35="","",SUMPRODUCT((EventLog!$C$2:$C$5000&gt;=MAX($D35,Settings!$B$3))*(EventLog!$C$2:$C$5000&lt;=TODAY())*((EventLog!$F$2:$F$5000="")+(IFERROR(SEARCH(","&amp;$C35&amp;",",","&amp;EventLog!$F$2:$F$5000&amp;","),0)&gt;0))))</f>
        <v>3</v>
      </c>
      <c r="G35" s="57">
        <f t="shared" si="1"/>
        <v>0.6666666667</v>
      </c>
      <c r="H35" s="56">
        <f>IFERROR(__xludf.DUMMYFUNCTION("IFERROR(MAX(FILTER(AttendanceLog!$C:$C,AttendanceLog!$E:$E=$A35,(AttendanceLog!$I:$I="""")+(IFERROR(SEARCH("",""&amp;$C35&amp;"","","",""&amp;AttendanceLog!$I:$I&amp;"",""),0)&gt;0))),"""")"),46305.33333333333)</f>
        <v>46305.33333</v>
      </c>
    </row>
    <row r="36" ht="15.75" customHeight="1">
      <c r="A36" s="53" t="s">
        <v>335</v>
      </c>
      <c r="B36" s="53" t="s">
        <v>61</v>
      </c>
      <c r="C36" s="53" t="s">
        <v>45</v>
      </c>
      <c r="D36" s="55">
        <v>46268.33333333333</v>
      </c>
      <c r="E36" s="16">
        <f>IF($A36="","",SUMPRODUCT((AttendanceLog!$E$2:$E$5000=$A36)*(AttendanceLog!$C$2:$C$5000&gt;=MAX($D36,Settings!$B$3))*((AttendanceLog!$I$2:$I$5000="")+(IFERROR(SEARCH(","&amp;$C36&amp;",",","&amp;AttendanceLog!$I$2:$I$5000&amp;","),0)&gt;0))))</f>
        <v>3</v>
      </c>
      <c r="F36" s="16">
        <f>IF($A36="","",SUMPRODUCT((EventLog!$C$2:$C$5000&gt;=MAX($D36,Settings!$B$3))*(EventLog!$C$2:$C$5000&lt;=TODAY())*((EventLog!$F$2:$F$5000="")+(IFERROR(SEARCH(","&amp;$C36&amp;",",","&amp;EventLog!$F$2:$F$5000&amp;","),0)&gt;0))))</f>
        <v>3</v>
      </c>
      <c r="G36" s="57">
        <f t="shared" si="1"/>
        <v>1</v>
      </c>
      <c r="H36" s="56">
        <f>IFERROR(__xludf.DUMMYFUNCTION("IFERROR(MAX(FILTER(AttendanceLog!$C:$C,AttendanceLog!$E:$E=$A36,(AttendanceLog!$I:$I="""")+(IFERROR(SEARCH("",""&amp;$C36&amp;"","","",""&amp;AttendanceLog!$I:$I&amp;"",""),0)&gt;0))),"""")"),46305.33333333333)</f>
        <v>46305.33333</v>
      </c>
    </row>
    <row r="37" ht="15.75" customHeight="1">
      <c r="A37" s="53" t="s">
        <v>336</v>
      </c>
      <c r="B37" s="53" t="s">
        <v>61</v>
      </c>
      <c r="C37" s="53" t="s">
        <v>45</v>
      </c>
      <c r="D37" s="55">
        <v>46268.33333333333</v>
      </c>
      <c r="E37" s="16">
        <f>IF($A37="","",SUMPRODUCT((AttendanceLog!$E$2:$E$5000=$A37)*(AttendanceLog!$C$2:$C$5000&gt;=MAX($D37,Settings!$B$3))*((AttendanceLog!$I$2:$I$5000="")+(IFERROR(SEARCH(","&amp;$C37&amp;",",","&amp;AttendanceLog!$I$2:$I$5000&amp;","),0)&gt;0))))</f>
        <v>1</v>
      </c>
      <c r="F37" s="16">
        <f>IF($A37="","",SUMPRODUCT((EventLog!$C$2:$C$5000&gt;=MAX($D37,Settings!$B$3))*(EventLog!$C$2:$C$5000&lt;=TODAY())*((EventLog!$F$2:$F$5000="")+(IFERROR(SEARCH(","&amp;$C37&amp;",",","&amp;EventLog!$F$2:$F$5000&amp;","),0)&gt;0))))</f>
        <v>3</v>
      </c>
      <c r="G37" s="57">
        <f t="shared" si="1"/>
        <v>0.3333333333</v>
      </c>
      <c r="H37" s="56">
        <f>IFERROR(__xludf.DUMMYFUNCTION("IFERROR(MAX(FILTER(AttendanceLog!$C:$C,AttendanceLog!$E:$E=$A37,(AttendanceLog!$I:$I="""")+(IFERROR(SEARCH("",""&amp;$C37&amp;"","","",""&amp;AttendanceLog!$I:$I&amp;"",""),0)&gt;0))),"""")"),46303.33333333333)</f>
        <v>46303.33333</v>
      </c>
    </row>
    <row r="38" ht="15.75" customHeight="1">
      <c r="A38" s="16"/>
      <c r="B38" s="16"/>
      <c r="C38" s="16"/>
      <c r="D38" s="56"/>
      <c r="E38" s="16"/>
      <c r="F38" s="16"/>
      <c r="G38" s="57"/>
      <c r="H38" s="56"/>
    </row>
    <row r="39" ht="15.75" customHeight="1">
      <c r="A39" s="16"/>
      <c r="B39" s="16"/>
      <c r="C39" s="16"/>
      <c r="D39" s="56"/>
      <c r="E39" s="16"/>
      <c r="F39" s="16"/>
      <c r="G39" s="57"/>
      <c r="H39" s="56"/>
    </row>
    <row r="40" ht="15.75" customHeight="1">
      <c r="A40" s="16"/>
      <c r="B40" s="16"/>
      <c r="C40" s="16"/>
      <c r="D40" s="56"/>
      <c r="E40" s="16"/>
      <c r="F40" s="16"/>
      <c r="G40" s="57"/>
      <c r="H40" s="56"/>
    </row>
    <row r="41" ht="15.75" customHeight="1">
      <c r="A41" s="16"/>
      <c r="B41" s="16"/>
      <c r="C41" s="16"/>
      <c r="D41" s="56"/>
      <c r="E41" s="16"/>
      <c r="F41" s="16"/>
      <c r="G41" s="57"/>
      <c r="H41" s="56"/>
    </row>
    <row r="42" ht="15.75" customHeight="1">
      <c r="A42" s="16"/>
      <c r="B42" s="16"/>
      <c r="C42" s="16"/>
      <c r="D42" s="56"/>
      <c r="E42" s="16"/>
      <c r="F42" s="16"/>
      <c r="G42" s="57"/>
      <c r="H42" s="56"/>
    </row>
    <row r="43" ht="15.75" customHeight="1">
      <c r="A43" s="16"/>
      <c r="B43" s="16"/>
      <c r="C43" s="16"/>
      <c r="D43" s="56"/>
      <c r="E43" s="16"/>
      <c r="F43" s="16"/>
      <c r="G43" s="57"/>
      <c r="H43" s="56"/>
    </row>
    <row r="44" ht="15.75" customHeight="1">
      <c r="A44" s="16"/>
      <c r="B44" s="16"/>
      <c r="C44" s="16"/>
      <c r="D44" s="56"/>
      <c r="E44" s="16"/>
      <c r="F44" s="16"/>
      <c r="G44" s="57"/>
      <c r="H44" s="56"/>
    </row>
    <row r="45" ht="15.75" customHeight="1">
      <c r="A45" s="16"/>
      <c r="B45" s="16"/>
      <c r="C45" s="16"/>
      <c r="D45" s="56"/>
      <c r="E45" s="16"/>
      <c r="F45" s="16"/>
      <c r="G45" s="57"/>
      <c r="H45" s="56"/>
    </row>
    <row r="46" ht="15.75" customHeight="1">
      <c r="A46" s="16"/>
      <c r="B46" s="16"/>
      <c r="C46" s="16"/>
      <c r="D46" s="56"/>
      <c r="E46" s="16"/>
      <c r="F46" s="16"/>
      <c r="G46" s="57"/>
      <c r="H46" s="56"/>
    </row>
    <row r="47" ht="15.75" customHeight="1">
      <c r="A47" s="16"/>
      <c r="B47" s="16"/>
      <c r="C47" s="16"/>
      <c r="D47" s="56"/>
      <c r="E47" s="16"/>
      <c r="F47" s="16"/>
      <c r="G47" s="57"/>
      <c r="H47" s="56"/>
    </row>
    <row r="48" ht="15.75" customHeight="1">
      <c r="A48" s="16"/>
      <c r="B48" s="16"/>
      <c r="C48" s="16"/>
      <c r="D48" s="56"/>
      <c r="E48" s="16"/>
      <c r="F48" s="16"/>
      <c r="G48" s="57"/>
      <c r="H48" s="56"/>
    </row>
    <row r="49" ht="15.75" customHeight="1">
      <c r="A49" s="16"/>
      <c r="B49" s="16"/>
      <c r="C49" s="16"/>
      <c r="D49" s="56"/>
      <c r="E49" s="16"/>
      <c r="F49" s="16"/>
      <c r="G49" s="57"/>
      <c r="H49" s="56"/>
    </row>
    <row r="50" ht="15.75" customHeight="1">
      <c r="A50" s="16"/>
      <c r="B50" s="16"/>
      <c r="C50" s="16"/>
      <c r="D50" s="56"/>
      <c r="E50" s="16"/>
      <c r="F50" s="16"/>
      <c r="G50" s="57"/>
      <c r="H50" s="56"/>
    </row>
    <row r="51" ht="15.75" customHeight="1">
      <c r="A51" s="16"/>
      <c r="B51" s="16"/>
      <c r="C51" s="16"/>
      <c r="D51" s="56"/>
      <c r="E51" s="16"/>
      <c r="F51" s="16"/>
      <c r="G51" s="57"/>
      <c r="H51" s="56"/>
    </row>
    <row r="52" ht="15.75" customHeight="1">
      <c r="A52" s="16"/>
      <c r="B52" s="16"/>
      <c r="C52" s="16"/>
      <c r="D52" s="56"/>
      <c r="E52" s="16"/>
      <c r="F52" s="16"/>
      <c r="G52" s="57"/>
      <c r="H52" s="56"/>
    </row>
    <row r="53" ht="15.75" customHeight="1">
      <c r="A53" s="16"/>
      <c r="B53" s="16"/>
      <c r="C53" s="16"/>
      <c r="D53" s="56"/>
      <c r="E53" s="16"/>
      <c r="F53" s="16"/>
      <c r="G53" s="57"/>
      <c r="H53" s="56"/>
    </row>
    <row r="54" ht="15.75" customHeight="1">
      <c r="A54" s="16"/>
      <c r="B54" s="16"/>
      <c r="C54" s="16"/>
      <c r="D54" s="56"/>
      <c r="E54" s="16"/>
      <c r="F54" s="16"/>
      <c r="G54" s="57"/>
      <c r="H54" s="56"/>
    </row>
    <row r="55" ht="15.75" customHeight="1">
      <c r="A55" s="16"/>
      <c r="B55" s="16"/>
      <c r="C55" s="16"/>
      <c r="D55" s="56"/>
      <c r="E55" s="16"/>
      <c r="F55" s="16"/>
      <c r="G55" s="57"/>
      <c r="H55" s="56"/>
    </row>
    <row r="56" ht="15.75" customHeight="1">
      <c r="A56" s="16"/>
      <c r="B56" s="16"/>
      <c r="C56" s="16"/>
      <c r="D56" s="56"/>
      <c r="E56" s="16"/>
      <c r="F56" s="16"/>
      <c r="G56" s="57"/>
      <c r="H56" s="56"/>
    </row>
    <row r="57" ht="15.75" customHeight="1">
      <c r="A57" s="16"/>
      <c r="B57" s="16"/>
      <c r="C57" s="16"/>
      <c r="D57" s="56"/>
      <c r="E57" s="16"/>
      <c r="F57" s="16"/>
      <c r="G57" s="57"/>
      <c r="H57" s="56"/>
    </row>
    <row r="58" ht="15.75" customHeight="1">
      <c r="A58" s="16"/>
      <c r="B58" s="16"/>
      <c r="C58" s="16"/>
      <c r="D58" s="56"/>
      <c r="E58" s="16"/>
      <c r="F58" s="16"/>
      <c r="G58" s="57"/>
      <c r="H58" s="56"/>
    </row>
    <row r="59" ht="15.75" customHeight="1">
      <c r="A59" s="16"/>
      <c r="B59" s="16"/>
      <c r="C59" s="16"/>
      <c r="D59" s="56"/>
      <c r="E59" s="16"/>
      <c r="F59" s="16"/>
      <c r="G59" s="57"/>
      <c r="H59" s="56"/>
    </row>
    <row r="60" ht="15.75" customHeight="1">
      <c r="A60" s="16"/>
      <c r="B60" s="16"/>
      <c r="C60" s="16"/>
      <c r="D60" s="56"/>
      <c r="E60" s="16"/>
      <c r="F60" s="16"/>
      <c r="G60" s="57"/>
      <c r="H60" s="56"/>
    </row>
    <row r="61" ht="15.75" customHeight="1">
      <c r="A61" s="16"/>
      <c r="B61" s="16"/>
      <c r="C61" s="16"/>
      <c r="D61" s="56"/>
      <c r="E61" s="16"/>
      <c r="F61" s="16"/>
      <c r="G61" s="57"/>
      <c r="H61" s="56"/>
    </row>
    <row r="62" ht="15.75" customHeight="1">
      <c r="A62" s="16"/>
      <c r="B62" s="16"/>
      <c r="C62" s="16"/>
      <c r="D62" s="56"/>
      <c r="E62" s="16"/>
      <c r="F62" s="16"/>
      <c r="G62" s="57"/>
      <c r="H62" s="56"/>
    </row>
    <row r="63" ht="15.75" customHeight="1">
      <c r="A63" s="16"/>
      <c r="B63" s="16"/>
      <c r="C63" s="16"/>
      <c r="D63" s="56"/>
      <c r="E63" s="16"/>
      <c r="F63" s="16"/>
      <c r="G63" s="57"/>
      <c r="H63" s="56"/>
    </row>
    <row r="64" ht="15.75" customHeight="1">
      <c r="A64" s="16"/>
      <c r="B64" s="16"/>
      <c r="C64" s="16"/>
      <c r="D64" s="56"/>
      <c r="E64" s="16"/>
      <c r="F64" s="16"/>
      <c r="G64" s="57"/>
      <c r="H64" s="56"/>
    </row>
    <row r="65" ht="15.75" customHeight="1">
      <c r="A65" s="16"/>
      <c r="B65" s="16"/>
      <c r="C65" s="16"/>
      <c r="D65" s="56"/>
      <c r="E65" s="16"/>
      <c r="F65" s="16"/>
      <c r="G65" s="57"/>
      <c r="H65" s="56"/>
    </row>
    <row r="66" ht="15.75" customHeight="1">
      <c r="A66" s="16"/>
      <c r="B66" s="16"/>
      <c r="C66" s="16"/>
      <c r="D66" s="56"/>
      <c r="E66" s="16"/>
      <c r="F66" s="16"/>
      <c r="G66" s="57"/>
      <c r="H66" s="56"/>
    </row>
    <row r="67" ht="15.75" customHeight="1">
      <c r="A67" s="16"/>
      <c r="B67" s="16"/>
      <c r="C67" s="16"/>
      <c r="D67" s="56"/>
      <c r="E67" s="16"/>
      <c r="F67" s="16"/>
      <c r="G67" s="57"/>
      <c r="H67" s="56"/>
    </row>
    <row r="68" ht="15.75" customHeight="1">
      <c r="A68" s="16"/>
      <c r="B68" s="16"/>
      <c r="C68" s="16"/>
      <c r="D68" s="56"/>
      <c r="E68" s="16"/>
      <c r="F68" s="16"/>
      <c r="G68" s="57"/>
      <c r="H68" s="56"/>
    </row>
    <row r="69" ht="15.75" customHeight="1">
      <c r="A69" s="16"/>
      <c r="B69" s="16"/>
      <c r="C69" s="16"/>
      <c r="D69" s="56"/>
      <c r="E69" s="16"/>
      <c r="F69" s="16"/>
      <c r="G69" s="57"/>
      <c r="H69" s="56"/>
    </row>
    <row r="70" ht="15.75" customHeight="1">
      <c r="A70" s="16"/>
      <c r="B70" s="16"/>
      <c r="C70" s="16"/>
      <c r="D70" s="56"/>
      <c r="E70" s="16"/>
      <c r="F70" s="16"/>
      <c r="G70" s="57"/>
      <c r="H70" s="56"/>
    </row>
    <row r="71" ht="15.75" customHeight="1">
      <c r="A71" s="16"/>
      <c r="B71" s="16"/>
      <c r="C71" s="16"/>
      <c r="D71" s="56"/>
      <c r="E71" s="16"/>
      <c r="F71" s="16"/>
      <c r="G71" s="57"/>
      <c r="H71" s="56"/>
    </row>
    <row r="72" ht="15.75" customHeight="1">
      <c r="A72" s="16"/>
      <c r="B72" s="16"/>
      <c r="C72" s="16"/>
      <c r="D72" s="56"/>
      <c r="E72" s="16"/>
      <c r="F72" s="16"/>
      <c r="G72" s="57"/>
      <c r="H72" s="56"/>
    </row>
    <row r="73" ht="15.75" customHeight="1">
      <c r="A73" s="16"/>
      <c r="B73" s="16"/>
      <c r="C73" s="16"/>
      <c r="D73" s="56"/>
      <c r="E73" s="16"/>
      <c r="F73" s="16"/>
      <c r="G73" s="57"/>
      <c r="H73" s="56"/>
    </row>
    <row r="74" ht="15.75" customHeight="1">
      <c r="A74" s="16"/>
      <c r="B74" s="16"/>
      <c r="C74" s="16"/>
      <c r="D74" s="56"/>
      <c r="E74" s="16"/>
      <c r="F74" s="16"/>
      <c r="G74" s="57"/>
      <c r="H74" s="56"/>
    </row>
    <row r="75" ht="15.75" customHeight="1">
      <c r="A75" s="16"/>
      <c r="B75" s="16"/>
      <c r="C75" s="16"/>
      <c r="D75" s="56"/>
      <c r="E75" s="16"/>
      <c r="F75" s="16"/>
      <c r="G75" s="57"/>
      <c r="H75" s="56"/>
    </row>
    <row r="76" ht="15.75" customHeight="1">
      <c r="A76" s="16"/>
      <c r="B76" s="16"/>
      <c r="C76" s="16"/>
      <c r="D76" s="56"/>
      <c r="E76" s="16"/>
      <c r="F76" s="16"/>
      <c r="G76" s="57"/>
      <c r="H76" s="56"/>
    </row>
    <row r="77" ht="15.75" customHeight="1">
      <c r="A77" s="16"/>
      <c r="B77" s="16"/>
      <c r="C77" s="16"/>
      <c r="D77" s="56"/>
      <c r="E77" s="16"/>
      <c r="F77" s="16"/>
      <c r="G77" s="57"/>
      <c r="H77" s="56"/>
    </row>
    <row r="78" ht="15.75" customHeight="1">
      <c r="A78" s="16"/>
      <c r="B78" s="16"/>
      <c r="C78" s="16"/>
      <c r="D78" s="56"/>
      <c r="E78" s="16"/>
      <c r="F78" s="16"/>
      <c r="G78" s="57"/>
      <c r="H78" s="56"/>
    </row>
    <row r="79" ht="15.75" customHeight="1">
      <c r="A79" s="16"/>
      <c r="B79" s="16"/>
      <c r="C79" s="16"/>
      <c r="D79" s="56"/>
      <c r="E79" s="16"/>
      <c r="F79" s="16"/>
      <c r="G79" s="57"/>
      <c r="H79" s="56"/>
    </row>
    <row r="80" ht="15.75" customHeight="1">
      <c r="A80" s="16"/>
      <c r="B80" s="16"/>
      <c r="C80" s="16"/>
      <c r="D80" s="56"/>
      <c r="E80" s="16"/>
      <c r="F80" s="16"/>
      <c r="G80" s="57"/>
      <c r="H80" s="56"/>
    </row>
    <row r="81" ht="15.75" customHeight="1">
      <c r="A81" s="16"/>
      <c r="B81" s="16"/>
      <c r="C81" s="16"/>
      <c r="D81" s="56"/>
      <c r="E81" s="16"/>
      <c r="F81" s="16"/>
      <c r="G81" s="57"/>
      <c r="H81" s="56"/>
    </row>
    <row r="82" ht="15.75" customHeight="1">
      <c r="A82" s="16"/>
      <c r="B82" s="16"/>
      <c r="C82" s="16"/>
      <c r="D82" s="56"/>
      <c r="E82" s="16"/>
      <c r="F82" s="16"/>
      <c r="G82" s="57"/>
      <c r="H82" s="56"/>
    </row>
    <row r="83" ht="15.75" customHeight="1">
      <c r="A83" s="16"/>
      <c r="B83" s="16"/>
      <c r="C83" s="16"/>
      <c r="D83" s="56"/>
      <c r="E83" s="16"/>
      <c r="F83" s="16"/>
      <c r="G83" s="57"/>
      <c r="H83" s="56"/>
    </row>
    <row r="84" ht="15.75" customHeight="1">
      <c r="A84" s="16"/>
      <c r="B84" s="16"/>
      <c r="C84" s="16"/>
      <c r="D84" s="56"/>
      <c r="E84" s="16"/>
      <c r="F84" s="16"/>
      <c r="G84" s="57"/>
      <c r="H84" s="56"/>
    </row>
    <row r="85" ht="15.75" customHeight="1">
      <c r="A85" s="16"/>
      <c r="B85" s="16"/>
      <c r="C85" s="16"/>
      <c r="D85" s="56"/>
      <c r="E85" s="16"/>
      <c r="F85" s="16"/>
      <c r="G85" s="57"/>
      <c r="H85" s="56"/>
    </row>
    <row r="86" ht="15.75" customHeight="1">
      <c r="A86" s="16"/>
      <c r="B86" s="16"/>
      <c r="C86" s="16"/>
      <c r="D86" s="56"/>
      <c r="E86" s="16"/>
      <c r="F86" s="16"/>
      <c r="G86" s="57"/>
      <c r="H86" s="56"/>
    </row>
    <row r="87" ht="15.75" customHeight="1">
      <c r="A87" s="16"/>
      <c r="B87" s="16"/>
      <c r="C87" s="16"/>
      <c r="D87" s="56"/>
      <c r="E87" s="16"/>
      <c r="F87" s="16"/>
      <c r="G87" s="57"/>
      <c r="H87" s="56"/>
    </row>
    <row r="88" ht="15.75" customHeight="1">
      <c r="A88" s="16"/>
      <c r="B88" s="16"/>
      <c r="C88" s="16"/>
      <c r="D88" s="56"/>
      <c r="E88" s="16"/>
      <c r="F88" s="16"/>
      <c r="G88" s="57"/>
      <c r="H88" s="56"/>
    </row>
    <row r="89" ht="15.75" customHeight="1">
      <c r="A89" s="16"/>
      <c r="B89" s="16"/>
      <c r="C89" s="16"/>
      <c r="D89" s="56"/>
      <c r="E89" s="16"/>
      <c r="F89" s="16"/>
      <c r="G89" s="57"/>
      <c r="H89" s="56"/>
    </row>
    <row r="90" ht="15.75" customHeight="1">
      <c r="A90" s="16"/>
      <c r="B90" s="16"/>
      <c r="C90" s="16"/>
      <c r="D90" s="56"/>
      <c r="E90" s="16"/>
      <c r="F90" s="16"/>
      <c r="G90" s="57"/>
      <c r="H90" s="56"/>
    </row>
    <row r="91" ht="15.75" customHeight="1">
      <c r="A91" s="16"/>
      <c r="B91" s="16"/>
      <c r="C91" s="16"/>
      <c r="D91" s="56"/>
      <c r="E91" s="16"/>
      <c r="F91" s="16"/>
      <c r="G91" s="57"/>
      <c r="H91" s="56"/>
    </row>
    <row r="92" ht="15.75" customHeight="1">
      <c r="A92" s="16"/>
      <c r="B92" s="16"/>
      <c r="C92" s="16"/>
      <c r="D92" s="56"/>
      <c r="E92" s="16"/>
      <c r="F92" s="16"/>
      <c r="G92" s="57"/>
      <c r="H92" s="56"/>
    </row>
    <row r="93" ht="15.75" customHeight="1">
      <c r="A93" s="16"/>
      <c r="B93" s="16"/>
      <c r="C93" s="16"/>
      <c r="D93" s="56"/>
      <c r="E93" s="16"/>
      <c r="F93" s="16"/>
      <c r="G93" s="57"/>
      <c r="H93" s="56"/>
    </row>
    <row r="94" ht="15.75" customHeight="1">
      <c r="A94" s="16"/>
      <c r="B94" s="16"/>
      <c r="C94" s="16"/>
      <c r="D94" s="56"/>
      <c r="E94" s="16"/>
      <c r="F94" s="16"/>
      <c r="G94" s="57"/>
      <c r="H94" s="56"/>
    </row>
    <row r="95" ht="15.75" customHeight="1">
      <c r="A95" s="16"/>
      <c r="B95" s="16"/>
      <c r="C95" s="16"/>
      <c r="D95" s="56"/>
      <c r="E95" s="16"/>
      <c r="F95" s="16"/>
      <c r="G95" s="57"/>
      <c r="H95" s="56"/>
    </row>
    <row r="96" ht="15.75" customHeight="1">
      <c r="A96" s="16"/>
      <c r="B96" s="16"/>
      <c r="C96" s="16"/>
      <c r="D96" s="56"/>
      <c r="E96" s="16"/>
      <c r="F96" s="16"/>
      <c r="G96" s="57"/>
      <c r="H96" s="56"/>
    </row>
    <row r="97" ht="15.75" customHeight="1">
      <c r="A97" s="16"/>
      <c r="B97" s="16"/>
      <c r="C97" s="16"/>
      <c r="D97" s="56"/>
      <c r="E97" s="16"/>
      <c r="F97" s="16"/>
      <c r="G97" s="57"/>
      <c r="H97" s="56"/>
    </row>
    <row r="98" ht="15.75" customHeight="1">
      <c r="A98" s="16"/>
      <c r="B98" s="16"/>
      <c r="C98" s="16"/>
      <c r="D98" s="56"/>
      <c r="E98" s="16"/>
      <c r="F98" s="16"/>
      <c r="G98" s="57"/>
      <c r="H98" s="56"/>
    </row>
    <row r="99" ht="15.75" customHeight="1">
      <c r="A99" s="16"/>
      <c r="B99" s="16"/>
      <c r="C99" s="16"/>
      <c r="D99" s="56"/>
      <c r="E99" s="16"/>
      <c r="F99" s="16"/>
      <c r="G99" s="57"/>
      <c r="H99" s="56"/>
    </row>
    <row r="100" ht="15.75" customHeight="1">
      <c r="A100" s="16"/>
      <c r="B100" s="16"/>
      <c r="C100" s="16"/>
      <c r="D100" s="56"/>
      <c r="E100" s="16"/>
      <c r="F100" s="16"/>
      <c r="G100" s="57"/>
      <c r="H100" s="56"/>
    </row>
    <row r="101" ht="15.75" customHeight="1">
      <c r="D101" s="61"/>
      <c r="G101" s="62"/>
      <c r="H101" s="61"/>
    </row>
    <row r="102" ht="15.75" customHeight="1">
      <c r="D102" s="61"/>
      <c r="G102" s="62"/>
      <c r="H102" s="61"/>
    </row>
    <row r="103" ht="15.75" customHeight="1">
      <c r="D103" s="61"/>
      <c r="G103" s="62"/>
      <c r="H103" s="61"/>
    </row>
    <row r="104" ht="15.75" customHeight="1">
      <c r="D104" s="61"/>
      <c r="G104" s="62"/>
      <c r="H104" s="61"/>
    </row>
    <row r="105" ht="15.75" customHeight="1">
      <c r="D105" s="61"/>
      <c r="G105" s="62"/>
      <c r="H105" s="61"/>
    </row>
    <row r="106" ht="15.75" customHeight="1">
      <c r="D106" s="61"/>
      <c r="G106" s="62"/>
      <c r="H106" s="61"/>
    </row>
    <row r="107" ht="15.75" customHeight="1">
      <c r="D107" s="61"/>
      <c r="G107" s="62"/>
      <c r="H107" s="61"/>
    </row>
    <row r="108" ht="15.75" customHeight="1">
      <c r="D108" s="61"/>
      <c r="G108" s="62"/>
      <c r="H108" s="61"/>
    </row>
    <row r="109" ht="15.75" customHeight="1">
      <c r="D109" s="61"/>
      <c r="G109" s="62"/>
      <c r="H109" s="61"/>
    </row>
    <row r="110" ht="15.75" customHeight="1">
      <c r="D110" s="61"/>
      <c r="G110" s="62"/>
      <c r="H110" s="61"/>
    </row>
    <row r="111" ht="15.75" customHeight="1">
      <c r="D111" s="61"/>
      <c r="G111" s="62"/>
      <c r="H111" s="61"/>
    </row>
    <row r="112" ht="15.75" customHeight="1">
      <c r="D112" s="61"/>
      <c r="G112" s="62"/>
      <c r="H112" s="61"/>
    </row>
    <row r="113" ht="15.75" customHeight="1">
      <c r="D113" s="61"/>
      <c r="G113" s="62"/>
      <c r="H113" s="61"/>
    </row>
    <row r="114" ht="15.75" customHeight="1">
      <c r="D114" s="61"/>
      <c r="G114" s="62"/>
      <c r="H114" s="61"/>
    </row>
    <row r="115" ht="15.75" customHeight="1">
      <c r="D115" s="61"/>
      <c r="G115" s="62"/>
      <c r="H115" s="61"/>
    </row>
    <row r="116" ht="15.75" customHeight="1">
      <c r="D116" s="61"/>
      <c r="G116" s="62"/>
      <c r="H116" s="61"/>
    </row>
    <row r="117" ht="15.75" customHeight="1">
      <c r="D117" s="61"/>
      <c r="G117" s="62"/>
      <c r="H117" s="61"/>
    </row>
    <row r="118" ht="15.75" customHeight="1">
      <c r="D118" s="61"/>
      <c r="G118" s="62"/>
      <c r="H118" s="61"/>
    </row>
    <row r="119" ht="15.75" customHeight="1">
      <c r="D119" s="61"/>
      <c r="G119" s="62"/>
      <c r="H119" s="61"/>
    </row>
    <row r="120" ht="15.75" customHeight="1">
      <c r="D120" s="61"/>
      <c r="G120" s="62"/>
      <c r="H120" s="61"/>
    </row>
    <row r="121" ht="15.75" customHeight="1">
      <c r="D121" s="61"/>
      <c r="G121" s="62"/>
      <c r="H121" s="61"/>
    </row>
    <row r="122" ht="15.75" customHeight="1">
      <c r="D122" s="61"/>
      <c r="G122" s="62"/>
      <c r="H122" s="61"/>
    </row>
    <row r="123" ht="15.75" customHeight="1">
      <c r="D123" s="61"/>
      <c r="G123" s="62"/>
      <c r="H123" s="61"/>
    </row>
    <row r="124" ht="15.75" customHeight="1">
      <c r="D124" s="61"/>
      <c r="G124" s="62"/>
      <c r="H124" s="61"/>
    </row>
    <row r="125" ht="15.75" customHeight="1">
      <c r="D125" s="61"/>
      <c r="G125" s="62"/>
      <c r="H125" s="61"/>
    </row>
    <row r="126" ht="15.75" customHeight="1">
      <c r="D126" s="61"/>
      <c r="G126" s="62"/>
      <c r="H126" s="61"/>
    </row>
    <row r="127" ht="15.75" customHeight="1">
      <c r="D127" s="61"/>
      <c r="G127" s="62"/>
      <c r="H127" s="61"/>
    </row>
    <row r="128" ht="15.75" customHeight="1">
      <c r="D128" s="61"/>
      <c r="G128" s="62"/>
      <c r="H128" s="61"/>
    </row>
    <row r="129" ht="15.75" customHeight="1">
      <c r="D129" s="61"/>
      <c r="G129" s="62"/>
      <c r="H129" s="61"/>
    </row>
    <row r="130" ht="15.75" customHeight="1">
      <c r="D130" s="61"/>
      <c r="G130" s="62"/>
      <c r="H130" s="61"/>
    </row>
    <row r="131" ht="15.75" customHeight="1">
      <c r="D131" s="61"/>
      <c r="G131" s="62"/>
      <c r="H131" s="61"/>
    </row>
    <row r="132" ht="15.75" customHeight="1">
      <c r="D132" s="61"/>
      <c r="G132" s="62"/>
      <c r="H132" s="61"/>
    </row>
    <row r="133" ht="15.75" customHeight="1">
      <c r="D133" s="61"/>
      <c r="G133" s="62"/>
      <c r="H133" s="61"/>
    </row>
    <row r="134" ht="15.75" customHeight="1">
      <c r="D134" s="61"/>
      <c r="G134" s="62"/>
      <c r="H134" s="61"/>
    </row>
    <row r="135" ht="15.75" customHeight="1">
      <c r="D135" s="61"/>
      <c r="G135" s="62"/>
      <c r="H135" s="61"/>
    </row>
    <row r="136" ht="15.75" customHeight="1">
      <c r="D136" s="61"/>
      <c r="G136" s="62"/>
      <c r="H136" s="61"/>
    </row>
    <row r="137" ht="15.75" customHeight="1">
      <c r="D137" s="61"/>
      <c r="G137" s="62"/>
      <c r="H137" s="61"/>
    </row>
    <row r="138" ht="15.75" customHeight="1">
      <c r="D138" s="61"/>
      <c r="G138" s="62"/>
      <c r="H138" s="61"/>
    </row>
    <row r="139" ht="15.75" customHeight="1">
      <c r="D139" s="61"/>
      <c r="G139" s="62"/>
      <c r="H139" s="61"/>
    </row>
    <row r="140" ht="15.75" customHeight="1">
      <c r="D140" s="61"/>
      <c r="G140" s="62"/>
      <c r="H140" s="61"/>
    </row>
    <row r="141" ht="15.75" customHeight="1">
      <c r="D141" s="61"/>
      <c r="G141" s="62"/>
      <c r="H141" s="61"/>
    </row>
    <row r="142" ht="15.75" customHeight="1">
      <c r="D142" s="61"/>
      <c r="G142" s="62"/>
      <c r="H142" s="61"/>
    </row>
    <row r="143" ht="15.75" customHeight="1">
      <c r="D143" s="61"/>
      <c r="G143" s="62"/>
      <c r="H143" s="61"/>
    </row>
    <row r="144" ht="15.75" customHeight="1">
      <c r="D144" s="61"/>
      <c r="G144" s="62"/>
      <c r="H144" s="61"/>
    </row>
    <row r="145" ht="15.75" customHeight="1">
      <c r="D145" s="61"/>
      <c r="G145" s="62"/>
      <c r="H145" s="61"/>
    </row>
    <row r="146" ht="15.75" customHeight="1">
      <c r="D146" s="61"/>
      <c r="G146" s="62"/>
      <c r="H146" s="61"/>
    </row>
    <row r="147" ht="15.75" customHeight="1">
      <c r="D147" s="61"/>
      <c r="G147" s="62"/>
      <c r="H147" s="61"/>
    </row>
    <row r="148" ht="15.75" customHeight="1">
      <c r="D148" s="61"/>
      <c r="G148" s="62"/>
      <c r="H148" s="61"/>
    </row>
    <row r="149" ht="15.75" customHeight="1">
      <c r="D149" s="61"/>
      <c r="G149" s="62"/>
      <c r="H149" s="61"/>
    </row>
    <row r="150" ht="15.75" customHeight="1">
      <c r="D150" s="61"/>
      <c r="G150" s="62"/>
      <c r="H150" s="61"/>
    </row>
    <row r="151" ht="15.75" customHeight="1">
      <c r="D151" s="61"/>
      <c r="G151" s="62"/>
      <c r="H151" s="61"/>
    </row>
    <row r="152" ht="15.75" customHeight="1">
      <c r="D152" s="61"/>
      <c r="G152" s="62"/>
      <c r="H152" s="61"/>
    </row>
    <row r="153" ht="15.75" customHeight="1">
      <c r="D153" s="61"/>
      <c r="G153" s="62"/>
      <c r="H153" s="61"/>
    </row>
    <row r="154" ht="15.75" customHeight="1">
      <c r="D154" s="61"/>
      <c r="G154" s="62"/>
      <c r="H154" s="61"/>
    </row>
    <row r="155" ht="15.75" customHeight="1">
      <c r="D155" s="61"/>
      <c r="G155" s="62"/>
      <c r="H155" s="61"/>
    </row>
    <row r="156" ht="15.75" customHeight="1">
      <c r="D156" s="61"/>
      <c r="G156" s="62"/>
      <c r="H156" s="61"/>
    </row>
    <row r="157" ht="15.75" customHeight="1">
      <c r="D157" s="61"/>
      <c r="G157" s="62"/>
      <c r="H157" s="61"/>
    </row>
    <row r="158" ht="15.75" customHeight="1">
      <c r="D158" s="61"/>
      <c r="G158" s="62"/>
      <c r="H158" s="61"/>
    </row>
    <row r="159" ht="15.75" customHeight="1">
      <c r="D159" s="61"/>
      <c r="G159" s="62"/>
      <c r="H159" s="61"/>
    </row>
    <row r="160" ht="15.75" customHeight="1">
      <c r="D160" s="61"/>
      <c r="G160" s="62"/>
      <c r="H160" s="61"/>
    </row>
    <row r="161" ht="15.75" customHeight="1">
      <c r="D161" s="61"/>
      <c r="G161" s="62"/>
      <c r="H161" s="61"/>
    </row>
    <row r="162" ht="15.75" customHeight="1">
      <c r="D162" s="61"/>
      <c r="G162" s="62"/>
      <c r="H162" s="61"/>
    </row>
    <row r="163" ht="15.75" customHeight="1">
      <c r="D163" s="61"/>
      <c r="G163" s="62"/>
      <c r="H163" s="61"/>
    </row>
    <row r="164" ht="15.75" customHeight="1">
      <c r="D164" s="61"/>
      <c r="G164" s="62"/>
      <c r="H164" s="61"/>
    </row>
    <row r="165" ht="15.75" customHeight="1">
      <c r="D165" s="61"/>
      <c r="G165" s="62"/>
      <c r="H165" s="61"/>
    </row>
    <row r="166" ht="15.75" customHeight="1">
      <c r="D166" s="61"/>
      <c r="G166" s="62"/>
      <c r="H166" s="61"/>
    </row>
    <row r="167" ht="15.75" customHeight="1">
      <c r="D167" s="61"/>
      <c r="G167" s="62"/>
      <c r="H167" s="61"/>
    </row>
    <row r="168" ht="15.75" customHeight="1">
      <c r="D168" s="61"/>
      <c r="G168" s="62"/>
      <c r="H168" s="61"/>
    </row>
    <row r="169" ht="15.75" customHeight="1">
      <c r="D169" s="61"/>
      <c r="G169" s="62"/>
      <c r="H169" s="61"/>
    </row>
    <row r="170" ht="15.75" customHeight="1">
      <c r="D170" s="61"/>
      <c r="G170" s="62"/>
      <c r="H170" s="61"/>
    </row>
    <row r="171" ht="15.75" customHeight="1">
      <c r="D171" s="61"/>
      <c r="G171" s="62"/>
      <c r="H171" s="61"/>
    </row>
    <row r="172" ht="15.75" customHeight="1">
      <c r="D172" s="61"/>
      <c r="G172" s="62"/>
      <c r="H172" s="61"/>
    </row>
    <row r="173" ht="15.75" customHeight="1">
      <c r="D173" s="61"/>
      <c r="G173" s="62"/>
      <c r="H173" s="61"/>
    </row>
    <row r="174" ht="15.75" customHeight="1">
      <c r="D174" s="61"/>
      <c r="G174" s="62"/>
      <c r="H174" s="61"/>
    </row>
    <row r="175" ht="15.75" customHeight="1">
      <c r="D175" s="61"/>
      <c r="G175" s="62"/>
      <c r="H175" s="61"/>
    </row>
    <row r="176" ht="15.75" customHeight="1">
      <c r="D176" s="61"/>
      <c r="G176" s="62"/>
      <c r="H176" s="61"/>
    </row>
    <row r="177" ht="15.75" customHeight="1">
      <c r="D177" s="61"/>
      <c r="G177" s="62"/>
      <c r="H177" s="61"/>
    </row>
    <row r="178" ht="15.75" customHeight="1">
      <c r="D178" s="61"/>
      <c r="G178" s="62"/>
      <c r="H178" s="61"/>
    </row>
    <row r="179" ht="15.75" customHeight="1">
      <c r="D179" s="61"/>
      <c r="G179" s="62"/>
      <c r="H179" s="61"/>
    </row>
    <row r="180" ht="15.75" customHeight="1">
      <c r="D180" s="61"/>
      <c r="G180" s="62"/>
      <c r="H180" s="61"/>
    </row>
    <row r="181" ht="15.75" customHeight="1">
      <c r="D181" s="61"/>
      <c r="G181" s="62"/>
      <c r="H181" s="61"/>
    </row>
    <row r="182" ht="15.75" customHeight="1">
      <c r="D182" s="61"/>
      <c r="G182" s="62"/>
      <c r="H182" s="61"/>
    </row>
    <row r="183" ht="15.75" customHeight="1">
      <c r="D183" s="61"/>
      <c r="G183" s="62"/>
      <c r="H183" s="61"/>
    </row>
    <row r="184" ht="15.75" customHeight="1">
      <c r="D184" s="61"/>
      <c r="G184" s="62"/>
      <c r="H184" s="61"/>
    </row>
    <row r="185" ht="15.75" customHeight="1">
      <c r="D185" s="61"/>
      <c r="G185" s="62"/>
      <c r="H185" s="61"/>
    </row>
    <row r="186" ht="15.75" customHeight="1">
      <c r="D186" s="61"/>
      <c r="G186" s="62"/>
      <c r="H186" s="61"/>
    </row>
    <row r="187" ht="15.75" customHeight="1">
      <c r="D187" s="61"/>
      <c r="G187" s="62"/>
      <c r="H187" s="61"/>
    </row>
    <row r="188" ht="15.75" customHeight="1">
      <c r="D188" s="61"/>
      <c r="G188" s="62"/>
      <c r="H188" s="61"/>
    </row>
    <row r="189" ht="15.75" customHeight="1">
      <c r="D189" s="61"/>
      <c r="G189" s="62"/>
      <c r="H189" s="61"/>
    </row>
    <row r="190" ht="15.75" customHeight="1">
      <c r="D190" s="61"/>
      <c r="G190" s="62"/>
      <c r="H190" s="61"/>
    </row>
    <row r="191" ht="15.75" customHeight="1">
      <c r="D191" s="61"/>
      <c r="G191" s="62"/>
      <c r="H191" s="61"/>
    </row>
    <row r="192" ht="15.75" customHeight="1">
      <c r="D192" s="61"/>
      <c r="G192" s="62"/>
      <c r="H192" s="61"/>
    </row>
    <row r="193" ht="15.75" customHeight="1">
      <c r="D193" s="61"/>
      <c r="G193" s="62"/>
      <c r="H193" s="61"/>
    </row>
    <row r="194" ht="15.75" customHeight="1">
      <c r="D194" s="61"/>
      <c r="G194" s="62"/>
      <c r="H194" s="61"/>
    </row>
    <row r="195" ht="15.75" customHeight="1">
      <c r="D195" s="61"/>
      <c r="G195" s="62"/>
      <c r="H195" s="61"/>
    </row>
    <row r="196" ht="15.75" customHeight="1">
      <c r="D196" s="61"/>
      <c r="G196" s="62"/>
      <c r="H196" s="61"/>
    </row>
    <row r="197" ht="15.75" customHeight="1">
      <c r="D197" s="61"/>
      <c r="G197" s="62"/>
      <c r="H197" s="61"/>
    </row>
    <row r="198" ht="15.75" customHeight="1">
      <c r="D198" s="61"/>
      <c r="G198" s="62"/>
      <c r="H198" s="61"/>
    </row>
    <row r="199" ht="15.75" customHeight="1">
      <c r="D199" s="61"/>
      <c r="G199" s="62"/>
      <c r="H199" s="61"/>
    </row>
    <row r="200" ht="15.75" customHeight="1">
      <c r="D200" s="61"/>
      <c r="G200" s="62"/>
      <c r="H200" s="61"/>
    </row>
    <row r="201" ht="15.75" customHeight="1">
      <c r="D201" s="61"/>
      <c r="G201" s="62"/>
      <c r="H201" s="61"/>
    </row>
    <row r="202" ht="15.75" customHeight="1">
      <c r="D202" s="61"/>
      <c r="G202" s="62"/>
      <c r="H202" s="61"/>
    </row>
    <row r="203" ht="15.75" customHeight="1">
      <c r="D203" s="61"/>
      <c r="G203" s="62"/>
      <c r="H203" s="61"/>
    </row>
    <row r="204" ht="15.75" customHeight="1">
      <c r="D204" s="61"/>
      <c r="G204" s="62"/>
      <c r="H204" s="61"/>
    </row>
    <row r="205" ht="15.75" customHeight="1">
      <c r="D205" s="61"/>
      <c r="G205" s="62"/>
      <c r="H205" s="61"/>
    </row>
    <row r="206" ht="15.75" customHeight="1">
      <c r="D206" s="61"/>
      <c r="G206" s="62"/>
      <c r="H206" s="61"/>
    </row>
    <row r="207" ht="15.75" customHeight="1">
      <c r="D207" s="61"/>
      <c r="G207" s="62"/>
      <c r="H207" s="61"/>
    </row>
    <row r="208" ht="15.75" customHeight="1">
      <c r="D208" s="61"/>
      <c r="G208" s="62"/>
      <c r="H208" s="61"/>
    </row>
    <row r="209" ht="15.75" customHeight="1">
      <c r="D209" s="61"/>
      <c r="G209" s="62"/>
      <c r="H209" s="61"/>
    </row>
    <row r="210" ht="15.75" customHeight="1">
      <c r="D210" s="61"/>
      <c r="G210" s="62"/>
      <c r="H210" s="61"/>
    </row>
    <row r="211" ht="15.75" customHeight="1">
      <c r="D211" s="61"/>
      <c r="G211" s="62"/>
      <c r="H211" s="61"/>
    </row>
    <row r="212" ht="15.75" customHeight="1">
      <c r="D212" s="61"/>
      <c r="G212" s="62"/>
      <c r="H212" s="61"/>
    </row>
    <row r="213" ht="15.75" customHeight="1">
      <c r="D213" s="61"/>
      <c r="G213" s="62"/>
      <c r="H213" s="61"/>
    </row>
    <row r="214" ht="15.75" customHeight="1">
      <c r="D214" s="61"/>
      <c r="G214" s="62"/>
      <c r="H214" s="61"/>
    </row>
    <row r="215" ht="15.75" customHeight="1">
      <c r="D215" s="61"/>
      <c r="G215" s="62"/>
      <c r="H215" s="61"/>
    </row>
    <row r="216" ht="15.75" customHeight="1">
      <c r="D216" s="61"/>
      <c r="G216" s="62"/>
      <c r="H216" s="61"/>
    </row>
    <row r="217" ht="15.75" customHeight="1">
      <c r="D217" s="61"/>
      <c r="G217" s="62"/>
      <c r="H217" s="61"/>
    </row>
    <row r="218" ht="15.75" customHeight="1">
      <c r="D218" s="61"/>
      <c r="G218" s="62"/>
      <c r="H218" s="61"/>
    </row>
    <row r="219" ht="15.75" customHeight="1">
      <c r="D219" s="61"/>
      <c r="G219" s="62"/>
      <c r="H219" s="61"/>
    </row>
    <row r="220" ht="15.75" customHeight="1">
      <c r="D220" s="61"/>
      <c r="G220" s="62"/>
      <c r="H220" s="61"/>
    </row>
    <row r="221" ht="15.75" customHeight="1">
      <c r="D221" s="61"/>
      <c r="G221" s="62"/>
      <c r="H221" s="61"/>
    </row>
    <row r="222" ht="15.75" customHeight="1">
      <c r="D222" s="61"/>
      <c r="G222" s="62"/>
      <c r="H222" s="61"/>
    </row>
    <row r="223" ht="15.75" customHeight="1">
      <c r="D223" s="61"/>
      <c r="G223" s="62"/>
      <c r="H223" s="61"/>
    </row>
    <row r="224" ht="15.75" customHeight="1">
      <c r="D224" s="61"/>
      <c r="G224" s="62"/>
      <c r="H224" s="61"/>
    </row>
    <row r="225" ht="15.75" customHeight="1">
      <c r="D225" s="61"/>
      <c r="G225" s="62"/>
      <c r="H225" s="61"/>
    </row>
    <row r="226" ht="15.75" customHeight="1">
      <c r="D226" s="61"/>
      <c r="G226" s="62"/>
      <c r="H226" s="61"/>
    </row>
    <row r="227" ht="15.75" customHeight="1">
      <c r="D227" s="61"/>
      <c r="G227" s="62"/>
      <c r="H227" s="61"/>
    </row>
    <row r="228" ht="15.75" customHeight="1">
      <c r="D228" s="61"/>
      <c r="G228" s="62"/>
      <c r="H228" s="61"/>
    </row>
    <row r="229" ht="15.75" customHeight="1">
      <c r="D229" s="61"/>
      <c r="G229" s="62"/>
      <c r="H229" s="61"/>
    </row>
    <row r="230" ht="15.75" customHeight="1">
      <c r="D230" s="61"/>
      <c r="G230" s="62"/>
      <c r="H230" s="61"/>
    </row>
    <row r="231" ht="15.75" customHeight="1">
      <c r="D231" s="61"/>
      <c r="G231" s="62"/>
      <c r="H231" s="61"/>
    </row>
    <row r="232" ht="15.75" customHeight="1">
      <c r="D232" s="61"/>
      <c r="G232" s="62"/>
      <c r="H232" s="61"/>
    </row>
    <row r="233" ht="15.75" customHeight="1">
      <c r="D233" s="61"/>
      <c r="G233" s="62"/>
      <c r="H233" s="61"/>
    </row>
    <row r="234" ht="15.75" customHeight="1">
      <c r="D234" s="61"/>
      <c r="G234" s="62"/>
      <c r="H234" s="61"/>
    </row>
    <row r="235" ht="15.75" customHeight="1">
      <c r="D235" s="61"/>
      <c r="G235" s="62"/>
      <c r="H235" s="61"/>
    </row>
    <row r="236" ht="15.75" customHeight="1">
      <c r="D236" s="61"/>
      <c r="G236" s="62"/>
      <c r="H236" s="61"/>
    </row>
    <row r="237" ht="15.75" customHeight="1">
      <c r="D237" s="61"/>
      <c r="G237" s="62"/>
      <c r="H237" s="61"/>
    </row>
    <row r="238" ht="15.75" customHeight="1">
      <c r="D238" s="61"/>
      <c r="G238" s="62"/>
      <c r="H238" s="61"/>
    </row>
    <row r="239" ht="15.75" customHeight="1">
      <c r="D239" s="61"/>
      <c r="G239" s="62"/>
      <c r="H239" s="61"/>
    </row>
    <row r="240" ht="15.75" customHeight="1">
      <c r="D240" s="61"/>
      <c r="G240" s="62"/>
      <c r="H240" s="61"/>
    </row>
    <row r="241" ht="15.75" customHeight="1">
      <c r="D241" s="61"/>
      <c r="G241" s="62"/>
      <c r="H241" s="61"/>
    </row>
    <row r="242" ht="15.75" customHeight="1">
      <c r="D242" s="61"/>
      <c r="G242" s="62"/>
      <c r="H242" s="61"/>
    </row>
    <row r="243" ht="15.75" customHeight="1">
      <c r="D243" s="61"/>
      <c r="G243" s="62"/>
      <c r="H243" s="61"/>
    </row>
    <row r="244" ht="15.75" customHeight="1">
      <c r="D244" s="61"/>
      <c r="G244" s="62"/>
      <c r="H244" s="61"/>
    </row>
    <row r="245" ht="15.75" customHeight="1">
      <c r="D245" s="61"/>
      <c r="G245" s="62"/>
      <c r="H245" s="61"/>
    </row>
    <row r="246" ht="15.75" customHeight="1">
      <c r="D246" s="61"/>
      <c r="G246" s="62"/>
      <c r="H246" s="61"/>
    </row>
    <row r="247" ht="15.75" customHeight="1">
      <c r="D247" s="61"/>
      <c r="G247" s="62"/>
      <c r="H247" s="61"/>
    </row>
    <row r="248" ht="15.75" customHeight="1">
      <c r="D248" s="61"/>
      <c r="G248" s="62"/>
      <c r="H248" s="61"/>
    </row>
    <row r="249" ht="15.75" customHeight="1">
      <c r="D249" s="61"/>
      <c r="G249" s="62"/>
      <c r="H249" s="61"/>
    </row>
    <row r="250" ht="15.75" customHeight="1">
      <c r="D250" s="61"/>
      <c r="G250" s="62"/>
      <c r="H250" s="61"/>
    </row>
    <row r="251" ht="15.75" customHeight="1">
      <c r="D251" s="61"/>
      <c r="G251" s="62"/>
      <c r="H251" s="61"/>
    </row>
    <row r="252" ht="15.75" customHeight="1">
      <c r="D252" s="61"/>
      <c r="G252" s="62"/>
      <c r="H252" s="61"/>
    </row>
    <row r="253" ht="15.75" customHeight="1">
      <c r="D253" s="61"/>
      <c r="G253" s="62"/>
      <c r="H253" s="61"/>
    </row>
    <row r="254" ht="15.75" customHeight="1">
      <c r="D254" s="61"/>
      <c r="G254" s="62"/>
      <c r="H254" s="61"/>
    </row>
    <row r="255" ht="15.75" customHeight="1">
      <c r="D255" s="61"/>
      <c r="G255" s="62"/>
      <c r="H255" s="61"/>
    </row>
    <row r="256" ht="15.75" customHeight="1">
      <c r="D256" s="61"/>
      <c r="G256" s="62"/>
      <c r="H256" s="61"/>
    </row>
    <row r="257" ht="15.75" customHeight="1">
      <c r="D257" s="61"/>
      <c r="G257" s="62"/>
      <c r="H257" s="61"/>
    </row>
    <row r="258" ht="15.75" customHeight="1">
      <c r="D258" s="61"/>
      <c r="G258" s="62"/>
      <c r="H258" s="61"/>
    </row>
    <row r="259" ht="15.75" customHeight="1">
      <c r="D259" s="61"/>
      <c r="G259" s="62"/>
      <c r="H259" s="61"/>
    </row>
    <row r="260" ht="15.75" customHeight="1">
      <c r="D260" s="61"/>
      <c r="G260" s="62"/>
      <c r="H260" s="61"/>
    </row>
    <row r="261" ht="15.75" customHeight="1">
      <c r="D261" s="61"/>
      <c r="G261" s="62"/>
      <c r="H261" s="61"/>
    </row>
    <row r="262" ht="15.75" customHeight="1">
      <c r="D262" s="61"/>
      <c r="G262" s="62"/>
      <c r="H262" s="61"/>
    </row>
    <row r="263" ht="15.75" customHeight="1">
      <c r="D263" s="61"/>
      <c r="G263" s="62"/>
      <c r="H263" s="61"/>
    </row>
    <row r="264" ht="15.75" customHeight="1">
      <c r="D264" s="61"/>
      <c r="G264" s="62"/>
      <c r="H264" s="61"/>
    </row>
    <row r="265" ht="15.75" customHeight="1">
      <c r="D265" s="61"/>
      <c r="G265" s="62"/>
      <c r="H265" s="61"/>
    </row>
    <row r="266" ht="15.75" customHeight="1">
      <c r="D266" s="61"/>
      <c r="G266" s="62"/>
      <c r="H266" s="61"/>
    </row>
    <row r="267" ht="15.75" customHeight="1">
      <c r="D267" s="61"/>
      <c r="G267" s="62"/>
      <c r="H267" s="61"/>
    </row>
    <row r="268" ht="15.75" customHeight="1">
      <c r="D268" s="61"/>
      <c r="G268" s="62"/>
      <c r="H268" s="61"/>
    </row>
    <row r="269" ht="15.75" customHeight="1">
      <c r="D269" s="61"/>
      <c r="G269" s="62"/>
      <c r="H269" s="61"/>
    </row>
    <row r="270" ht="15.75" customHeight="1">
      <c r="D270" s="61"/>
      <c r="G270" s="62"/>
      <c r="H270" s="61"/>
    </row>
    <row r="271" ht="15.75" customHeight="1">
      <c r="D271" s="61"/>
      <c r="G271" s="62"/>
      <c r="H271" s="61"/>
    </row>
    <row r="272" ht="15.75" customHeight="1">
      <c r="D272" s="61"/>
      <c r="G272" s="62"/>
      <c r="H272" s="61"/>
    </row>
    <row r="273" ht="15.75" customHeight="1">
      <c r="D273" s="61"/>
      <c r="G273" s="62"/>
      <c r="H273" s="61"/>
    </row>
    <row r="274" ht="15.75" customHeight="1">
      <c r="D274" s="61"/>
      <c r="G274" s="62"/>
      <c r="H274" s="61"/>
    </row>
    <row r="275" ht="15.75" customHeight="1">
      <c r="D275" s="61"/>
      <c r="G275" s="62"/>
      <c r="H275" s="61"/>
    </row>
    <row r="276" ht="15.75" customHeight="1">
      <c r="D276" s="61"/>
      <c r="G276" s="62"/>
      <c r="H276" s="61"/>
    </row>
    <row r="277" ht="15.75" customHeight="1">
      <c r="D277" s="61"/>
      <c r="G277" s="62"/>
      <c r="H277" s="61"/>
    </row>
    <row r="278" ht="15.75" customHeight="1">
      <c r="D278" s="61"/>
      <c r="G278" s="62"/>
      <c r="H278" s="61"/>
    </row>
    <row r="279" ht="15.75" customHeight="1">
      <c r="D279" s="61"/>
      <c r="G279" s="62"/>
      <c r="H279" s="61"/>
    </row>
    <row r="280" ht="15.75" customHeight="1">
      <c r="D280" s="61"/>
      <c r="G280" s="62"/>
      <c r="H280" s="61"/>
    </row>
    <row r="281" ht="15.75" customHeight="1">
      <c r="D281" s="61"/>
      <c r="G281" s="62"/>
      <c r="H281" s="61"/>
    </row>
    <row r="282" ht="15.75" customHeight="1">
      <c r="D282" s="61"/>
      <c r="G282" s="62"/>
      <c r="H282" s="61"/>
    </row>
    <row r="283" ht="15.75" customHeight="1">
      <c r="D283" s="61"/>
      <c r="G283" s="62"/>
      <c r="H283" s="61"/>
    </row>
    <row r="284" ht="15.75" customHeight="1">
      <c r="D284" s="61"/>
      <c r="G284" s="62"/>
      <c r="H284" s="61"/>
    </row>
    <row r="285" ht="15.75" customHeight="1">
      <c r="D285" s="61"/>
      <c r="G285" s="62"/>
      <c r="H285" s="61"/>
    </row>
    <row r="286" ht="15.75" customHeight="1">
      <c r="D286" s="61"/>
      <c r="G286" s="62"/>
      <c r="H286" s="61"/>
    </row>
    <row r="287" ht="15.75" customHeight="1">
      <c r="D287" s="61"/>
      <c r="G287" s="62"/>
      <c r="H287" s="61"/>
    </row>
    <row r="288" ht="15.75" customHeight="1">
      <c r="D288" s="61"/>
      <c r="G288" s="62"/>
      <c r="H288" s="61"/>
    </row>
    <row r="289" ht="15.75" customHeight="1">
      <c r="D289" s="61"/>
      <c r="G289" s="62"/>
      <c r="H289" s="61"/>
    </row>
    <row r="290" ht="15.75" customHeight="1">
      <c r="D290" s="61"/>
      <c r="G290" s="62"/>
      <c r="H290" s="61"/>
    </row>
    <row r="291" ht="15.75" customHeight="1">
      <c r="D291" s="61"/>
      <c r="G291" s="62"/>
      <c r="H291" s="61"/>
    </row>
    <row r="292" ht="15.75" customHeight="1">
      <c r="D292" s="61"/>
      <c r="G292" s="62"/>
      <c r="H292" s="61"/>
    </row>
    <row r="293" ht="15.75" customHeight="1">
      <c r="D293" s="61"/>
      <c r="G293" s="62"/>
      <c r="H293" s="61"/>
    </row>
    <row r="294" ht="15.75" customHeight="1">
      <c r="D294" s="61"/>
      <c r="G294" s="62"/>
      <c r="H294" s="61"/>
    </row>
    <row r="295" ht="15.75" customHeight="1">
      <c r="D295" s="61"/>
      <c r="G295" s="62"/>
      <c r="H295" s="61"/>
    </row>
    <row r="296" ht="15.75" customHeight="1">
      <c r="D296" s="61"/>
      <c r="G296" s="62"/>
      <c r="H296" s="61"/>
    </row>
    <row r="297" ht="15.75" customHeight="1">
      <c r="D297" s="61"/>
      <c r="G297" s="62"/>
      <c r="H297" s="61"/>
    </row>
    <row r="298" ht="15.75" customHeight="1">
      <c r="D298" s="61"/>
      <c r="G298" s="62"/>
      <c r="H298" s="61"/>
    </row>
    <row r="299" ht="15.75" customHeight="1">
      <c r="D299" s="61"/>
      <c r="G299" s="62"/>
      <c r="H299" s="61"/>
    </row>
    <row r="300" ht="15.75" customHeight="1">
      <c r="D300" s="61"/>
      <c r="G300" s="62"/>
      <c r="H300" s="61"/>
    </row>
    <row r="301" ht="15.75" customHeight="1">
      <c r="D301" s="61"/>
      <c r="G301" s="62"/>
      <c r="H301" s="61"/>
    </row>
    <row r="302" ht="15.75" customHeight="1">
      <c r="D302" s="61"/>
      <c r="G302" s="62"/>
      <c r="H302" s="61"/>
    </row>
    <row r="303" ht="15.75" customHeight="1">
      <c r="D303" s="61"/>
      <c r="G303" s="62"/>
      <c r="H303" s="61"/>
    </row>
    <row r="304" ht="15.75" customHeight="1">
      <c r="D304" s="61"/>
      <c r="G304" s="62"/>
      <c r="H304" s="61"/>
    </row>
    <row r="305" ht="15.75" customHeight="1">
      <c r="D305" s="20"/>
      <c r="G305" s="26"/>
      <c r="H305" s="20"/>
    </row>
    <row r="306" ht="15.75" customHeight="1">
      <c r="D306" s="20"/>
      <c r="G306" s="26"/>
      <c r="H306" s="20"/>
    </row>
    <row r="307" ht="15.75" customHeight="1">
      <c r="D307" s="20"/>
      <c r="G307" s="26"/>
      <c r="H307" s="20"/>
    </row>
    <row r="308" ht="15.75" customHeight="1">
      <c r="D308" s="20"/>
      <c r="G308" s="26"/>
      <c r="H308" s="20"/>
    </row>
    <row r="309" ht="15.75" customHeight="1">
      <c r="D309" s="20"/>
      <c r="G309" s="26"/>
      <c r="H309" s="20"/>
    </row>
    <row r="310" ht="15.75" customHeight="1">
      <c r="D310" s="20"/>
      <c r="G310" s="26"/>
      <c r="H310" s="20"/>
    </row>
    <row r="311" ht="15.75" customHeight="1">
      <c r="D311" s="20"/>
      <c r="G311" s="26"/>
      <c r="H311" s="20"/>
    </row>
    <row r="312" ht="15.75" customHeight="1">
      <c r="D312" s="20"/>
      <c r="G312" s="26"/>
      <c r="H312" s="20"/>
    </row>
    <row r="313" ht="15.75" customHeight="1">
      <c r="D313" s="20"/>
      <c r="G313" s="26"/>
      <c r="H313" s="20"/>
    </row>
    <row r="314" ht="15.75" customHeight="1">
      <c r="D314" s="20"/>
      <c r="G314" s="26"/>
      <c r="H314" s="20"/>
    </row>
    <row r="315" ht="15.75" customHeight="1">
      <c r="D315" s="20"/>
      <c r="G315" s="26"/>
      <c r="H315" s="20"/>
    </row>
    <row r="316" ht="15.75" customHeight="1">
      <c r="D316" s="20"/>
      <c r="G316" s="26"/>
      <c r="H316" s="20"/>
    </row>
    <row r="317" ht="15.75" customHeight="1">
      <c r="D317" s="20"/>
      <c r="G317" s="26"/>
      <c r="H317" s="20"/>
    </row>
    <row r="318" ht="15.75" customHeight="1">
      <c r="D318" s="20"/>
      <c r="G318" s="26"/>
      <c r="H318" s="20"/>
    </row>
    <row r="319" ht="15.75" customHeight="1">
      <c r="D319" s="20"/>
      <c r="G319" s="26"/>
      <c r="H319" s="20"/>
    </row>
    <row r="320" ht="15.75" customHeight="1">
      <c r="D320" s="20"/>
      <c r="G320" s="26"/>
      <c r="H320" s="20"/>
    </row>
    <row r="321" ht="15.75" customHeight="1">
      <c r="D321" s="20"/>
      <c r="G321" s="26"/>
      <c r="H321" s="20"/>
    </row>
    <row r="322" ht="15.75" customHeight="1">
      <c r="D322" s="20"/>
      <c r="G322" s="26"/>
      <c r="H322" s="20"/>
    </row>
    <row r="323" ht="15.75" customHeight="1">
      <c r="D323" s="20"/>
      <c r="G323" s="26"/>
      <c r="H323" s="20"/>
    </row>
    <row r="324" ht="15.75" customHeight="1">
      <c r="D324" s="20"/>
      <c r="G324" s="26"/>
      <c r="H324" s="20"/>
    </row>
    <row r="325" ht="15.75" customHeight="1">
      <c r="D325" s="20"/>
      <c r="G325" s="26"/>
      <c r="H325" s="20"/>
    </row>
    <row r="326" ht="15.75" customHeight="1">
      <c r="D326" s="20"/>
      <c r="G326" s="26"/>
      <c r="H326" s="20"/>
    </row>
    <row r="327" ht="15.75" customHeight="1">
      <c r="D327" s="20"/>
      <c r="G327" s="26"/>
      <c r="H327" s="20"/>
    </row>
    <row r="328" ht="15.75" customHeight="1">
      <c r="D328" s="20"/>
      <c r="G328" s="26"/>
      <c r="H328" s="20"/>
    </row>
    <row r="329" ht="15.75" customHeight="1">
      <c r="D329" s="20"/>
      <c r="G329" s="26"/>
      <c r="H329" s="20"/>
    </row>
    <row r="330" ht="15.75" customHeight="1">
      <c r="D330" s="20"/>
      <c r="G330" s="26"/>
      <c r="H330" s="20"/>
    </row>
    <row r="331" ht="15.75" customHeight="1">
      <c r="D331" s="20"/>
      <c r="G331" s="26"/>
      <c r="H331" s="20"/>
    </row>
    <row r="332" ht="15.75" customHeight="1">
      <c r="D332" s="20"/>
      <c r="G332" s="26"/>
      <c r="H332" s="20"/>
    </row>
    <row r="333" ht="15.75" customHeight="1">
      <c r="D333" s="20"/>
      <c r="G333" s="26"/>
      <c r="H333" s="20"/>
    </row>
    <row r="334" ht="15.75" customHeight="1">
      <c r="D334" s="20"/>
      <c r="G334" s="26"/>
      <c r="H334" s="20"/>
    </row>
    <row r="335" ht="15.75" customHeight="1">
      <c r="D335" s="20"/>
      <c r="G335" s="26"/>
      <c r="H335" s="20"/>
    </row>
    <row r="336" ht="15.75" customHeight="1">
      <c r="D336" s="20"/>
      <c r="G336" s="26"/>
      <c r="H336" s="20"/>
    </row>
    <row r="337" ht="15.75" customHeight="1">
      <c r="D337" s="20"/>
      <c r="G337" s="26"/>
      <c r="H337" s="20"/>
    </row>
    <row r="338" ht="15.75" customHeight="1">
      <c r="D338" s="20"/>
      <c r="G338" s="26"/>
      <c r="H338" s="20"/>
    </row>
    <row r="339" ht="15.75" customHeight="1">
      <c r="D339" s="20"/>
      <c r="G339" s="26"/>
      <c r="H339" s="20"/>
    </row>
    <row r="340" ht="15.75" customHeight="1">
      <c r="D340" s="20"/>
      <c r="G340" s="26"/>
      <c r="H340" s="20"/>
    </row>
    <row r="341" ht="15.75" customHeight="1">
      <c r="D341" s="20"/>
      <c r="G341" s="26"/>
      <c r="H341" s="20"/>
    </row>
    <row r="342" ht="15.75" customHeight="1">
      <c r="D342" s="20"/>
      <c r="G342" s="26"/>
      <c r="H342" s="20"/>
    </row>
    <row r="343" ht="15.75" customHeight="1">
      <c r="D343" s="20"/>
      <c r="G343" s="26"/>
      <c r="H343" s="20"/>
    </row>
    <row r="344" ht="15.75" customHeight="1">
      <c r="D344" s="20"/>
      <c r="G344" s="26"/>
      <c r="H344" s="20"/>
    </row>
    <row r="345" ht="15.75" customHeight="1">
      <c r="D345" s="20"/>
      <c r="G345" s="26"/>
      <c r="H345" s="20"/>
    </row>
    <row r="346" ht="15.75" customHeight="1">
      <c r="D346" s="20"/>
      <c r="G346" s="26"/>
      <c r="H346" s="20"/>
    </row>
    <row r="347" ht="15.75" customHeight="1">
      <c r="D347" s="20"/>
      <c r="G347" s="26"/>
      <c r="H347" s="20"/>
    </row>
    <row r="348" ht="15.75" customHeight="1">
      <c r="D348" s="20"/>
      <c r="G348" s="26"/>
      <c r="H348" s="20"/>
    </row>
    <row r="349" ht="15.75" customHeight="1">
      <c r="D349" s="20"/>
      <c r="G349" s="26"/>
      <c r="H349" s="20"/>
    </row>
    <row r="350" ht="15.75" customHeight="1">
      <c r="D350" s="20"/>
      <c r="G350" s="26"/>
      <c r="H350" s="20"/>
    </row>
    <row r="351" ht="15.75" customHeight="1">
      <c r="D351" s="20"/>
      <c r="G351" s="26"/>
      <c r="H351" s="20"/>
    </row>
    <row r="352" ht="15.75" customHeight="1">
      <c r="D352" s="20"/>
      <c r="G352" s="26"/>
      <c r="H352" s="20"/>
    </row>
    <row r="353" ht="15.75" customHeight="1">
      <c r="D353" s="20"/>
      <c r="G353" s="26"/>
      <c r="H353" s="20"/>
    </row>
    <row r="354" ht="15.75" customHeight="1">
      <c r="D354" s="20"/>
      <c r="G354" s="26"/>
      <c r="H354" s="20"/>
    </row>
    <row r="355" ht="15.75" customHeight="1">
      <c r="D355" s="20"/>
      <c r="G355" s="26"/>
      <c r="H355" s="20"/>
    </row>
    <row r="356" ht="15.75" customHeight="1">
      <c r="D356" s="20"/>
      <c r="G356" s="26"/>
      <c r="H356" s="20"/>
    </row>
    <row r="357" ht="15.75" customHeight="1">
      <c r="D357" s="20"/>
      <c r="G357" s="26"/>
      <c r="H357" s="20"/>
    </row>
    <row r="358" ht="15.75" customHeight="1">
      <c r="D358" s="20"/>
      <c r="G358" s="26"/>
      <c r="H358" s="20"/>
    </row>
    <row r="359" ht="15.75" customHeight="1">
      <c r="D359" s="20"/>
      <c r="G359" s="26"/>
      <c r="H359" s="20"/>
    </row>
    <row r="360" ht="15.75" customHeight="1">
      <c r="D360" s="20"/>
      <c r="G360" s="26"/>
      <c r="H360" s="20"/>
    </row>
    <row r="361" ht="15.75" customHeight="1">
      <c r="D361" s="20"/>
      <c r="G361" s="26"/>
      <c r="H361" s="20"/>
    </row>
    <row r="362" ht="15.75" customHeight="1">
      <c r="D362" s="20"/>
      <c r="G362" s="26"/>
      <c r="H362" s="20"/>
    </row>
    <row r="363" ht="15.75" customHeight="1">
      <c r="D363" s="20"/>
      <c r="G363" s="26"/>
      <c r="H363" s="20"/>
    </row>
    <row r="364" ht="15.75" customHeight="1">
      <c r="D364" s="20"/>
      <c r="G364" s="26"/>
      <c r="H364" s="20"/>
    </row>
    <row r="365" ht="15.75" customHeight="1">
      <c r="D365" s="20"/>
      <c r="G365" s="26"/>
      <c r="H365" s="20"/>
    </row>
    <row r="366" ht="15.75" customHeight="1">
      <c r="D366" s="20"/>
      <c r="G366" s="26"/>
      <c r="H366" s="20"/>
    </row>
    <row r="367" ht="15.75" customHeight="1">
      <c r="D367" s="20"/>
      <c r="G367" s="26"/>
      <c r="H367" s="20"/>
    </row>
    <row r="368" ht="15.75" customHeight="1">
      <c r="D368" s="20"/>
      <c r="G368" s="26"/>
      <c r="H368" s="20"/>
    </row>
    <row r="369" ht="15.75" customHeight="1">
      <c r="D369" s="20"/>
      <c r="G369" s="26"/>
      <c r="H369" s="20"/>
    </row>
    <row r="370" ht="15.75" customHeight="1">
      <c r="D370" s="20"/>
      <c r="G370" s="26"/>
      <c r="H370" s="20"/>
    </row>
    <row r="371" ht="15.75" customHeight="1">
      <c r="D371" s="20"/>
      <c r="G371" s="26"/>
      <c r="H371" s="20"/>
    </row>
    <row r="372" ht="15.75" customHeight="1">
      <c r="D372" s="20"/>
      <c r="G372" s="26"/>
      <c r="H372" s="20"/>
    </row>
    <row r="373" ht="15.75" customHeight="1">
      <c r="D373" s="20"/>
      <c r="G373" s="26"/>
      <c r="H373" s="20"/>
    </row>
    <row r="374" ht="15.75" customHeight="1">
      <c r="D374" s="20"/>
      <c r="G374" s="26"/>
      <c r="H374" s="20"/>
    </row>
    <row r="375" ht="15.75" customHeight="1">
      <c r="D375" s="20"/>
      <c r="G375" s="26"/>
      <c r="H375" s="20"/>
    </row>
    <row r="376" ht="15.75" customHeight="1">
      <c r="D376" s="20"/>
      <c r="G376" s="26"/>
      <c r="H376" s="20"/>
    </row>
    <row r="377" ht="15.75" customHeight="1">
      <c r="D377" s="20"/>
      <c r="G377" s="26"/>
      <c r="H377" s="20"/>
    </row>
    <row r="378" ht="15.75" customHeight="1">
      <c r="D378" s="20"/>
      <c r="G378" s="26"/>
      <c r="H378" s="20"/>
    </row>
    <row r="379" ht="15.75" customHeight="1">
      <c r="D379" s="20"/>
      <c r="G379" s="26"/>
      <c r="H379" s="20"/>
    </row>
    <row r="380" ht="15.75" customHeight="1">
      <c r="D380" s="20"/>
      <c r="G380" s="26"/>
      <c r="H380" s="20"/>
    </row>
    <row r="381" ht="15.75" customHeight="1">
      <c r="D381" s="20"/>
      <c r="G381" s="26"/>
      <c r="H381" s="20"/>
    </row>
    <row r="382" ht="15.75" customHeight="1">
      <c r="D382" s="20"/>
      <c r="G382" s="26"/>
      <c r="H382" s="20"/>
    </row>
    <row r="383" ht="15.75" customHeight="1">
      <c r="D383" s="20"/>
      <c r="G383" s="26"/>
      <c r="H383" s="20"/>
    </row>
    <row r="384" ht="15.75" customHeight="1">
      <c r="D384" s="20"/>
      <c r="G384" s="26"/>
      <c r="H384" s="20"/>
    </row>
    <row r="385" ht="15.75" customHeight="1">
      <c r="D385" s="20"/>
      <c r="G385" s="26"/>
      <c r="H385" s="20"/>
    </row>
    <row r="386" ht="15.75" customHeight="1">
      <c r="D386" s="20"/>
      <c r="G386" s="26"/>
      <c r="H386" s="20"/>
    </row>
    <row r="387" ht="15.75" customHeight="1">
      <c r="D387" s="20"/>
      <c r="G387" s="26"/>
      <c r="H387" s="20"/>
    </row>
    <row r="388" ht="15.75" customHeight="1">
      <c r="D388" s="20"/>
      <c r="G388" s="26"/>
      <c r="H388" s="20"/>
    </row>
    <row r="389" ht="15.75" customHeight="1">
      <c r="D389" s="20"/>
      <c r="G389" s="26"/>
      <c r="H389" s="20"/>
    </row>
    <row r="390" ht="15.75" customHeight="1">
      <c r="D390" s="20"/>
      <c r="G390" s="26"/>
      <c r="H390" s="20"/>
    </row>
    <row r="391" ht="15.75" customHeight="1">
      <c r="D391" s="20"/>
      <c r="G391" s="26"/>
      <c r="H391" s="20"/>
    </row>
    <row r="392" ht="15.75" customHeight="1">
      <c r="D392" s="20"/>
      <c r="G392" s="26"/>
      <c r="H392" s="20"/>
    </row>
    <row r="393" ht="15.75" customHeight="1">
      <c r="D393" s="20"/>
      <c r="G393" s="26"/>
      <c r="H393" s="20"/>
    </row>
    <row r="394" ht="15.75" customHeight="1">
      <c r="D394" s="20"/>
      <c r="G394" s="26"/>
      <c r="H394" s="20"/>
    </row>
    <row r="395" ht="15.75" customHeight="1">
      <c r="D395" s="20"/>
      <c r="G395" s="26"/>
      <c r="H395" s="20"/>
    </row>
    <row r="396" ht="15.75" customHeight="1">
      <c r="D396" s="20"/>
      <c r="G396" s="26"/>
      <c r="H396" s="20"/>
    </row>
    <row r="397" ht="15.75" customHeight="1">
      <c r="D397" s="20"/>
      <c r="G397" s="26"/>
      <c r="H397" s="20"/>
    </row>
    <row r="398" ht="15.75" customHeight="1">
      <c r="D398" s="20"/>
      <c r="G398" s="26"/>
      <c r="H398" s="20"/>
    </row>
    <row r="399" ht="15.75" customHeight="1">
      <c r="D399" s="20"/>
      <c r="G399" s="26"/>
      <c r="H399" s="20"/>
    </row>
    <row r="400" ht="15.75" customHeight="1">
      <c r="D400" s="20"/>
      <c r="G400" s="26"/>
      <c r="H400" s="20"/>
    </row>
    <row r="401" ht="15.75" customHeight="1">
      <c r="D401" s="20"/>
      <c r="G401" s="26"/>
      <c r="H401" s="20"/>
    </row>
    <row r="402" ht="15.75" customHeight="1">
      <c r="D402" s="20"/>
      <c r="G402" s="26"/>
      <c r="H402" s="20"/>
    </row>
    <row r="403" ht="15.75" customHeight="1">
      <c r="D403" s="20"/>
      <c r="G403" s="26"/>
      <c r="H403" s="20"/>
    </row>
    <row r="404" ht="15.75" customHeight="1">
      <c r="D404" s="20"/>
      <c r="G404" s="26"/>
      <c r="H404" s="20"/>
    </row>
    <row r="405" ht="15.75" customHeight="1">
      <c r="D405" s="20"/>
      <c r="G405" s="26"/>
      <c r="H405" s="20"/>
    </row>
    <row r="406" ht="15.75" customHeight="1">
      <c r="D406" s="20"/>
      <c r="G406" s="26"/>
      <c r="H406" s="20"/>
    </row>
    <row r="407" ht="15.75" customHeight="1">
      <c r="D407" s="20"/>
      <c r="G407" s="26"/>
      <c r="H407" s="20"/>
    </row>
    <row r="408" ht="15.75" customHeight="1">
      <c r="D408" s="20"/>
      <c r="G408" s="26"/>
      <c r="H408" s="20"/>
    </row>
    <row r="409" ht="15.75" customHeight="1">
      <c r="D409" s="20"/>
      <c r="G409" s="26"/>
      <c r="H409" s="20"/>
    </row>
    <row r="410" ht="15.75" customHeight="1">
      <c r="D410" s="20"/>
      <c r="G410" s="26"/>
      <c r="H410" s="20"/>
    </row>
    <row r="411" ht="15.75" customHeight="1">
      <c r="D411" s="20"/>
      <c r="G411" s="26"/>
      <c r="H411" s="20"/>
    </row>
    <row r="412" ht="15.75" customHeight="1">
      <c r="D412" s="20"/>
      <c r="G412" s="26"/>
      <c r="H412" s="20"/>
    </row>
    <row r="413" ht="15.75" customHeight="1">
      <c r="D413" s="20"/>
      <c r="G413" s="26"/>
      <c r="H413" s="20"/>
    </row>
    <row r="414" ht="15.75" customHeight="1">
      <c r="D414" s="20"/>
      <c r="G414" s="26"/>
      <c r="H414" s="20"/>
    </row>
    <row r="415" ht="15.75" customHeight="1">
      <c r="D415" s="20"/>
      <c r="G415" s="26"/>
      <c r="H415" s="20"/>
    </row>
    <row r="416" ht="15.75" customHeight="1">
      <c r="D416" s="20"/>
      <c r="G416" s="26"/>
      <c r="H416" s="20"/>
    </row>
    <row r="417" ht="15.75" customHeight="1">
      <c r="D417" s="20"/>
      <c r="G417" s="26"/>
      <c r="H417" s="20"/>
    </row>
    <row r="418" ht="15.75" customHeight="1">
      <c r="D418" s="20"/>
      <c r="G418" s="26"/>
      <c r="H418" s="20"/>
    </row>
    <row r="419" ht="15.75" customHeight="1">
      <c r="D419" s="20"/>
      <c r="G419" s="26"/>
      <c r="H419" s="20"/>
    </row>
    <row r="420" ht="15.75" customHeight="1">
      <c r="D420" s="20"/>
      <c r="G420" s="26"/>
      <c r="H420" s="20"/>
    </row>
    <row r="421" ht="15.75" customHeight="1">
      <c r="D421" s="20"/>
      <c r="G421" s="26"/>
      <c r="H421" s="20"/>
    </row>
    <row r="422" ht="15.75" customHeight="1">
      <c r="D422" s="20"/>
      <c r="G422" s="26"/>
      <c r="H422" s="20"/>
    </row>
    <row r="423" ht="15.75" customHeight="1">
      <c r="D423" s="20"/>
      <c r="G423" s="26"/>
      <c r="H423" s="20"/>
    </row>
    <row r="424" ht="15.75" customHeight="1">
      <c r="D424" s="20"/>
      <c r="G424" s="26"/>
      <c r="H424" s="20"/>
    </row>
    <row r="425" ht="15.75" customHeight="1">
      <c r="D425" s="20"/>
      <c r="G425" s="26"/>
      <c r="H425" s="20"/>
    </row>
    <row r="426" ht="15.75" customHeight="1">
      <c r="D426" s="20"/>
      <c r="G426" s="26"/>
      <c r="H426" s="20"/>
    </row>
    <row r="427" ht="15.75" customHeight="1">
      <c r="D427" s="20"/>
      <c r="G427" s="26"/>
      <c r="H427" s="20"/>
    </row>
    <row r="428" ht="15.75" customHeight="1">
      <c r="D428" s="20"/>
      <c r="G428" s="26"/>
      <c r="H428" s="20"/>
    </row>
    <row r="429" ht="15.75" customHeight="1">
      <c r="D429" s="20"/>
      <c r="G429" s="26"/>
      <c r="H429" s="20"/>
    </row>
    <row r="430" ht="15.75" customHeight="1">
      <c r="D430" s="20"/>
      <c r="G430" s="26"/>
      <c r="H430" s="20"/>
    </row>
    <row r="431" ht="15.75" customHeight="1">
      <c r="D431" s="20"/>
      <c r="G431" s="26"/>
      <c r="H431" s="20"/>
    </row>
    <row r="432" ht="15.75" customHeight="1">
      <c r="D432" s="20"/>
      <c r="G432" s="26"/>
      <c r="H432" s="20"/>
    </row>
    <row r="433" ht="15.75" customHeight="1">
      <c r="D433" s="20"/>
      <c r="G433" s="26"/>
      <c r="H433" s="20"/>
    </row>
    <row r="434" ht="15.75" customHeight="1">
      <c r="D434" s="20"/>
      <c r="G434" s="26"/>
      <c r="H434" s="20"/>
    </row>
    <row r="435" ht="15.75" customHeight="1">
      <c r="D435" s="20"/>
      <c r="G435" s="26"/>
      <c r="H435" s="20"/>
    </row>
    <row r="436" ht="15.75" customHeight="1">
      <c r="D436" s="20"/>
      <c r="G436" s="26"/>
      <c r="H436" s="20"/>
    </row>
    <row r="437" ht="15.75" customHeight="1">
      <c r="D437" s="20"/>
      <c r="G437" s="26"/>
      <c r="H437" s="20"/>
    </row>
    <row r="438" ht="15.75" customHeight="1">
      <c r="D438" s="20"/>
      <c r="G438" s="26"/>
      <c r="H438" s="20"/>
    </row>
    <row r="439" ht="15.75" customHeight="1">
      <c r="D439" s="20"/>
      <c r="G439" s="26"/>
      <c r="H439" s="20"/>
    </row>
    <row r="440" ht="15.75" customHeight="1">
      <c r="D440" s="20"/>
      <c r="G440" s="26"/>
      <c r="H440" s="20"/>
    </row>
    <row r="441" ht="15.75" customHeight="1">
      <c r="D441" s="20"/>
      <c r="G441" s="26"/>
      <c r="H441" s="20"/>
    </row>
    <row r="442" ht="15.75" customHeight="1">
      <c r="D442" s="20"/>
      <c r="G442" s="26"/>
      <c r="H442" s="20"/>
    </row>
    <row r="443" ht="15.75" customHeight="1">
      <c r="D443" s="20"/>
      <c r="G443" s="26"/>
      <c r="H443" s="20"/>
    </row>
    <row r="444" ht="15.75" customHeight="1">
      <c r="D444" s="20"/>
      <c r="G444" s="26"/>
      <c r="H444" s="20"/>
    </row>
    <row r="445" ht="15.75" customHeight="1">
      <c r="D445" s="20"/>
      <c r="G445" s="26"/>
      <c r="H445" s="20"/>
    </row>
    <row r="446" ht="15.75" customHeight="1">
      <c r="D446" s="20"/>
      <c r="G446" s="26"/>
      <c r="H446" s="20"/>
    </row>
    <row r="447" ht="15.75" customHeight="1">
      <c r="D447" s="20"/>
      <c r="G447" s="26"/>
      <c r="H447" s="20"/>
    </row>
    <row r="448" ht="15.75" customHeight="1">
      <c r="D448" s="20"/>
      <c r="G448" s="26"/>
      <c r="H448" s="20"/>
    </row>
    <row r="449" ht="15.75" customHeight="1">
      <c r="D449" s="20"/>
      <c r="G449" s="26"/>
      <c r="H449" s="20"/>
    </row>
    <row r="450" ht="15.75" customHeight="1">
      <c r="D450" s="20"/>
      <c r="G450" s="26"/>
      <c r="H450" s="20"/>
    </row>
    <row r="451" ht="15.75" customHeight="1">
      <c r="D451" s="20"/>
      <c r="G451" s="26"/>
      <c r="H451" s="20"/>
    </row>
    <row r="452" ht="15.75" customHeight="1">
      <c r="D452" s="20"/>
      <c r="G452" s="26"/>
      <c r="H452" s="20"/>
    </row>
    <row r="453" ht="15.75" customHeight="1">
      <c r="D453" s="20"/>
      <c r="G453" s="26"/>
      <c r="H453" s="20"/>
    </row>
    <row r="454" ht="15.75" customHeight="1">
      <c r="D454" s="20"/>
      <c r="G454" s="26"/>
      <c r="H454" s="20"/>
    </row>
    <row r="455" ht="15.75" customHeight="1">
      <c r="D455" s="20"/>
      <c r="G455" s="26"/>
      <c r="H455" s="20"/>
    </row>
    <row r="456" ht="15.75" customHeight="1">
      <c r="D456" s="20"/>
      <c r="G456" s="26"/>
      <c r="H456" s="20"/>
    </row>
    <row r="457" ht="15.75" customHeight="1">
      <c r="D457" s="20"/>
      <c r="G457" s="26"/>
      <c r="H457" s="20"/>
    </row>
    <row r="458" ht="15.75" customHeight="1">
      <c r="D458" s="20"/>
      <c r="G458" s="26"/>
      <c r="H458" s="20"/>
    </row>
    <row r="459" ht="15.75" customHeight="1">
      <c r="D459" s="20"/>
      <c r="G459" s="26"/>
      <c r="H459" s="20"/>
    </row>
    <row r="460" ht="15.75" customHeight="1">
      <c r="D460" s="20"/>
      <c r="G460" s="26"/>
      <c r="H460" s="20"/>
    </row>
    <row r="461" ht="15.75" customHeight="1">
      <c r="D461" s="20"/>
      <c r="G461" s="26"/>
      <c r="H461" s="20"/>
    </row>
    <row r="462" ht="15.75" customHeight="1">
      <c r="D462" s="20"/>
      <c r="G462" s="26"/>
      <c r="H462" s="20"/>
    </row>
    <row r="463" ht="15.75" customHeight="1">
      <c r="D463" s="20"/>
      <c r="G463" s="26"/>
      <c r="H463" s="20"/>
    </row>
    <row r="464" ht="15.75" customHeight="1">
      <c r="D464" s="20"/>
      <c r="G464" s="26"/>
      <c r="H464" s="20"/>
    </row>
    <row r="465" ht="15.75" customHeight="1">
      <c r="D465" s="20"/>
      <c r="G465" s="26"/>
      <c r="H465" s="20"/>
    </row>
    <row r="466" ht="15.75" customHeight="1">
      <c r="D466" s="20"/>
      <c r="G466" s="26"/>
      <c r="H466" s="20"/>
    </row>
    <row r="467" ht="15.75" customHeight="1">
      <c r="D467" s="20"/>
      <c r="G467" s="26"/>
      <c r="H467" s="20"/>
    </row>
    <row r="468" ht="15.75" customHeight="1">
      <c r="D468" s="20"/>
      <c r="G468" s="26"/>
      <c r="H468" s="20"/>
    </row>
    <row r="469" ht="15.75" customHeight="1">
      <c r="D469" s="20"/>
      <c r="G469" s="26"/>
      <c r="H469" s="20"/>
    </row>
    <row r="470" ht="15.75" customHeight="1">
      <c r="D470" s="20"/>
      <c r="G470" s="26"/>
      <c r="H470" s="20"/>
    </row>
    <row r="471" ht="15.75" customHeight="1">
      <c r="D471" s="20"/>
      <c r="G471" s="26"/>
      <c r="H471" s="20"/>
    </row>
    <row r="472" ht="15.75" customHeight="1">
      <c r="D472" s="20"/>
      <c r="G472" s="26"/>
      <c r="H472" s="20"/>
    </row>
    <row r="473" ht="15.75" customHeight="1">
      <c r="D473" s="20"/>
      <c r="G473" s="26"/>
      <c r="H473" s="20"/>
    </row>
    <row r="474" ht="15.75" customHeight="1">
      <c r="D474" s="20"/>
      <c r="G474" s="26"/>
      <c r="H474" s="20"/>
    </row>
    <row r="475" ht="15.75" customHeight="1">
      <c r="D475" s="20"/>
      <c r="G475" s="26"/>
      <c r="H475" s="20"/>
    </row>
    <row r="476" ht="15.75" customHeight="1">
      <c r="D476" s="20"/>
      <c r="G476" s="26"/>
      <c r="H476" s="20"/>
    </row>
    <row r="477" ht="15.75" customHeight="1">
      <c r="D477" s="20"/>
      <c r="G477" s="26"/>
      <c r="H477" s="20"/>
    </row>
    <row r="478" ht="15.75" customHeight="1">
      <c r="D478" s="20"/>
      <c r="G478" s="26"/>
      <c r="H478" s="20"/>
    </row>
    <row r="479" ht="15.75" customHeight="1">
      <c r="D479" s="20"/>
      <c r="G479" s="26"/>
      <c r="H479" s="20"/>
    </row>
    <row r="480" ht="15.75" customHeight="1">
      <c r="D480" s="20"/>
      <c r="G480" s="26"/>
      <c r="H480" s="20"/>
    </row>
    <row r="481" ht="15.75" customHeight="1">
      <c r="D481" s="20"/>
      <c r="G481" s="26"/>
      <c r="H481" s="20"/>
    </row>
    <row r="482" ht="15.75" customHeight="1">
      <c r="D482" s="20"/>
      <c r="G482" s="26"/>
      <c r="H482" s="20"/>
    </row>
    <row r="483" ht="15.75" customHeight="1">
      <c r="D483" s="20"/>
      <c r="G483" s="26"/>
      <c r="H483" s="20"/>
    </row>
    <row r="484" ht="15.75" customHeight="1">
      <c r="D484" s="20"/>
      <c r="G484" s="26"/>
      <c r="H484" s="20"/>
    </row>
    <row r="485" ht="15.75" customHeight="1">
      <c r="D485" s="20"/>
      <c r="G485" s="26"/>
      <c r="H485" s="20"/>
    </row>
    <row r="486" ht="15.75" customHeight="1">
      <c r="D486" s="20"/>
      <c r="G486" s="26"/>
      <c r="H486" s="20"/>
    </row>
    <row r="487" ht="15.75" customHeight="1">
      <c r="D487" s="20"/>
      <c r="G487" s="26"/>
      <c r="H487" s="20"/>
    </row>
    <row r="488" ht="15.75" customHeight="1">
      <c r="D488" s="20"/>
      <c r="G488" s="26"/>
      <c r="H488" s="20"/>
    </row>
    <row r="489" ht="15.75" customHeight="1">
      <c r="D489" s="20"/>
      <c r="G489" s="26"/>
      <c r="H489" s="20"/>
    </row>
    <row r="490" ht="15.75" customHeight="1">
      <c r="D490" s="20"/>
      <c r="G490" s="26"/>
      <c r="H490" s="20"/>
    </row>
    <row r="491" ht="15.75" customHeight="1">
      <c r="D491" s="20"/>
      <c r="G491" s="26"/>
      <c r="H491" s="20"/>
    </row>
    <row r="492" ht="15.75" customHeight="1">
      <c r="D492" s="20"/>
      <c r="G492" s="26"/>
      <c r="H492" s="20"/>
    </row>
    <row r="493" ht="15.75" customHeight="1">
      <c r="D493" s="20"/>
      <c r="G493" s="26"/>
      <c r="H493" s="20"/>
    </row>
    <row r="494" ht="15.75" customHeight="1">
      <c r="D494" s="20"/>
      <c r="G494" s="26"/>
      <c r="H494" s="20"/>
    </row>
    <row r="495" ht="15.75" customHeight="1">
      <c r="D495" s="20"/>
      <c r="G495" s="26"/>
      <c r="H495" s="20"/>
    </row>
    <row r="496" ht="15.75" customHeight="1">
      <c r="D496" s="20"/>
      <c r="G496" s="26"/>
      <c r="H496" s="20"/>
    </row>
    <row r="497" ht="15.75" customHeight="1">
      <c r="D497" s="20"/>
      <c r="G497" s="26"/>
      <c r="H497" s="20"/>
    </row>
    <row r="498" ht="15.75" customHeight="1">
      <c r="D498" s="20"/>
      <c r="G498" s="26"/>
      <c r="H498" s="20"/>
    </row>
    <row r="499" ht="15.75" customHeight="1">
      <c r="D499" s="20"/>
      <c r="G499" s="26"/>
      <c r="H499" s="20"/>
    </row>
    <row r="500" ht="15.75" customHeight="1">
      <c r="D500" s="20"/>
      <c r="G500" s="26"/>
      <c r="H500" s="20"/>
    </row>
    <row r="501" ht="15.75" customHeight="1">
      <c r="D501" s="20"/>
      <c r="G501" s="26"/>
      <c r="H501" s="20"/>
    </row>
    <row r="502" ht="15.75" customHeight="1">
      <c r="D502" s="20"/>
      <c r="G502" s="26"/>
      <c r="H502" s="20"/>
    </row>
    <row r="503" ht="15.75" customHeight="1">
      <c r="D503" s="20"/>
      <c r="G503" s="26"/>
      <c r="H503" s="20"/>
    </row>
    <row r="504" ht="15.75" customHeight="1">
      <c r="D504" s="20"/>
      <c r="G504" s="26"/>
      <c r="H504" s="20"/>
    </row>
    <row r="505" ht="15.75" customHeight="1">
      <c r="D505" s="20"/>
      <c r="G505" s="26"/>
      <c r="H505" s="20"/>
    </row>
    <row r="506" ht="15.75" customHeight="1">
      <c r="D506" s="20"/>
      <c r="G506" s="26"/>
      <c r="H506" s="20"/>
    </row>
    <row r="507" ht="15.75" customHeight="1">
      <c r="D507" s="20"/>
      <c r="G507" s="26"/>
      <c r="H507" s="20"/>
    </row>
    <row r="508" ht="15.75" customHeight="1">
      <c r="D508" s="20"/>
      <c r="G508" s="26"/>
      <c r="H508" s="20"/>
    </row>
    <row r="509" ht="15.75" customHeight="1">
      <c r="D509" s="20"/>
      <c r="G509" s="26"/>
      <c r="H509" s="20"/>
    </row>
    <row r="510" ht="15.75" customHeight="1">
      <c r="D510" s="20"/>
      <c r="G510" s="26"/>
      <c r="H510" s="20"/>
    </row>
    <row r="511" ht="15.75" customHeight="1">
      <c r="D511" s="20"/>
      <c r="G511" s="26"/>
      <c r="H511" s="20"/>
    </row>
    <row r="512" ht="15.75" customHeight="1">
      <c r="D512" s="20"/>
      <c r="G512" s="26"/>
      <c r="H512" s="20"/>
    </row>
    <row r="513" ht="15.75" customHeight="1">
      <c r="D513" s="20"/>
      <c r="G513" s="26"/>
      <c r="H513" s="20"/>
    </row>
    <row r="514" ht="15.75" customHeight="1">
      <c r="D514" s="20"/>
      <c r="G514" s="26"/>
      <c r="H514" s="20"/>
    </row>
    <row r="515" ht="15.75" customHeight="1">
      <c r="D515" s="20"/>
      <c r="G515" s="26"/>
      <c r="H515" s="20"/>
    </row>
    <row r="516" ht="15.75" customHeight="1">
      <c r="D516" s="20"/>
      <c r="G516" s="26"/>
      <c r="H516" s="20"/>
    </row>
    <row r="517" ht="15.75" customHeight="1">
      <c r="D517" s="20"/>
      <c r="G517" s="26"/>
      <c r="H517" s="20"/>
    </row>
    <row r="518" ht="15.75" customHeight="1">
      <c r="D518" s="20"/>
      <c r="G518" s="26"/>
      <c r="H518" s="20"/>
    </row>
    <row r="519" ht="15.75" customHeight="1">
      <c r="D519" s="20"/>
      <c r="G519" s="26"/>
      <c r="H519" s="20"/>
    </row>
    <row r="520" ht="15.75" customHeight="1">
      <c r="D520" s="20"/>
      <c r="G520" s="26"/>
      <c r="H520" s="20"/>
    </row>
    <row r="521" ht="15.75" customHeight="1">
      <c r="D521" s="20"/>
      <c r="G521" s="26"/>
      <c r="H521" s="20"/>
    </row>
    <row r="522" ht="15.75" customHeight="1">
      <c r="D522" s="20"/>
      <c r="G522" s="26"/>
      <c r="H522" s="20"/>
    </row>
    <row r="523" ht="15.75" customHeight="1">
      <c r="D523" s="20"/>
      <c r="G523" s="26"/>
      <c r="H523" s="20"/>
    </row>
    <row r="524" ht="15.75" customHeight="1">
      <c r="D524" s="20"/>
      <c r="G524" s="26"/>
      <c r="H524" s="20"/>
    </row>
    <row r="525" ht="15.75" customHeight="1">
      <c r="D525" s="20"/>
      <c r="G525" s="26"/>
      <c r="H525" s="20"/>
    </row>
    <row r="526" ht="15.75" customHeight="1">
      <c r="D526" s="20"/>
      <c r="G526" s="26"/>
      <c r="H526" s="20"/>
    </row>
    <row r="527" ht="15.75" customHeight="1">
      <c r="D527" s="20"/>
      <c r="G527" s="26"/>
      <c r="H527" s="20"/>
    </row>
    <row r="528" ht="15.75" customHeight="1">
      <c r="D528" s="20"/>
      <c r="G528" s="26"/>
      <c r="H528" s="20"/>
    </row>
    <row r="529" ht="15.75" customHeight="1">
      <c r="D529" s="20"/>
      <c r="G529" s="26"/>
      <c r="H529" s="20"/>
    </row>
    <row r="530" ht="15.75" customHeight="1">
      <c r="D530" s="20"/>
      <c r="G530" s="26"/>
      <c r="H530" s="20"/>
    </row>
    <row r="531" ht="15.75" customHeight="1">
      <c r="D531" s="20"/>
      <c r="G531" s="26"/>
      <c r="H531" s="20"/>
    </row>
    <row r="532" ht="15.75" customHeight="1">
      <c r="D532" s="20"/>
      <c r="G532" s="26"/>
      <c r="H532" s="20"/>
    </row>
    <row r="533" ht="15.75" customHeight="1">
      <c r="D533" s="20"/>
      <c r="G533" s="26"/>
      <c r="H533" s="20"/>
    </row>
    <row r="534" ht="15.75" customHeight="1">
      <c r="D534" s="20"/>
      <c r="G534" s="26"/>
      <c r="H534" s="20"/>
    </row>
    <row r="535" ht="15.75" customHeight="1">
      <c r="D535" s="20"/>
      <c r="G535" s="26"/>
      <c r="H535" s="20"/>
    </row>
    <row r="536" ht="15.75" customHeight="1">
      <c r="D536" s="20"/>
      <c r="G536" s="26"/>
      <c r="H536" s="20"/>
    </row>
    <row r="537" ht="15.75" customHeight="1">
      <c r="D537" s="20"/>
      <c r="G537" s="26"/>
      <c r="H537" s="20"/>
    </row>
    <row r="538" ht="15.75" customHeight="1">
      <c r="D538" s="20"/>
      <c r="G538" s="26"/>
      <c r="H538" s="20"/>
    </row>
    <row r="539" ht="15.75" customHeight="1">
      <c r="D539" s="20"/>
      <c r="G539" s="26"/>
      <c r="H539" s="20"/>
    </row>
    <row r="540" ht="15.75" customHeight="1">
      <c r="D540" s="20"/>
      <c r="G540" s="26"/>
      <c r="H540" s="20"/>
    </row>
    <row r="541" ht="15.75" customHeight="1">
      <c r="D541" s="20"/>
      <c r="G541" s="26"/>
      <c r="H541" s="20"/>
    </row>
    <row r="542" ht="15.75" customHeight="1">
      <c r="D542" s="20"/>
      <c r="G542" s="26"/>
      <c r="H542" s="20"/>
    </row>
    <row r="543" ht="15.75" customHeight="1">
      <c r="D543" s="20"/>
      <c r="G543" s="26"/>
      <c r="H543" s="20"/>
    </row>
    <row r="544" ht="15.75" customHeight="1">
      <c r="D544" s="20"/>
      <c r="G544" s="26"/>
      <c r="H544" s="20"/>
    </row>
    <row r="545" ht="15.75" customHeight="1">
      <c r="D545" s="20"/>
      <c r="G545" s="26"/>
      <c r="H545" s="20"/>
    </row>
    <row r="546" ht="15.75" customHeight="1">
      <c r="D546" s="20"/>
      <c r="G546" s="26"/>
      <c r="H546" s="20"/>
    </row>
    <row r="547" ht="15.75" customHeight="1">
      <c r="D547" s="20"/>
      <c r="G547" s="26"/>
      <c r="H547" s="20"/>
    </row>
    <row r="548" ht="15.75" customHeight="1">
      <c r="D548" s="20"/>
      <c r="G548" s="26"/>
      <c r="H548" s="20"/>
    </row>
    <row r="549" ht="15.75" customHeight="1">
      <c r="D549" s="20"/>
      <c r="G549" s="26"/>
      <c r="H549" s="20"/>
    </row>
    <row r="550" ht="15.75" customHeight="1">
      <c r="D550" s="20"/>
      <c r="G550" s="26"/>
      <c r="H550" s="20"/>
    </row>
    <row r="551" ht="15.75" customHeight="1">
      <c r="D551" s="20"/>
      <c r="G551" s="26"/>
      <c r="H551" s="20"/>
    </row>
    <row r="552" ht="15.75" customHeight="1">
      <c r="D552" s="20"/>
      <c r="G552" s="26"/>
      <c r="H552" s="20"/>
    </row>
    <row r="553" ht="15.75" customHeight="1">
      <c r="D553" s="20"/>
      <c r="G553" s="26"/>
      <c r="H553" s="20"/>
    </row>
    <row r="554" ht="15.75" customHeight="1">
      <c r="D554" s="20"/>
      <c r="G554" s="26"/>
      <c r="H554" s="20"/>
    </row>
    <row r="555" ht="15.75" customHeight="1">
      <c r="D555" s="20"/>
      <c r="G555" s="26"/>
      <c r="H555" s="20"/>
    </row>
    <row r="556" ht="15.75" customHeight="1">
      <c r="D556" s="20"/>
      <c r="G556" s="26"/>
      <c r="H556" s="20"/>
    </row>
    <row r="557" ht="15.75" customHeight="1">
      <c r="D557" s="20"/>
      <c r="G557" s="26"/>
      <c r="H557" s="20"/>
    </row>
    <row r="558" ht="15.75" customHeight="1">
      <c r="D558" s="20"/>
      <c r="G558" s="26"/>
      <c r="H558" s="20"/>
    </row>
    <row r="559" ht="15.75" customHeight="1">
      <c r="D559" s="20"/>
      <c r="G559" s="26"/>
      <c r="H559" s="20"/>
    </row>
    <row r="560" ht="15.75" customHeight="1">
      <c r="D560" s="20"/>
      <c r="G560" s="26"/>
      <c r="H560" s="20"/>
    </row>
    <row r="561" ht="15.75" customHeight="1">
      <c r="D561" s="20"/>
      <c r="G561" s="26"/>
      <c r="H561" s="20"/>
    </row>
    <row r="562" ht="15.75" customHeight="1">
      <c r="D562" s="20"/>
      <c r="G562" s="26"/>
      <c r="H562" s="20"/>
    </row>
    <row r="563" ht="15.75" customHeight="1">
      <c r="D563" s="20"/>
      <c r="G563" s="26"/>
      <c r="H563" s="20"/>
    </row>
    <row r="564" ht="15.75" customHeight="1">
      <c r="D564" s="20"/>
      <c r="G564" s="26"/>
      <c r="H564" s="20"/>
    </row>
    <row r="565" ht="15.75" customHeight="1">
      <c r="D565" s="20"/>
      <c r="G565" s="26"/>
      <c r="H565" s="20"/>
    </row>
    <row r="566" ht="15.75" customHeight="1">
      <c r="D566" s="20"/>
      <c r="G566" s="26"/>
      <c r="H566" s="20"/>
    </row>
    <row r="567" ht="15.75" customHeight="1">
      <c r="D567" s="20"/>
      <c r="G567" s="26"/>
      <c r="H567" s="20"/>
    </row>
    <row r="568" ht="15.75" customHeight="1">
      <c r="D568" s="20"/>
      <c r="G568" s="26"/>
      <c r="H568" s="20"/>
    </row>
    <row r="569" ht="15.75" customHeight="1">
      <c r="D569" s="20"/>
      <c r="G569" s="26"/>
      <c r="H569" s="20"/>
    </row>
    <row r="570" ht="15.75" customHeight="1">
      <c r="D570" s="20"/>
      <c r="G570" s="26"/>
      <c r="H570" s="20"/>
    </row>
    <row r="571" ht="15.75" customHeight="1">
      <c r="D571" s="20"/>
      <c r="G571" s="26"/>
      <c r="H571" s="20"/>
    </row>
    <row r="572" ht="15.75" customHeight="1">
      <c r="D572" s="20"/>
      <c r="G572" s="26"/>
      <c r="H572" s="20"/>
    </row>
    <row r="573" ht="15.75" customHeight="1">
      <c r="D573" s="20"/>
      <c r="G573" s="26"/>
      <c r="H573" s="20"/>
    </row>
    <row r="574" ht="15.75" customHeight="1">
      <c r="D574" s="20"/>
      <c r="G574" s="26"/>
      <c r="H574" s="20"/>
    </row>
    <row r="575" ht="15.75" customHeight="1">
      <c r="D575" s="20"/>
      <c r="G575" s="26"/>
      <c r="H575" s="20"/>
    </row>
    <row r="576" ht="15.75" customHeight="1">
      <c r="D576" s="20"/>
      <c r="G576" s="26"/>
      <c r="H576" s="20"/>
    </row>
    <row r="577" ht="15.75" customHeight="1">
      <c r="D577" s="20"/>
      <c r="G577" s="26"/>
      <c r="H577" s="20"/>
    </row>
    <row r="578" ht="15.75" customHeight="1">
      <c r="D578" s="20"/>
      <c r="G578" s="26"/>
      <c r="H578" s="20"/>
    </row>
    <row r="579" ht="15.75" customHeight="1">
      <c r="D579" s="20"/>
      <c r="G579" s="26"/>
      <c r="H579" s="20"/>
    </row>
    <row r="580" ht="15.75" customHeight="1">
      <c r="D580" s="20"/>
      <c r="G580" s="26"/>
      <c r="H580" s="20"/>
    </row>
    <row r="581" ht="15.75" customHeight="1">
      <c r="D581" s="20"/>
      <c r="G581" s="26"/>
      <c r="H581" s="20"/>
    </row>
    <row r="582" ht="15.75" customHeight="1">
      <c r="D582" s="20"/>
      <c r="G582" s="26"/>
      <c r="H582" s="20"/>
    </row>
    <row r="583" ht="15.75" customHeight="1">
      <c r="D583" s="20"/>
      <c r="G583" s="26"/>
      <c r="H583" s="20"/>
    </row>
    <row r="584" ht="15.75" customHeight="1">
      <c r="D584" s="20"/>
      <c r="G584" s="26"/>
      <c r="H584" s="20"/>
    </row>
    <row r="585" ht="15.75" customHeight="1">
      <c r="D585" s="20"/>
      <c r="G585" s="26"/>
      <c r="H585" s="20"/>
    </row>
    <row r="586" ht="15.75" customHeight="1">
      <c r="D586" s="20"/>
      <c r="G586" s="26"/>
      <c r="H586" s="20"/>
    </row>
    <row r="587" ht="15.75" customHeight="1">
      <c r="D587" s="20"/>
      <c r="G587" s="26"/>
      <c r="H587" s="20"/>
    </row>
    <row r="588" ht="15.75" customHeight="1">
      <c r="D588" s="20"/>
      <c r="G588" s="26"/>
      <c r="H588" s="20"/>
    </row>
    <row r="589" ht="15.75" customHeight="1">
      <c r="D589" s="20"/>
      <c r="G589" s="26"/>
      <c r="H589" s="20"/>
    </row>
    <row r="590" ht="15.75" customHeight="1">
      <c r="D590" s="20"/>
      <c r="G590" s="26"/>
      <c r="H590" s="20"/>
    </row>
    <row r="591" ht="15.75" customHeight="1">
      <c r="D591" s="20"/>
      <c r="G591" s="26"/>
      <c r="H591" s="20"/>
    </row>
    <row r="592" ht="15.75" customHeight="1">
      <c r="D592" s="20"/>
      <c r="G592" s="26"/>
      <c r="H592" s="20"/>
    </row>
    <row r="593" ht="15.75" customHeight="1">
      <c r="D593" s="20"/>
      <c r="G593" s="26"/>
      <c r="H593" s="20"/>
    </row>
    <row r="594" ht="15.75" customHeight="1">
      <c r="D594" s="20"/>
      <c r="G594" s="26"/>
      <c r="H594" s="20"/>
    </row>
    <row r="595" ht="15.75" customHeight="1">
      <c r="D595" s="20"/>
      <c r="G595" s="26"/>
      <c r="H595" s="20"/>
    </row>
    <row r="596" ht="15.75" customHeight="1">
      <c r="D596" s="20"/>
      <c r="G596" s="26"/>
      <c r="H596" s="20"/>
    </row>
    <row r="597" ht="15.75" customHeight="1">
      <c r="D597" s="20"/>
      <c r="G597" s="26"/>
      <c r="H597" s="20"/>
    </row>
    <row r="598" ht="15.75" customHeight="1">
      <c r="D598" s="20"/>
      <c r="G598" s="26"/>
      <c r="H598" s="20"/>
    </row>
    <row r="599" ht="15.75" customHeight="1">
      <c r="D599" s="20"/>
      <c r="G599" s="26"/>
      <c r="H599" s="20"/>
    </row>
    <row r="600" ht="15.75" customHeight="1">
      <c r="D600" s="20"/>
      <c r="G600" s="26"/>
      <c r="H600" s="20"/>
    </row>
    <row r="601" ht="15.75" customHeight="1">
      <c r="D601" s="20"/>
      <c r="G601" s="26"/>
      <c r="H601" s="20"/>
    </row>
    <row r="602" ht="15.75" customHeight="1">
      <c r="D602" s="20"/>
      <c r="G602" s="26"/>
      <c r="H602" s="20"/>
    </row>
    <row r="603" ht="15.75" customHeight="1">
      <c r="D603" s="20"/>
      <c r="G603" s="26"/>
      <c r="H603" s="20"/>
    </row>
    <row r="604" ht="15.75" customHeight="1">
      <c r="D604" s="20"/>
      <c r="G604" s="26"/>
      <c r="H604" s="20"/>
    </row>
    <row r="605" ht="15.75" customHeight="1">
      <c r="D605" s="20"/>
      <c r="G605" s="26"/>
      <c r="H605" s="20"/>
    </row>
    <row r="606" ht="15.75" customHeight="1">
      <c r="D606" s="20"/>
      <c r="G606" s="26"/>
      <c r="H606" s="20"/>
    </row>
    <row r="607" ht="15.75" customHeight="1">
      <c r="D607" s="20"/>
      <c r="G607" s="26"/>
      <c r="H607" s="20"/>
    </row>
    <row r="608" ht="15.75" customHeight="1">
      <c r="D608" s="20"/>
      <c r="G608" s="26"/>
      <c r="H608" s="20"/>
    </row>
    <row r="609" ht="15.75" customHeight="1">
      <c r="D609" s="20"/>
      <c r="G609" s="26"/>
      <c r="H609" s="20"/>
    </row>
    <row r="610" ht="15.75" customHeight="1">
      <c r="D610" s="20"/>
      <c r="G610" s="26"/>
      <c r="H610" s="20"/>
    </row>
    <row r="611" ht="15.75" customHeight="1">
      <c r="D611" s="20"/>
      <c r="G611" s="26"/>
      <c r="H611" s="20"/>
    </row>
    <row r="612" ht="15.75" customHeight="1">
      <c r="D612" s="20"/>
      <c r="G612" s="26"/>
      <c r="H612" s="20"/>
    </row>
    <row r="613" ht="15.75" customHeight="1">
      <c r="D613" s="20"/>
      <c r="G613" s="26"/>
      <c r="H613" s="20"/>
    </row>
    <row r="614" ht="15.75" customHeight="1">
      <c r="D614" s="20"/>
      <c r="G614" s="26"/>
      <c r="H614" s="20"/>
    </row>
    <row r="615" ht="15.75" customHeight="1">
      <c r="D615" s="20"/>
      <c r="G615" s="26"/>
      <c r="H615" s="20"/>
    </row>
    <row r="616" ht="15.75" customHeight="1">
      <c r="D616" s="20"/>
      <c r="G616" s="26"/>
      <c r="H616" s="20"/>
    </row>
    <row r="617" ht="15.75" customHeight="1">
      <c r="D617" s="20"/>
      <c r="G617" s="26"/>
      <c r="H617" s="20"/>
    </row>
    <row r="618" ht="15.75" customHeight="1">
      <c r="D618" s="20"/>
      <c r="G618" s="26"/>
      <c r="H618" s="20"/>
    </row>
    <row r="619" ht="15.75" customHeight="1">
      <c r="D619" s="20"/>
      <c r="G619" s="26"/>
      <c r="H619" s="20"/>
    </row>
    <row r="620" ht="15.75" customHeight="1">
      <c r="D620" s="20"/>
      <c r="G620" s="26"/>
      <c r="H620" s="20"/>
    </row>
    <row r="621" ht="15.75" customHeight="1">
      <c r="D621" s="20"/>
      <c r="G621" s="26"/>
      <c r="H621" s="20"/>
    </row>
    <row r="622" ht="15.75" customHeight="1">
      <c r="D622" s="20"/>
      <c r="G622" s="26"/>
      <c r="H622" s="20"/>
    </row>
    <row r="623" ht="15.75" customHeight="1">
      <c r="D623" s="20"/>
      <c r="G623" s="26"/>
      <c r="H623" s="20"/>
    </row>
    <row r="624" ht="15.75" customHeight="1">
      <c r="D624" s="20"/>
      <c r="G624" s="26"/>
      <c r="H624" s="20"/>
    </row>
    <row r="625" ht="15.75" customHeight="1">
      <c r="D625" s="20"/>
      <c r="G625" s="26"/>
      <c r="H625" s="20"/>
    </row>
    <row r="626" ht="15.75" customHeight="1">
      <c r="D626" s="20"/>
      <c r="G626" s="26"/>
      <c r="H626" s="20"/>
    </row>
    <row r="627" ht="15.75" customHeight="1">
      <c r="D627" s="20"/>
      <c r="G627" s="26"/>
      <c r="H627" s="20"/>
    </row>
    <row r="628" ht="15.75" customHeight="1">
      <c r="D628" s="20"/>
      <c r="G628" s="26"/>
      <c r="H628" s="20"/>
    </row>
    <row r="629" ht="15.75" customHeight="1">
      <c r="D629" s="20"/>
      <c r="G629" s="26"/>
      <c r="H629" s="20"/>
    </row>
    <row r="630" ht="15.75" customHeight="1">
      <c r="D630" s="20"/>
      <c r="G630" s="26"/>
      <c r="H630" s="20"/>
    </row>
    <row r="631" ht="15.75" customHeight="1">
      <c r="D631" s="20"/>
      <c r="G631" s="26"/>
      <c r="H631" s="20"/>
    </row>
    <row r="632" ht="15.75" customHeight="1">
      <c r="D632" s="20"/>
      <c r="G632" s="26"/>
      <c r="H632" s="20"/>
    </row>
    <row r="633" ht="15.75" customHeight="1">
      <c r="D633" s="20"/>
      <c r="G633" s="26"/>
      <c r="H633" s="20"/>
    </row>
    <row r="634" ht="15.75" customHeight="1">
      <c r="D634" s="20"/>
      <c r="G634" s="26"/>
      <c r="H634" s="20"/>
    </row>
    <row r="635" ht="15.75" customHeight="1">
      <c r="D635" s="20"/>
      <c r="G635" s="26"/>
      <c r="H635" s="20"/>
    </row>
    <row r="636" ht="15.75" customHeight="1">
      <c r="D636" s="20"/>
      <c r="G636" s="26"/>
      <c r="H636" s="20"/>
    </row>
    <row r="637" ht="15.75" customHeight="1">
      <c r="D637" s="20"/>
      <c r="G637" s="26"/>
      <c r="H637" s="20"/>
    </row>
    <row r="638" ht="15.75" customHeight="1">
      <c r="D638" s="20"/>
      <c r="G638" s="26"/>
      <c r="H638" s="20"/>
    </row>
    <row r="639" ht="15.75" customHeight="1">
      <c r="D639" s="20"/>
      <c r="G639" s="26"/>
      <c r="H639" s="20"/>
    </row>
    <row r="640" ht="15.75" customHeight="1">
      <c r="D640" s="20"/>
      <c r="G640" s="26"/>
      <c r="H640" s="20"/>
    </row>
    <row r="641" ht="15.75" customHeight="1">
      <c r="D641" s="20"/>
      <c r="G641" s="26"/>
      <c r="H641" s="20"/>
    </row>
    <row r="642" ht="15.75" customHeight="1">
      <c r="D642" s="20"/>
      <c r="G642" s="26"/>
      <c r="H642" s="20"/>
    </row>
    <row r="643" ht="15.75" customHeight="1">
      <c r="D643" s="20"/>
      <c r="G643" s="26"/>
      <c r="H643" s="20"/>
    </row>
    <row r="644" ht="15.75" customHeight="1">
      <c r="D644" s="20"/>
      <c r="G644" s="26"/>
      <c r="H644" s="20"/>
    </row>
    <row r="645" ht="15.75" customHeight="1">
      <c r="D645" s="20"/>
      <c r="G645" s="26"/>
      <c r="H645" s="20"/>
    </row>
    <row r="646" ht="15.75" customHeight="1">
      <c r="D646" s="20"/>
      <c r="G646" s="26"/>
      <c r="H646" s="20"/>
    </row>
    <row r="647" ht="15.75" customHeight="1">
      <c r="D647" s="20"/>
      <c r="G647" s="26"/>
      <c r="H647" s="20"/>
    </row>
    <row r="648" ht="15.75" customHeight="1">
      <c r="D648" s="20"/>
      <c r="G648" s="26"/>
      <c r="H648" s="20"/>
    </row>
    <row r="649" ht="15.75" customHeight="1">
      <c r="D649" s="20"/>
      <c r="G649" s="26"/>
      <c r="H649" s="20"/>
    </row>
    <row r="650" ht="15.75" customHeight="1">
      <c r="D650" s="20"/>
      <c r="G650" s="26"/>
      <c r="H650" s="20"/>
    </row>
    <row r="651" ht="15.75" customHeight="1">
      <c r="D651" s="20"/>
      <c r="G651" s="26"/>
      <c r="H651" s="20"/>
    </row>
    <row r="652" ht="15.75" customHeight="1">
      <c r="D652" s="20"/>
      <c r="G652" s="26"/>
      <c r="H652" s="20"/>
    </row>
    <row r="653" ht="15.75" customHeight="1">
      <c r="D653" s="20"/>
      <c r="G653" s="26"/>
      <c r="H653" s="20"/>
    </row>
    <row r="654" ht="15.75" customHeight="1">
      <c r="D654" s="20"/>
      <c r="G654" s="26"/>
      <c r="H654" s="20"/>
    </row>
    <row r="655" ht="15.75" customHeight="1">
      <c r="D655" s="20"/>
      <c r="G655" s="26"/>
      <c r="H655" s="20"/>
    </row>
    <row r="656" ht="15.75" customHeight="1">
      <c r="D656" s="20"/>
      <c r="G656" s="26"/>
      <c r="H656" s="20"/>
    </row>
    <row r="657" ht="15.75" customHeight="1">
      <c r="D657" s="20"/>
      <c r="G657" s="26"/>
      <c r="H657" s="20"/>
    </row>
    <row r="658" ht="15.75" customHeight="1">
      <c r="D658" s="20"/>
      <c r="G658" s="26"/>
      <c r="H658" s="20"/>
    </row>
    <row r="659" ht="15.75" customHeight="1">
      <c r="D659" s="20"/>
      <c r="G659" s="26"/>
      <c r="H659" s="20"/>
    </row>
    <row r="660" ht="15.75" customHeight="1">
      <c r="D660" s="20"/>
      <c r="G660" s="26"/>
      <c r="H660" s="20"/>
    </row>
    <row r="661" ht="15.75" customHeight="1">
      <c r="D661" s="20"/>
      <c r="G661" s="26"/>
      <c r="H661" s="20"/>
    </row>
    <row r="662" ht="15.75" customHeight="1">
      <c r="D662" s="20"/>
      <c r="G662" s="26"/>
      <c r="H662" s="20"/>
    </row>
    <row r="663" ht="15.75" customHeight="1">
      <c r="D663" s="20"/>
      <c r="G663" s="26"/>
      <c r="H663" s="20"/>
    </row>
    <row r="664" ht="15.75" customHeight="1">
      <c r="D664" s="20"/>
      <c r="G664" s="26"/>
      <c r="H664" s="20"/>
    </row>
    <row r="665" ht="15.75" customHeight="1">
      <c r="D665" s="20"/>
      <c r="G665" s="26"/>
      <c r="H665" s="20"/>
    </row>
    <row r="666" ht="15.75" customHeight="1">
      <c r="D666" s="20"/>
      <c r="G666" s="26"/>
      <c r="H666" s="20"/>
    </row>
    <row r="667" ht="15.75" customHeight="1">
      <c r="D667" s="20"/>
      <c r="G667" s="26"/>
      <c r="H667" s="20"/>
    </row>
    <row r="668" ht="15.75" customHeight="1">
      <c r="D668" s="20"/>
      <c r="G668" s="26"/>
      <c r="H668" s="20"/>
    </row>
    <row r="669" ht="15.75" customHeight="1">
      <c r="D669" s="20"/>
      <c r="G669" s="26"/>
      <c r="H669" s="20"/>
    </row>
    <row r="670" ht="15.75" customHeight="1">
      <c r="D670" s="20"/>
      <c r="G670" s="26"/>
      <c r="H670" s="20"/>
    </row>
    <row r="671" ht="15.75" customHeight="1">
      <c r="D671" s="20"/>
      <c r="G671" s="26"/>
      <c r="H671" s="20"/>
    </row>
    <row r="672" ht="15.75" customHeight="1">
      <c r="D672" s="20"/>
      <c r="G672" s="26"/>
      <c r="H672" s="20"/>
    </row>
    <row r="673" ht="15.75" customHeight="1">
      <c r="D673" s="20"/>
      <c r="G673" s="26"/>
      <c r="H673" s="20"/>
    </row>
    <row r="674" ht="15.75" customHeight="1">
      <c r="D674" s="20"/>
      <c r="G674" s="26"/>
      <c r="H674" s="20"/>
    </row>
    <row r="675" ht="15.75" customHeight="1">
      <c r="D675" s="20"/>
      <c r="G675" s="26"/>
      <c r="H675" s="20"/>
    </row>
    <row r="676" ht="15.75" customHeight="1">
      <c r="D676" s="20"/>
      <c r="G676" s="26"/>
      <c r="H676" s="20"/>
    </row>
    <row r="677" ht="15.75" customHeight="1">
      <c r="D677" s="20"/>
      <c r="G677" s="26"/>
      <c r="H677" s="20"/>
    </row>
    <row r="678" ht="15.75" customHeight="1">
      <c r="D678" s="20"/>
      <c r="G678" s="26"/>
      <c r="H678" s="20"/>
    </row>
    <row r="679" ht="15.75" customHeight="1">
      <c r="D679" s="20"/>
      <c r="G679" s="26"/>
      <c r="H679" s="20"/>
    </row>
    <row r="680" ht="15.75" customHeight="1">
      <c r="D680" s="20"/>
      <c r="G680" s="26"/>
      <c r="H680" s="20"/>
    </row>
    <row r="681" ht="15.75" customHeight="1">
      <c r="D681" s="20"/>
      <c r="G681" s="26"/>
      <c r="H681" s="20"/>
    </row>
    <row r="682" ht="15.75" customHeight="1">
      <c r="D682" s="20"/>
      <c r="G682" s="26"/>
      <c r="H682" s="20"/>
    </row>
    <row r="683" ht="15.75" customHeight="1">
      <c r="D683" s="20"/>
      <c r="G683" s="26"/>
      <c r="H683" s="20"/>
    </row>
    <row r="684" ht="15.75" customHeight="1">
      <c r="D684" s="20"/>
      <c r="G684" s="26"/>
      <c r="H684" s="20"/>
    </row>
    <row r="685" ht="15.75" customHeight="1">
      <c r="D685" s="20"/>
      <c r="G685" s="26"/>
      <c r="H685" s="20"/>
    </row>
    <row r="686" ht="15.75" customHeight="1">
      <c r="D686" s="20"/>
      <c r="G686" s="26"/>
      <c r="H686" s="20"/>
    </row>
    <row r="687" ht="15.75" customHeight="1">
      <c r="D687" s="20"/>
      <c r="G687" s="26"/>
      <c r="H687" s="20"/>
    </row>
    <row r="688" ht="15.75" customHeight="1">
      <c r="D688" s="20"/>
      <c r="G688" s="26"/>
      <c r="H688" s="20"/>
    </row>
    <row r="689" ht="15.75" customHeight="1">
      <c r="D689" s="20"/>
      <c r="G689" s="26"/>
      <c r="H689" s="20"/>
    </row>
    <row r="690" ht="15.75" customHeight="1">
      <c r="D690" s="20"/>
      <c r="G690" s="26"/>
      <c r="H690" s="20"/>
    </row>
    <row r="691" ht="15.75" customHeight="1">
      <c r="D691" s="20"/>
      <c r="G691" s="26"/>
      <c r="H691" s="20"/>
    </row>
    <row r="692" ht="15.75" customHeight="1">
      <c r="D692" s="20"/>
      <c r="G692" s="26"/>
      <c r="H692" s="20"/>
    </row>
    <row r="693" ht="15.75" customHeight="1">
      <c r="D693" s="20"/>
      <c r="G693" s="26"/>
      <c r="H693" s="20"/>
    </row>
    <row r="694" ht="15.75" customHeight="1">
      <c r="D694" s="20"/>
      <c r="G694" s="26"/>
      <c r="H694" s="20"/>
    </row>
    <row r="695" ht="15.75" customHeight="1">
      <c r="D695" s="20"/>
      <c r="G695" s="26"/>
      <c r="H695" s="20"/>
    </row>
    <row r="696" ht="15.75" customHeight="1">
      <c r="D696" s="20"/>
      <c r="G696" s="26"/>
      <c r="H696" s="20"/>
    </row>
    <row r="697" ht="15.75" customHeight="1">
      <c r="D697" s="20"/>
      <c r="G697" s="26"/>
      <c r="H697" s="20"/>
    </row>
    <row r="698" ht="15.75" customHeight="1">
      <c r="D698" s="20"/>
      <c r="G698" s="26"/>
      <c r="H698" s="20"/>
    </row>
    <row r="699" ht="15.75" customHeight="1">
      <c r="D699" s="20"/>
      <c r="G699" s="26"/>
      <c r="H699" s="20"/>
    </row>
    <row r="700" ht="15.75" customHeight="1">
      <c r="D700" s="20"/>
      <c r="G700" s="26"/>
      <c r="H700" s="20"/>
    </row>
    <row r="701" ht="15.75" customHeight="1">
      <c r="D701" s="20"/>
      <c r="G701" s="26"/>
      <c r="H701" s="20"/>
    </row>
    <row r="702" ht="15.75" customHeight="1">
      <c r="D702" s="20"/>
      <c r="G702" s="26"/>
      <c r="H702" s="20"/>
    </row>
    <row r="703" ht="15.75" customHeight="1">
      <c r="D703" s="20"/>
      <c r="G703" s="26"/>
      <c r="H703" s="20"/>
    </row>
    <row r="704" ht="15.75" customHeight="1">
      <c r="D704" s="20"/>
      <c r="G704" s="26"/>
      <c r="H704" s="20"/>
    </row>
    <row r="705" ht="15.75" customHeight="1">
      <c r="D705" s="20"/>
      <c r="G705" s="26"/>
      <c r="H705" s="20"/>
    </row>
    <row r="706" ht="15.75" customHeight="1">
      <c r="D706" s="20"/>
      <c r="G706" s="26"/>
      <c r="H706" s="20"/>
    </row>
    <row r="707" ht="15.75" customHeight="1">
      <c r="D707" s="20"/>
      <c r="G707" s="26"/>
      <c r="H707" s="20"/>
    </row>
    <row r="708" ht="15.75" customHeight="1">
      <c r="D708" s="20"/>
      <c r="G708" s="26"/>
      <c r="H708" s="20"/>
    </row>
    <row r="709" ht="15.75" customHeight="1">
      <c r="D709" s="20"/>
      <c r="G709" s="26"/>
      <c r="H709" s="20"/>
    </row>
    <row r="710" ht="15.75" customHeight="1">
      <c r="D710" s="20"/>
      <c r="G710" s="26"/>
      <c r="H710" s="20"/>
    </row>
    <row r="711" ht="15.75" customHeight="1">
      <c r="D711" s="20"/>
      <c r="G711" s="26"/>
      <c r="H711" s="20"/>
    </row>
    <row r="712" ht="15.75" customHeight="1">
      <c r="D712" s="20"/>
      <c r="G712" s="26"/>
      <c r="H712" s="20"/>
    </row>
    <row r="713" ht="15.75" customHeight="1">
      <c r="D713" s="20"/>
      <c r="G713" s="26"/>
      <c r="H713" s="20"/>
    </row>
    <row r="714" ht="15.75" customHeight="1">
      <c r="D714" s="20"/>
      <c r="G714" s="26"/>
      <c r="H714" s="20"/>
    </row>
    <row r="715" ht="15.75" customHeight="1">
      <c r="D715" s="20"/>
      <c r="G715" s="26"/>
      <c r="H715" s="20"/>
    </row>
    <row r="716" ht="15.75" customHeight="1">
      <c r="D716" s="20"/>
      <c r="G716" s="26"/>
      <c r="H716" s="20"/>
    </row>
    <row r="717" ht="15.75" customHeight="1">
      <c r="D717" s="20"/>
      <c r="G717" s="26"/>
      <c r="H717" s="20"/>
    </row>
    <row r="718" ht="15.75" customHeight="1">
      <c r="D718" s="20"/>
      <c r="G718" s="26"/>
      <c r="H718" s="20"/>
    </row>
    <row r="719" ht="15.75" customHeight="1">
      <c r="D719" s="20"/>
      <c r="G719" s="26"/>
      <c r="H719" s="20"/>
    </row>
    <row r="720" ht="15.75" customHeight="1">
      <c r="D720" s="20"/>
      <c r="G720" s="26"/>
      <c r="H720" s="20"/>
    </row>
    <row r="721" ht="15.75" customHeight="1">
      <c r="D721" s="20"/>
      <c r="G721" s="26"/>
      <c r="H721" s="20"/>
    </row>
    <row r="722" ht="15.75" customHeight="1">
      <c r="D722" s="20"/>
      <c r="G722" s="26"/>
      <c r="H722" s="20"/>
    </row>
    <row r="723" ht="15.75" customHeight="1">
      <c r="D723" s="20"/>
      <c r="G723" s="26"/>
      <c r="H723" s="20"/>
    </row>
    <row r="724" ht="15.75" customHeight="1">
      <c r="D724" s="20"/>
      <c r="G724" s="26"/>
      <c r="H724" s="20"/>
    </row>
    <row r="725" ht="15.75" customHeight="1">
      <c r="D725" s="20"/>
      <c r="G725" s="26"/>
      <c r="H725" s="20"/>
    </row>
    <row r="726" ht="15.75" customHeight="1">
      <c r="D726" s="20"/>
      <c r="G726" s="26"/>
      <c r="H726" s="20"/>
    </row>
    <row r="727" ht="15.75" customHeight="1">
      <c r="D727" s="20"/>
      <c r="G727" s="26"/>
      <c r="H727" s="20"/>
    </row>
    <row r="728" ht="15.75" customHeight="1">
      <c r="D728" s="20"/>
      <c r="G728" s="26"/>
      <c r="H728" s="20"/>
    </row>
    <row r="729" ht="15.75" customHeight="1">
      <c r="D729" s="20"/>
      <c r="G729" s="26"/>
      <c r="H729" s="20"/>
    </row>
    <row r="730" ht="15.75" customHeight="1">
      <c r="D730" s="20"/>
      <c r="G730" s="26"/>
      <c r="H730" s="20"/>
    </row>
    <row r="731" ht="15.75" customHeight="1">
      <c r="D731" s="20"/>
      <c r="G731" s="26"/>
      <c r="H731" s="20"/>
    </row>
    <row r="732" ht="15.75" customHeight="1">
      <c r="D732" s="20"/>
      <c r="G732" s="26"/>
      <c r="H732" s="20"/>
    </row>
    <row r="733" ht="15.75" customHeight="1">
      <c r="D733" s="20"/>
      <c r="G733" s="26"/>
      <c r="H733" s="20"/>
    </row>
    <row r="734" ht="15.75" customHeight="1">
      <c r="D734" s="20"/>
      <c r="G734" s="26"/>
      <c r="H734" s="20"/>
    </row>
    <row r="735" ht="15.75" customHeight="1">
      <c r="D735" s="20"/>
      <c r="G735" s="26"/>
      <c r="H735" s="20"/>
    </row>
    <row r="736" ht="15.75" customHeight="1">
      <c r="D736" s="20"/>
      <c r="G736" s="26"/>
      <c r="H736" s="20"/>
    </row>
    <row r="737" ht="15.75" customHeight="1">
      <c r="D737" s="20"/>
      <c r="G737" s="26"/>
      <c r="H737" s="20"/>
    </row>
    <row r="738" ht="15.75" customHeight="1">
      <c r="D738" s="20"/>
      <c r="G738" s="26"/>
      <c r="H738" s="20"/>
    </row>
    <row r="739" ht="15.75" customHeight="1">
      <c r="D739" s="20"/>
      <c r="G739" s="26"/>
      <c r="H739" s="20"/>
    </row>
    <row r="740" ht="15.75" customHeight="1">
      <c r="D740" s="20"/>
      <c r="G740" s="26"/>
      <c r="H740" s="20"/>
    </row>
    <row r="741" ht="15.75" customHeight="1">
      <c r="D741" s="20"/>
      <c r="G741" s="26"/>
      <c r="H741" s="20"/>
    </row>
    <row r="742" ht="15.75" customHeight="1">
      <c r="D742" s="20"/>
      <c r="G742" s="26"/>
      <c r="H742" s="20"/>
    </row>
    <row r="743" ht="15.75" customHeight="1">
      <c r="D743" s="20"/>
      <c r="G743" s="26"/>
      <c r="H743" s="20"/>
    </row>
    <row r="744" ht="15.75" customHeight="1">
      <c r="D744" s="20"/>
      <c r="G744" s="26"/>
      <c r="H744" s="20"/>
    </row>
    <row r="745" ht="15.75" customHeight="1">
      <c r="D745" s="20"/>
      <c r="G745" s="26"/>
      <c r="H745" s="20"/>
    </row>
    <row r="746" ht="15.75" customHeight="1">
      <c r="D746" s="20"/>
      <c r="G746" s="26"/>
      <c r="H746" s="20"/>
    </row>
    <row r="747" ht="15.75" customHeight="1">
      <c r="D747" s="20"/>
      <c r="G747" s="26"/>
      <c r="H747" s="20"/>
    </row>
    <row r="748" ht="15.75" customHeight="1">
      <c r="D748" s="20"/>
      <c r="G748" s="26"/>
      <c r="H748" s="20"/>
    </row>
    <row r="749" ht="15.75" customHeight="1">
      <c r="D749" s="20"/>
      <c r="G749" s="26"/>
      <c r="H749" s="20"/>
    </row>
    <row r="750" ht="15.75" customHeight="1">
      <c r="D750" s="20"/>
      <c r="G750" s="26"/>
      <c r="H750" s="20"/>
    </row>
    <row r="751" ht="15.75" customHeight="1">
      <c r="D751" s="20"/>
      <c r="G751" s="26"/>
      <c r="H751" s="20"/>
    </row>
    <row r="752" ht="15.75" customHeight="1">
      <c r="D752" s="20"/>
      <c r="G752" s="26"/>
      <c r="H752" s="20"/>
    </row>
    <row r="753" ht="15.75" customHeight="1">
      <c r="D753" s="20"/>
      <c r="G753" s="26"/>
      <c r="H753" s="20"/>
    </row>
    <row r="754" ht="15.75" customHeight="1">
      <c r="D754" s="20"/>
      <c r="G754" s="26"/>
      <c r="H754" s="20"/>
    </row>
    <row r="755" ht="15.75" customHeight="1">
      <c r="D755" s="20"/>
      <c r="G755" s="26"/>
      <c r="H755" s="20"/>
    </row>
    <row r="756" ht="15.75" customHeight="1">
      <c r="D756" s="20"/>
      <c r="G756" s="26"/>
      <c r="H756" s="20"/>
    </row>
    <row r="757" ht="15.75" customHeight="1">
      <c r="D757" s="20"/>
      <c r="G757" s="26"/>
      <c r="H757" s="20"/>
    </row>
    <row r="758" ht="15.75" customHeight="1">
      <c r="D758" s="20"/>
      <c r="G758" s="26"/>
      <c r="H758" s="20"/>
    </row>
    <row r="759" ht="15.75" customHeight="1">
      <c r="D759" s="20"/>
      <c r="G759" s="26"/>
      <c r="H759" s="20"/>
    </row>
    <row r="760" ht="15.75" customHeight="1">
      <c r="D760" s="20"/>
      <c r="G760" s="26"/>
      <c r="H760" s="20"/>
    </row>
    <row r="761" ht="15.75" customHeight="1">
      <c r="D761" s="20"/>
      <c r="G761" s="26"/>
      <c r="H761" s="20"/>
    </row>
    <row r="762" ht="15.75" customHeight="1">
      <c r="D762" s="20"/>
      <c r="G762" s="26"/>
      <c r="H762" s="20"/>
    </row>
    <row r="763" ht="15.75" customHeight="1">
      <c r="D763" s="20"/>
      <c r="G763" s="26"/>
      <c r="H763" s="20"/>
    </row>
    <row r="764" ht="15.75" customHeight="1">
      <c r="D764" s="20"/>
      <c r="G764" s="26"/>
      <c r="H764" s="20"/>
    </row>
    <row r="765" ht="15.75" customHeight="1">
      <c r="D765" s="20"/>
      <c r="G765" s="26"/>
      <c r="H765" s="20"/>
    </row>
    <row r="766" ht="15.75" customHeight="1">
      <c r="D766" s="20"/>
      <c r="G766" s="26"/>
      <c r="H766" s="20"/>
    </row>
    <row r="767" ht="15.75" customHeight="1">
      <c r="D767" s="20"/>
      <c r="G767" s="26"/>
      <c r="H767" s="20"/>
    </row>
    <row r="768" ht="15.75" customHeight="1">
      <c r="D768" s="20"/>
      <c r="G768" s="26"/>
      <c r="H768" s="20"/>
    </row>
    <row r="769" ht="15.75" customHeight="1">
      <c r="D769" s="20"/>
      <c r="G769" s="26"/>
      <c r="H769" s="20"/>
    </row>
    <row r="770" ht="15.75" customHeight="1">
      <c r="D770" s="20"/>
      <c r="G770" s="26"/>
      <c r="H770" s="20"/>
    </row>
    <row r="771" ht="15.75" customHeight="1">
      <c r="D771" s="20"/>
      <c r="G771" s="26"/>
      <c r="H771" s="20"/>
    </row>
    <row r="772" ht="15.75" customHeight="1">
      <c r="D772" s="20"/>
      <c r="G772" s="26"/>
      <c r="H772" s="20"/>
    </row>
    <row r="773" ht="15.75" customHeight="1">
      <c r="D773" s="20"/>
      <c r="G773" s="26"/>
      <c r="H773" s="20"/>
    </row>
    <row r="774" ht="15.75" customHeight="1">
      <c r="D774" s="20"/>
      <c r="G774" s="26"/>
      <c r="H774" s="20"/>
    </row>
    <row r="775" ht="15.75" customHeight="1">
      <c r="D775" s="20"/>
      <c r="G775" s="26"/>
      <c r="H775" s="20"/>
    </row>
    <row r="776" ht="15.75" customHeight="1">
      <c r="D776" s="20"/>
      <c r="G776" s="26"/>
      <c r="H776" s="20"/>
    </row>
    <row r="777" ht="15.75" customHeight="1">
      <c r="D777" s="20"/>
      <c r="G777" s="26"/>
      <c r="H777" s="20"/>
    </row>
    <row r="778" ht="15.75" customHeight="1">
      <c r="D778" s="20"/>
      <c r="G778" s="26"/>
      <c r="H778" s="20"/>
    </row>
    <row r="779" ht="15.75" customHeight="1">
      <c r="D779" s="20"/>
      <c r="G779" s="26"/>
      <c r="H779" s="20"/>
    </row>
    <row r="780" ht="15.75" customHeight="1">
      <c r="D780" s="20"/>
      <c r="G780" s="26"/>
      <c r="H780" s="20"/>
    </row>
    <row r="781" ht="15.75" customHeight="1">
      <c r="D781" s="20"/>
      <c r="G781" s="26"/>
      <c r="H781" s="20"/>
    </row>
    <row r="782" ht="15.75" customHeight="1">
      <c r="D782" s="20"/>
      <c r="G782" s="26"/>
      <c r="H782" s="20"/>
    </row>
    <row r="783" ht="15.75" customHeight="1">
      <c r="D783" s="20"/>
      <c r="G783" s="26"/>
      <c r="H783" s="20"/>
    </row>
    <row r="784" ht="15.75" customHeight="1">
      <c r="D784" s="20"/>
      <c r="G784" s="26"/>
      <c r="H784" s="20"/>
    </row>
    <row r="785" ht="15.75" customHeight="1">
      <c r="D785" s="20"/>
      <c r="G785" s="26"/>
      <c r="H785" s="20"/>
    </row>
    <row r="786" ht="15.75" customHeight="1">
      <c r="D786" s="20"/>
      <c r="G786" s="26"/>
      <c r="H786" s="20"/>
    </row>
    <row r="787" ht="15.75" customHeight="1">
      <c r="D787" s="20"/>
      <c r="G787" s="26"/>
      <c r="H787" s="20"/>
    </row>
    <row r="788" ht="15.75" customHeight="1">
      <c r="D788" s="20"/>
      <c r="G788" s="26"/>
      <c r="H788" s="20"/>
    </row>
    <row r="789" ht="15.75" customHeight="1">
      <c r="D789" s="20"/>
      <c r="G789" s="26"/>
      <c r="H789" s="20"/>
    </row>
    <row r="790" ht="15.75" customHeight="1">
      <c r="D790" s="20"/>
      <c r="G790" s="26"/>
      <c r="H790" s="20"/>
    </row>
    <row r="791" ht="15.75" customHeight="1">
      <c r="D791" s="20"/>
      <c r="G791" s="26"/>
      <c r="H791" s="20"/>
    </row>
    <row r="792" ht="15.75" customHeight="1">
      <c r="D792" s="20"/>
      <c r="G792" s="26"/>
      <c r="H792" s="20"/>
    </row>
    <row r="793" ht="15.75" customHeight="1">
      <c r="D793" s="20"/>
      <c r="G793" s="26"/>
      <c r="H793" s="20"/>
    </row>
    <row r="794" ht="15.75" customHeight="1">
      <c r="D794" s="20"/>
      <c r="G794" s="26"/>
      <c r="H794" s="20"/>
    </row>
    <row r="795" ht="15.75" customHeight="1">
      <c r="D795" s="20"/>
      <c r="G795" s="26"/>
      <c r="H795" s="20"/>
    </row>
    <row r="796" ht="15.75" customHeight="1">
      <c r="D796" s="20"/>
      <c r="G796" s="26"/>
      <c r="H796" s="20"/>
    </row>
    <row r="797" ht="15.75" customHeight="1">
      <c r="D797" s="20"/>
      <c r="G797" s="26"/>
      <c r="H797" s="20"/>
    </row>
    <row r="798" ht="15.75" customHeight="1">
      <c r="D798" s="20"/>
      <c r="G798" s="26"/>
      <c r="H798" s="20"/>
    </row>
    <row r="799" ht="15.75" customHeight="1">
      <c r="D799" s="20"/>
      <c r="G799" s="26"/>
      <c r="H799" s="20"/>
    </row>
    <row r="800" ht="15.75" customHeight="1">
      <c r="D800" s="20"/>
      <c r="G800" s="26"/>
      <c r="H800" s="20"/>
    </row>
    <row r="801" ht="15.75" customHeight="1">
      <c r="D801" s="20"/>
      <c r="G801" s="26"/>
      <c r="H801" s="20"/>
    </row>
    <row r="802" ht="15.75" customHeight="1">
      <c r="D802" s="20"/>
      <c r="G802" s="26"/>
      <c r="H802" s="20"/>
    </row>
    <row r="803" ht="15.75" customHeight="1">
      <c r="D803" s="20"/>
      <c r="G803" s="26"/>
      <c r="H803" s="20"/>
    </row>
    <row r="804" ht="15.75" customHeight="1">
      <c r="D804" s="20"/>
      <c r="G804" s="26"/>
      <c r="H804" s="20"/>
    </row>
    <row r="805" ht="15.75" customHeight="1">
      <c r="D805" s="20"/>
      <c r="G805" s="26"/>
      <c r="H805" s="20"/>
    </row>
    <row r="806" ht="15.75" customHeight="1">
      <c r="D806" s="20"/>
      <c r="G806" s="26"/>
      <c r="H806" s="20"/>
    </row>
    <row r="807" ht="15.75" customHeight="1">
      <c r="D807" s="20"/>
      <c r="G807" s="26"/>
      <c r="H807" s="20"/>
    </row>
    <row r="808" ht="15.75" customHeight="1">
      <c r="D808" s="20"/>
      <c r="G808" s="26"/>
      <c r="H808" s="20"/>
    </row>
    <row r="809" ht="15.75" customHeight="1">
      <c r="D809" s="20"/>
      <c r="G809" s="26"/>
      <c r="H809" s="20"/>
    </row>
    <row r="810" ht="15.75" customHeight="1">
      <c r="D810" s="20"/>
      <c r="G810" s="26"/>
      <c r="H810" s="20"/>
    </row>
    <row r="811" ht="15.75" customHeight="1">
      <c r="D811" s="20"/>
      <c r="G811" s="26"/>
      <c r="H811" s="20"/>
    </row>
    <row r="812" ht="15.75" customHeight="1">
      <c r="D812" s="20"/>
      <c r="G812" s="26"/>
      <c r="H812" s="20"/>
    </row>
    <row r="813" ht="15.75" customHeight="1">
      <c r="D813" s="20"/>
      <c r="G813" s="26"/>
      <c r="H813" s="20"/>
    </row>
    <row r="814" ht="15.75" customHeight="1">
      <c r="D814" s="20"/>
      <c r="G814" s="26"/>
      <c r="H814" s="20"/>
    </row>
    <row r="815" ht="15.75" customHeight="1">
      <c r="D815" s="20"/>
      <c r="G815" s="26"/>
      <c r="H815" s="20"/>
    </row>
    <row r="816" ht="15.75" customHeight="1">
      <c r="D816" s="20"/>
      <c r="G816" s="26"/>
      <c r="H816" s="20"/>
    </row>
    <row r="817" ht="15.75" customHeight="1">
      <c r="D817" s="20"/>
      <c r="G817" s="26"/>
      <c r="H817" s="20"/>
    </row>
    <row r="818" ht="15.75" customHeight="1">
      <c r="D818" s="20"/>
      <c r="G818" s="26"/>
      <c r="H818" s="20"/>
    </row>
    <row r="819" ht="15.75" customHeight="1">
      <c r="D819" s="20"/>
      <c r="G819" s="26"/>
      <c r="H819" s="20"/>
    </row>
    <row r="820" ht="15.75" customHeight="1">
      <c r="D820" s="20"/>
      <c r="G820" s="26"/>
      <c r="H820" s="20"/>
    </row>
    <row r="821" ht="15.75" customHeight="1">
      <c r="D821" s="20"/>
      <c r="G821" s="26"/>
      <c r="H821" s="20"/>
    </row>
    <row r="822" ht="15.75" customHeight="1">
      <c r="D822" s="20"/>
      <c r="G822" s="26"/>
      <c r="H822" s="20"/>
    </row>
    <row r="823" ht="15.75" customHeight="1">
      <c r="D823" s="20"/>
      <c r="G823" s="26"/>
      <c r="H823" s="20"/>
    </row>
    <row r="824" ht="15.75" customHeight="1">
      <c r="D824" s="20"/>
      <c r="G824" s="26"/>
      <c r="H824" s="20"/>
    </row>
    <row r="825" ht="15.75" customHeight="1">
      <c r="D825" s="20"/>
      <c r="G825" s="26"/>
      <c r="H825" s="20"/>
    </row>
    <row r="826" ht="15.75" customHeight="1">
      <c r="D826" s="20"/>
      <c r="G826" s="26"/>
      <c r="H826" s="20"/>
    </row>
    <row r="827" ht="15.75" customHeight="1">
      <c r="D827" s="20"/>
      <c r="G827" s="26"/>
      <c r="H827" s="20"/>
    </row>
    <row r="828" ht="15.75" customHeight="1">
      <c r="D828" s="20"/>
      <c r="G828" s="26"/>
      <c r="H828" s="20"/>
    </row>
    <row r="829" ht="15.75" customHeight="1">
      <c r="D829" s="20"/>
      <c r="G829" s="26"/>
      <c r="H829" s="20"/>
    </row>
    <row r="830" ht="15.75" customHeight="1">
      <c r="D830" s="20"/>
      <c r="G830" s="26"/>
      <c r="H830" s="20"/>
    </row>
    <row r="831" ht="15.75" customHeight="1">
      <c r="D831" s="20"/>
      <c r="G831" s="26"/>
      <c r="H831" s="20"/>
    </row>
    <row r="832" ht="15.75" customHeight="1">
      <c r="D832" s="20"/>
      <c r="G832" s="26"/>
      <c r="H832" s="20"/>
    </row>
    <row r="833" ht="15.75" customHeight="1">
      <c r="D833" s="20"/>
      <c r="G833" s="26"/>
      <c r="H833" s="20"/>
    </row>
    <row r="834" ht="15.75" customHeight="1">
      <c r="D834" s="20"/>
      <c r="G834" s="26"/>
      <c r="H834" s="20"/>
    </row>
    <row r="835" ht="15.75" customHeight="1">
      <c r="D835" s="20"/>
      <c r="G835" s="26"/>
      <c r="H835" s="20"/>
    </row>
    <row r="836" ht="15.75" customHeight="1">
      <c r="D836" s="20"/>
      <c r="G836" s="26"/>
      <c r="H836" s="20"/>
    </row>
    <row r="837" ht="15.75" customHeight="1">
      <c r="D837" s="20"/>
      <c r="G837" s="26"/>
      <c r="H837" s="20"/>
    </row>
    <row r="838" ht="15.75" customHeight="1">
      <c r="D838" s="20"/>
      <c r="G838" s="26"/>
      <c r="H838" s="20"/>
    </row>
    <row r="839" ht="15.75" customHeight="1">
      <c r="D839" s="20"/>
      <c r="G839" s="26"/>
      <c r="H839" s="20"/>
    </row>
    <row r="840" ht="15.75" customHeight="1">
      <c r="D840" s="20"/>
      <c r="G840" s="26"/>
      <c r="H840" s="20"/>
    </row>
    <row r="841" ht="15.75" customHeight="1">
      <c r="D841" s="20"/>
      <c r="G841" s="26"/>
      <c r="H841" s="20"/>
    </row>
    <row r="842" ht="15.75" customHeight="1">
      <c r="D842" s="20"/>
      <c r="G842" s="26"/>
      <c r="H842" s="20"/>
    </row>
    <row r="843" ht="15.75" customHeight="1">
      <c r="D843" s="20"/>
      <c r="G843" s="26"/>
      <c r="H843" s="20"/>
    </row>
    <row r="844" ht="15.75" customHeight="1">
      <c r="D844" s="20"/>
      <c r="G844" s="26"/>
      <c r="H844" s="20"/>
    </row>
    <row r="845" ht="15.75" customHeight="1">
      <c r="D845" s="20"/>
      <c r="G845" s="26"/>
      <c r="H845" s="20"/>
    </row>
    <row r="846" ht="15.75" customHeight="1">
      <c r="D846" s="20"/>
      <c r="G846" s="26"/>
      <c r="H846" s="20"/>
    </row>
    <row r="847" ht="15.75" customHeight="1">
      <c r="D847" s="20"/>
      <c r="G847" s="26"/>
      <c r="H847" s="20"/>
    </row>
    <row r="848" ht="15.75" customHeight="1">
      <c r="D848" s="20"/>
      <c r="G848" s="26"/>
      <c r="H848" s="20"/>
    </row>
    <row r="849" ht="15.75" customHeight="1">
      <c r="D849" s="20"/>
      <c r="G849" s="26"/>
      <c r="H849" s="20"/>
    </row>
    <row r="850" ht="15.75" customHeight="1">
      <c r="D850" s="20"/>
      <c r="G850" s="26"/>
      <c r="H850" s="20"/>
    </row>
    <row r="851" ht="15.75" customHeight="1">
      <c r="D851" s="20"/>
      <c r="G851" s="26"/>
      <c r="H851" s="20"/>
    </row>
    <row r="852" ht="15.75" customHeight="1">
      <c r="D852" s="20"/>
      <c r="G852" s="26"/>
      <c r="H852" s="20"/>
    </row>
    <row r="853" ht="15.75" customHeight="1">
      <c r="D853" s="20"/>
      <c r="G853" s="26"/>
      <c r="H853" s="20"/>
    </row>
    <row r="854" ht="15.75" customHeight="1">
      <c r="D854" s="20"/>
      <c r="G854" s="26"/>
      <c r="H854" s="20"/>
    </row>
    <row r="855" ht="15.75" customHeight="1">
      <c r="D855" s="20"/>
      <c r="G855" s="26"/>
      <c r="H855" s="20"/>
    </row>
    <row r="856" ht="15.75" customHeight="1">
      <c r="D856" s="20"/>
      <c r="G856" s="26"/>
      <c r="H856" s="20"/>
    </row>
    <row r="857" ht="15.75" customHeight="1">
      <c r="D857" s="20"/>
      <c r="G857" s="26"/>
      <c r="H857" s="20"/>
    </row>
    <row r="858" ht="15.75" customHeight="1">
      <c r="D858" s="20"/>
      <c r="G858" s="26"/>
      <c r="H858" s="20"/>
    </row>
    <row r="859" ht="15.75" customHeight="1">
      <c r="D859" s="20"/>
      <c r="G859" s="26"/>
      <c r="H859" s="20"/>
    </row>
    <row r="860" ht="15.75" customHeight="1">
      <c r="D860" s="20"/>
      <c r="G860" s="26"/>
      <c r="H860" s="20"/>
    </row>
    <row r="861" ht="15.75" customHeight="1">
      <c r="D861" s="20"/>
      <c r="G861" s="26"/>
      <c r="H861" s="20"/>
    </row>
    <row r="862" ht="15.75" customHeight="1">
      <c r="D862" s="20"/>
      <c r="G862" s="26"/>
      <c r="H862" s="20"/>
    </row>
    <row r="863" ht="15.75" customHeight="1">
      <c r="D863" s="20"/>
      <c r="G863" s="26"/>
      <c r="H863" s="20"/>
    </row>
    <row r="864" ht="15.75" customHeight="1">
      <c r="D864" s="20"/>
      <c r="G864" s="26"/>
      <c r="H864" s="20"/>
    </row>
    <row r="865" ht="15.75" customHeight="1">
      <c r="D865" s="20"/>
      <c r="G865" s="26"/>
      <c r="H865" s="20"/>
    </row>
    <row r="866" ht="15.75" customHeight="1">
      <c r="D866" s="20"/>
      <c r="G866" s="26"/>
      <c r="H866" s="20"/>
    </row>
    <row r="867" ht="15.75" customHeight="1">
      <c r="D867" s="20"/>
      <c r="G867" s="26"/>
      <c r="H867" s="20"/>
    </row>
    <row r="868" ht="15.75" customHeight="1">
      <c r="D868" s="20"/>
      <c r="G868" s="26"/>
      <c r="H868" s="20"/>
    </row>
    <row r="869" ht="15.75" customHeight="1">
      <c r="D869" s="20"/>
      <c r="G869" s="26"/>
      <c r="H869" s="20"/>
    </row>
    <row r="870" ht="15.75" customHeight="1">
      <c r="D870" s="20"/>
      <c r="G870" s="26"/>
      <c r="H870" s="20"/>
    </row>
    <row r="871" ht="15.75" customHeight="1">
      <c r="D871" s="20"/>
      <c r="G871" s="26"/>
      <c r="H871" s="20"/>
    </row>
    <row r="872" ht="15.75" customHeight="1">
      <c r="D872" s="20"/>
      <c r="G872" s="26"/>
      <c r="H872" s="20"/>
    </row>
    <row r="873" ht="15.75" customHeight="1">
      <c r="D873" s="20"/>
      <c r="G873" s="26"/>
      <c r="H873" s="20"/>
    </row>
    <row r="874" ht="15.75" customHeight="1">
      <c r="D874" s="20"/>
      <c r="G874" s="26"/>
      <c r="H874" s="20"/>
    </row>
    <row r="875" ht="15.75" customHeight="1">
      <c r="D875" s="20"/>
      <c r="G875" s="26"/>
      <c r="H875" s="20"/>
    </row>
    <row r="876" ht="15.75" customHeight="1">
      <c r="D876" s="20"/>
      <c r="G876" s="26"/>
      <c r="H876" s="20"/>
    </row>
    <row r="877" ht="15.75" customHeight="1">
      <c r="D877" s="20"/>
      <c r="G877" s="26"/>
      <c r="H877" s="20"/>
    </row>
    <row r="878" ht="15.75" customHeight="1">
      <c r="D878" s="20"/>
      <c r="G878" s="26"/>
      <c r="H878" s="20"/>
    </row>
    <row r="879" ht="15.75" customHeight="1">
      <c r="D879" s="20"/>
      <c r="G879" s="26"/>
      <c r="H879" s="20"/>
    </row>
    <row r="880" ht="15.75" customHeight="1">
      <c r="D880" s="20"/>
      <c r="G880" s="26"/>
      <c r="H880" s="20"/>
    </row>
    <row r="881" ht="15.75" customHeight="1">
      <c r="D881" s="20"/>
      <c r="G881" s="26"/>
      <c r="H881" s="20"/>
    </row>
    <row r="882" ht="15.75" customHeight="1">
      <c r="D882" s="20"/>
      <c r="G882" s="26"/>
      <c r="H882" s="20"/>
    </row>
    <row r="883" ht="15.75" customHeight="1">
      <c r="D883" s="20"/>
      <c r="G883" s="26"/>
      <c r="H883" s="20"/>
    </row>
    <row r="884" ht="15.75" customHeight="1">
      <c r="D884" s="20"/>
      <c r="G884" s="26"/>
      <c r="H884" s="20"/>
    </row>
    <row r="885" ht="15.75" customHeight="1">
      <c r="D885" s="20"/>
      <c r="G885" s="26"/>
      <c r="H885" s="20"/>
    </row>
    <row r="886" ht="15.75" customHeight="1">
      <c r="D886" s="20"/>
      <c r="G886" s="26"/>
      <c r="H886" s="20"/>
    </row>
    <row r="887" ht="15.75" customHeight="1">
      <c r="D887" s="20"/>
      <c r="G887" s="26"/>
      <c r="H887" s="20"/>
    </row>
    <row r="888" ht="15.75" customHeight="1">
      <c r="D888" s="20"/>
      <c r="G888" s="26"/>
      <c r="H888" s="20"/>
    </row>
    <row r="889" ht="15.75" customHeight="1">
      <c r="D889" s="20"/>
      <c r="G889" s="26"/>
      <c r="H889" s="20"/>
    </row>
    <row r="890" ht="15.75" customHeight="1">
      <c r="D890" s="20"/>
      <c r="G890" s="26"/>
      <c r="H890" s="20"/>
    </row>
    <row r="891" ht="15.75" customHeight="1">
      <c r="D891" s="20"/>
      <c r="G891" s="26"/>
      <c r="H891" s="20"/>
    </row>
    <row r="892" ht="15.75" customHeight="1">
      <c r="D892" s="20"/>
      <c r="G892" s="26"/>
      <c r="H892" s="20"/>
    </row>
    <row r="893" ht="15.75" customHeight="1">
      <c r="D893" s="20"/>
      <c r="G893" s="26"/>
      <c r="H893" s="20"/>
    </row>
    <row r="894" ht="15.75" customHeight="1">
      <c r="D894" s="20"/>
      <c r="G894" s="26"/>
      <c r="H894" s="20"/>
    </row>
    <row r="895" ht="15.75" customHeight="1">
      <c r="D895" s="20"/>
      <c r="G895" s="26"/>
      <c r="H895" s="20"/>
    </row>
    <row r="896" ht="15.75" customHeight="1">
      <c r="D896" s="20"/>
      <c r="G896" s="26"/>
      <c r="H896" s="20"/>
    </row>
    <row r="897" ht="15.75" customHeight="1">
      <c r="D897" s="20"/>
      <c r="G897" s="26"/>
      <c r="H897" s="20"/>
    </row>
    <row r="898" ht="15.75" customHeight="1">
      <c r="D898" s="20"/>
      <c r="G898" s="26"/>
      <c r="H898" s="20"/>
    </row>
    <row r="899" ht="15.75" customHeight="1">
      <c r="D899" s="20"/>
      <c r="G899" s="26"/>
      <c r="H899" s="20"/>
    </row>
    <row r="900" ht="15.75" customHeight="1">
      <c r="D900" s="20"/>
      <c r="G900" s="26"/>
      <c r="H900" s="20"/>
    </row>
    <row r="901" ht="15.75" customHeight="1">
      <c r="D901" s="20"/>
      <c r="G901" s="26"/>
      <c r="H901" s="20"/>
    </row>
    <row r="902" ht="15.75" customHeight="1">
      <c r="D902" s="20"/>
      <c r="G902" s="26"/>
      <c r="H902" s="20"/>
    </row>
    <row r="903" ht="15.75" customHeight="1">
      <c r="D903" s="20"/>
      <c r="G903" s="26"/>
      <c r="H903" s="20"/>
    </row>
    <row r="904" ht="15.75" customHeight="1">
      <c r="D904" s="20"/>
      <c r="G904" s="26"/>
      <c r="H904" s="20"/>
    </row>
    <row r="905" ht="15.75" customHeight="1">
      <c r="D905" s="20"/>
      <c r="G905" s="26"/>
      <c r="H905" s="20"/>
    </row>
    <row r="906" ht="15.75" customHeight="1">
      <c r="D906" s="20"/>
      <c r="G906" s="26"/>
      <c r="H906" s="20"/>
    </row>
    <row r="907" ht="15.75" customHeight="1">
      <c r="D907" s="20"/>
      <c r="G907" s="26"/>
      <c r="H907" s="20"/>
    </row>
    <row r="908" ht="15.75" customHeight="1">
      <c r="D908" s="20"/>
      <c r="G908" s="26"/>
      <c r="H908" s="20"/>
    </row>
    <row r="909" ht="15.75" customHeight="1">
      <c r="D909" s="20"/>
      <c r="G909" s="26"/>
      <c r="H909" s="20"/>
    </row>
    <row r="910" ht="15.75" customHeight="1">
      <c r="D910" s="20"/>
      <c r="G910" s="26"/>
      <c r="H910" s="20"/>
    </row>
    <row r="911" ht="15.75" customHeight="1">
      <c r="D911" s="20"/>
      <c r="G911" s="26"/>
      <c r="H911" s="20"/>
    </row>
    <row r="912" ht="15.75" customHeight="1">
      <c r="D912" s="20"/>
      <c r="G912" s="26"/>
      <c r="H912" s="20"/>
    </row>
    <row r="913" ht="15.75" customHeight="1">
      <c r="D913" s="20"/>
      <c r="G913" s="26"/>
      <c r="H913" s="20"/>
    </row>
    <row r="914" ht="15.75" customHeight="1">
      <c r="D914" s="20"/>
      <c r="G914" s="26"/>
      <c r="H914" s="20"/>
    </row>
    <row r="915" ht="15.75" customHeight="1">
      <c r="D915" s="20"/>
      <c r="G915" s="26"/>
      <c r="H915" s="20"/>
    </row>
    <row r="916" ht="15.75" customHeight="1">
      <c r="D916" s="20"/>
      <c r="G916" s="26"/>
      <c r="H916" s="20"/>
    </row>
    <row r="917" ht="15.75" customHeight="1">
      <c r="D917" s="20"/>
      <c r="G917" s="26"/>
      <c r="H917" s="20"/>
    </row>
    <row r="918" ht="15.75" customHeight="1">
      <c r="D918" s="20"/>
      <c r="G918" s="26"/>
      <c r="H918" s="20"/>
    </row>
    <row r="919" ht="15.75" customHeight="1">
      <c r="D919" s="20"/>
      <c r="G919" s="26"/>
      <c r="H919" s="20"/>
    </row>
    <row r="920" ht="15.75" customHeight="1">
      <c r="D920" s="20"/>
      <c r="G920" s="26"/>
      <c r="H920" s="20"/>
    </row>
    <row r="921" ht="15.75" customHeight="1">
      <c r="D921" s="20"/>
      <c r="G921" s="26"/>
      <c r="H921" s="20"/>
    </row>
    <row r="922" ht="15.75" customHeight="1">
      <c r="D922" s="20"/>
      <c r="G922" s="26"/>
      <c r="H922" s="20"/>
    </row>
    <row r="923" ht="15.75" customHeight="1">
      <c r="D923" s="20"/>
      <c r="G923" s="26"/>
      <c r="H923" s="20"/>
    </row>
    <row r="924" ht="15.75" customHeight="1">
      <c r="D924" s="20"/>
      <c r="G924" s="26"/>
      <c r="H924" s="20"/>
    </row>
    <row r="925" ht="15.75" customHeight="1">
      <c r="D925" s="20"/>
      <c r="G925" s="26"/>
      <c r="H925" s="20"/>
    </row>
    <row r="926" ht="15.75" customHeight="1">
      <c r="D926" s="20"/>
      <c r="G926" s="26"/>
      <c r="H926" s="20"/>
    </row>
    <row r="927" ht="15.75" customHeight="1">
      <c r="D927" s="20"/>
      <c r="G927" s="26"/>
      <c r="H927" s="20"/>
    </row>
    <row r="928" ht="15.75" customHeight="1">
      <c r="D928" s="20"/>
      <c r="G928" s="26"/>
      <c r="H928" s="20"/>
    </row>
    <row r="929" ht="15.75" customHeight="1">
      <c r="D929" s="20"/>
      <c r="G929" s="26"/>
      <c r="H929" s="20"/>
    </row>
    <row r="930" ht="15.75" customHeight="1">
      <c r="D930" s="20"/>
      <c r="G930" s="26"/>
      <c r="H930" s="20"/>
    </row>
    <row r="931" ht="15.75" customHeight="1">
      <c r="D931" s="20"/>
      <c r="G931" s="26"/>
      <c r="H931" s="20"/>
    </row>
    <row r="932" ht="15.75" customHeight="1">
      <c r="D932" s="20"/>
      <c r="G932" s="26"/>
      <c r="H932" s="20"/>
    </row>
    <row r="933" ht="15.75" customHeight="1">
      <c r="D933" s="20"/>
      <c r="G933" s="26"/>
      <c r="H933" s="20"/>
    </row>
    <row r="934" ht="15.75" customHeight="1">
      <c r="D934" s="20"/>
      <c r="G934" s="26"/>
      <c r="H934" s="20"/>
    </row>
    <row r="935" ht="15.75" customHeight="1">
      <c r="D935" s="20"/>
      <c r="G935" s="26"/>
      <c r="H935" s="20"/>
    </row>
    <row r="936" ht="15.75" customHeight="1">
      <c r="D936" s="20"/>
      <c r="G936" s="26"/>
      <c r="H936" s="20"/>
    </row>
    <row r="937" ht="15.75" customHeight="1">
      <c r="D937" s="20"/>
      <c r="G937" s="26"/>
      <c r="H937" s="20"/>
    </row>
    <row r="938" ht="15.75" customHeight="1">
      <c r="D938" s="20"/>
      <c r="G938" s="26"/>
      <c r="H938" s="20"/>
    </row>
    <row r="939" ht="15.75" customHeight="1">
      <c r="D939" s="20"/>
      <c r="G939" s="26"/>
      <c r="H939" s="20"/>
    </row>
    <row r="940" ht="15.75" customHeight="1">
      <c r="D940" s="20"/>
      <c r="G940" s="26"/>
      <c r="H940" s="20"/>
    </row>
    <row r="941" ht="15.75" customHeight="1">
      <c r="D941" s="20"/>
      <c r="G941" s="26"/>
      <c r="H941" s="20"/>
    </row>
    <row r="942" ht="15.75" customHeight="1">
      <c r="D942" s="20"/>
      <c r="G942" s="26"/>
      <c r="H942" s="20"/>
    </row>
    <row r="943" ht="15.75" customHeight="1">
      <c r="D943" s="20"/>
      <c r="G943" s="26"/>
      <c r="H943" s="20"/>
    </row>
    <row r="944" ht="15.75" customHeight="1">
      <c r="D944" s="20"/>
      <c r="G944" s="26"/>
      <c r="H944" s="20"/>
    </row>
    <row r="945" ht="15.75" customHeight="1">
      <c r="D945" s="20"/>
      <c r="G945" s="26"/>
      <c r="H945" s="20"/>
    </row>
    <row r="946" ht="15.75" customHeight="1">
      <c r="D946" s="20"/>
      <c r="G946" s="26"/>
      <c r="H946" s="20"/>
    </row>
    <row r="947" ht="15.75" customHeight="1">
      <c r="D947" s="20"/>
      <c r="G947" s="26"/>
      <c r="H947" s="20"/>
    </row>
    <row r="948" ht="15.75" customHeight="1">
      <c r="D948" s="20"/>
      <c r="G948" s="26"/>
      <c r="H948" s="20"/>
    </row>
    <row r="949" ht="15.75" customHeight="1">
      <c r="D949" s="20"/>
      <c r="G949" s="26"/>
      <c r="H949" s="20"/>
    </row>
    <row r="950" ht="15.75" customHeight="1">
      <c r="D950" s="20"/>
      <c r="G950" s="26"/>
      <c r="H950" s="20"/>
    </row>
    <row r="951" ht="15.75" customHeight="1">
      <c r="D951" s="20"/>
      <c r="G951" s="26"/>
      <c r="H951" s="20"/>
    </row>
    <row r="952" ht="15.75" customHeight="1">
      <c r="D952" s="20"/>
      <c r="G952" s="26"/>
      <c r="H952" s="20"/>
    </row>
    <row r="953" ht="15.75" customHeight="1">
      <c r="D953" s="20"/>
      <c r="G953" s="26"/>
      <c r="H953" s="20"/>
    </row>
    <row r="954" ht="15.75" customHeight="1">
      <c r="D954" s="20"/>
      <c r="G954" s="26"/>
      <c r="H954" s="20"/>
    </row>
    <row r="955" ht="15.75" customHeight="1">
      <c r="D955" s="20"/>
      <c r="G955" s="26"/>
      <c r="H955" s="20"/>
    </row>
    <row r="956" ht="15.75" customHeight="1">
      <c r="D956" s="20"/>
      <c r="G956" s="26"/>
      <c r="H956" s="20"/>
    </row>
    <row r="957" ht="15.75" customHeight="1">
      <c r="D957" s="20"/>
      <c r="G957" s="26"/>
      <c r="H957" s="20"/>
    </row>
    <row r="958" ht="15.75" customHeight="1">
      <c r="D958" s="20"/>
      <c r="G958" s="26"/>
      <c r="H958" s="20"/>
    </row>
    <row r="959" ht="15.75" customHeight="1">
      <c r="D959" s="20"/>
      <c r="G959" s="26"/>
      <c r="H959" s="20"/>
    </row>
    <row r="960" ht="15.75" customHeight="1">
      <c r="D960" s="20"/>
      <c r="G960" s="26"/>
      <c r="H960" s="20"/>
    </row>
    <row r="961" ht="15.75" customHeight="1">
      <c r="D961" s="20"/>
      <c r="G961" s="26"/>
      <c r="H961" s="20"/>
    </row>
    <row r="962" ht="15.75" customHeight="1">
      <c r="D962" s="20"/>
      <c r="G962" s="26"/>
      <c r="H962" s="20"/>
    </row>
    <row r="963" ht="15.75" customHeight="1">
      <c r="D963" s="20"/>
      <c r="G963" s="26"/>
      <c r="H963" s="20"/>
    </row>
    <row r="964" ht="15.75" customHeight="1">
      <c r="D964" s="20"/>
      <c r="G964" s="26"/>
      <c r="H964" s="20"/>
    </row>
    <row r="965" ht="15.75" customHeight="1">
      <c r="D965" s="20"/>
      <c r="G965" s="26"/>
      <c r="H965" s="20"/>
    </row>
    <row r="966" ht="15.75" customHeight="1">
      <c r="D966" s="20"/>
      <c r="G966" s="26"/>
      <c r="H966" s="20"/>
    </row>
    <row r="967" ht="15.75" customHeight="1">
      <c r="D967" s="20"/>
      <c r="G967" s="26"/>
      <c r="H967" s="20"/>
    </row>
    <row r="968" ht="15.75" customHeight="1">
      <c r="D968" s="20"/>
      <c r="G968" s="26"/>
      <c r="H968" s="20"/>
    </row>
    <row r="969" ht="15.75" customHeight="1">
      <c r="D969" s="20"/>
      <c r="G969" s="26"/>
      <c r="H969" s="20"/>
    </row>
    <row r="970" ht="15.75" customHeight="1">
      <c r="D970" s="20"/>
      <c r="G970" s="26"/>
      <c r="H970" s="20"/>
    </row>
    <row r="971" ht="15.75" customHeight="1">
      <c r="D971" s="20"/>
      <c r="G971" s="26"/>
      <c r="H971" s="20"/>
    </row>
    <row r="972" ht="15.75" customHeight="1">
      <c r="D972" s="20"/>
      <c r="G972" s="26"/>
      <c r="H972" s="20"/>
    </row>
    <row r="973" ht="15.75" customHeight="1">
      <c r="D973" s="20"/>
      <c r="G973" s="26"/>
      <c r="H973" s="20"/>
    </row>
    <row r="974" ht="15.75" customHeight="1">
      <c r="D974" s="20"/>
      <c r="G974" s="26"/>
      <c r="H974" s="20"/>
    </row>
    <row r="975" ht="15.75" customHeight="1">
      <c r="D975" s="20"/>
      <c r="G975" s="26"/>
      <c r="H975" s="20"/>
    </row>
    <row r="976" ht="15.75" customHeight="1">
      <c r="D976" s="20"/>
      <c r="G976" s="26"/>
      <c r="H976" s="20"/>
    </row>
    <row r="977" ht="15.75" customHeight="1">
      <c r="D977" s="20"/>
      <c r="G977" s="26"/>
      <c r="H977" s="20"/>
    </row>
    <row r="978" ht="15.75" customHeight="1">
      <c r="D978" s="20"/>
      <c r="G978" s="26"/>
      <c r="H978" s="20"/>
    </row>
    <row r="979" ht="15.75" customHeight="1">
      <c r="D979" s="20"/>
      <c r="G979" s="26"/>
      <c r="H979" s="20"/>
    </row>
    <row r="980" ht="15.75" customHeight="1">
      <c r="D980" s="20"/>
      <c r="G980" s="26"/>
      <c r="H980" s="20"/>
    </row>
    <row r="981" ht="15.75" customHeight="1">
      <c r="D981" s="20"/>
      <c r="G981" s="26"/>
      <c r="H981" s="20"/>
    </row>
    <row r="982" ht="15.75" customHeight="1">
      <c r="D982" s="20"/>
      <c r="G982" s="26"/>
      <c r="H982" s="20"/>
    </row>
    <row r="983" ht="15.75" customHeight="1">
      <c r="D983" s="20"/>
      <c r="G983" s="26"/>
      <c r="H983" s="20"/>
    </row>
    <row r="984" ht="15.75" customHeight="1">
      <c r="D984" s="20"/>
      <c r="G984" s="26"/>
      <c r="H984" s="20"/>
    </row>
    <row r="985" ht="15.75" customHeight="1">
      <c r="D985" s="20"/>
      <c r="G985" s="26"/>
      <c r="H985" s="20"/>
    </row>
    <row r="986" ht="15.75" customHeight="1">
      <c r="D986" s="20"/>
      <c r="G986" s="26"/>
      <c r="H986" s="20"/>
    </row>
    <row r="987" ht="15.75" customHeight="1">
      <c r="D987" s="20"/>
      <c r="G987" s="26"/>
      <c r="H987" s="20"/>
    </row>
    <row r="988" ht="15.75" customHeight="1">
      <c r="D988" s="20"/>
      <c r="G988" s="26"/>
      <c r="H988" s="20"/>
    </row>
    <row r="989" ht="15.75" customHeight="1">
      <c r="D989" s="20"/>
      <c r="G989" s="26"/>
      <c r="H989" s="20"/>
    </row>
    <row r="990" ht="15.75" customHeight="1">
      <c r="D990" s="20"/>
      <c r="G990" s="26"/>
      <c r="H990" s="20"/>
    </row>
    <row r="991" ht="15.75" customHeight="1">
      <c r="D991" s="20"/>
      <c r="G991" s="26"/>
      <c r="H991" s="20"/>
    </row>
    <row r="992" ht="15.75" customHeight="1">
      <c r="D992" s="20"/>
      <c r="G992" s="26"/>
      <c r="H992" s="20"/>
    </row>
    <row r="993" ht="15.75" customHeight="1">
      <c r="D993" s="20"/>
      <c r="G993" s="26"/>
      <c r="H993" s="20"/>
    </row>
    <row r="994" ht="15.75" customHeight="1">
      <c r="D994" s="20"/>
      <c r="G994" s="26"/>
      <c r="H994" s="20"/>
    </row>
    <row r="995" ht="15.75" customHeight="1">
      <c r="D995" s="20"/>
      <c r="G995" s="26"/>
      <c r="H995" s="20"/>
    </row>
    <row r="996" ht="15.75" customHeight="1">
      <c r="D996" s="20"/>
      <c r="G996" s="26"/>
      <c r="H996" s="20"/>
    </row>
    <row r="997" ht="15.75" customHeight="1">
      <c r="D997" s="20"/>
      <c r="G997" s="26"/>
      <c r="H997" s="20"/>
    </row>
    <row r="998" ht="15.75" customHeight="1">
      <c r="D998" s="20"/>
      <c r="G998" s="26"/>
      <c r="H998" s="20"/>
    </row>
    <row r="999" ht="15.75" customHeight="1">
      <c r="D999" s="20"/>
      <c r="G999" s="26"/>
      <c r="H999" s="20"/>
    </row>
    <row r="1000" ht="15.75" customHeight="1">
      <c r="D1000" s="20"/>
      <c r="G1000" s="26"/>
      <c r="H1000" s="20"/>
    </row>
  </sheetData>
  <mergeCells count="1">
    <mergeCell ref="A1:H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5"/>
    <col customWidth="1" min="2" max="2" width="18.75"/>
    <col customWidth="1" min="3" max="3" width="11.13"/>
    <col customWidth="1" min="4" max="4" width="8.38"/>
    <col customWidth="1" min="5" max="6" width="14.88"/>
    <col customWidth="1" min="7" max="7" width="14.13"/>
    <col customWidth="1" min="8" max="8" width="12.63"/>
    <col customWidth="1" min="9" max="9" width="11.88"/>
    <col customWidth="1" min="10" max="10" width="12.13"/>
    <col customWidth="1" min="11" max="26" width="8.63"/>
  </cols>
  <sheetData>
    <row r="1">
      <c r="A1" s="24" t="s">
        <v>50</v>
      </c>
      <c r="B1" s="24" t="s">
        <v>337</v>
      </c>
      <c r="C1" s="24" t="s">
        <v>36</v>
      </c>
      <c r="D1" s="24" t="s">
        <v>51</v>
      </c>
      <c r="E1" s="24" t="s">
        <v>52</v>
      </c>
      <c r="F1" s="24" t="s">
        <v>338</v>
      </c>
      <c r="G1" s="66" t="s">
        <v>39</v>
      </c>
      <c r="H1" s="24" t="s">
        <v>53</v>
      </c>
      <c r="I1" s="24" t="s">
        <v>54</v>
      </c>
      <c r="J1" s="24" t="s">
        <v>55</v>
      </c>
    </row>
    <row r="2">
      <c r="A2" s="19" t="s">
        <v>103</v>
      </c>
      <c r="B2" s="19" t="s">
        <v>339</v>
      </c>
      <c r="C2" s="19" t="s">
        <v>45</v>
      </c>
      <c r="D2" s="19" t="s">
        <v>61</v>
      </c>
      <c r="E2" s="51">
        <v>45900.33333333333</v>
      </c>
      <c r="F2" s="51">
        <v>46244.54904824074</v>
      </c>
      <c r="G2" s="67">
        <f>IF($A2="","",SUMPRODUCT((AttendanceLog!$E$2:$E$5000=$A2)*(AttendanceLog!$C$2:$C$5000&gt;=MAX($E2,Settings!$B$3))*((AttendanceLog!$I$2:$I$5000="")+(IFERROR(SEARCH(","&amp;$C2&amp;",",","&amp;AttendanceLog!$I$2:$I$5000&amp;","),0)&gt;0))))</f>
        <v>0</v>
      </c>
      <c r="H2" s="21">
        <f>IF($A2="","",SUMPRODUCT((EventLog!$C$2:$C$5000&gt;=MAX($E2,Settings!$B$3))*(EventLog!$C$2:$C$5000&lt;=TODAY())*((EventLog!$F$2:$F$5000="")+(IFERROR(SEARCH(","&amp;$C2&amp;",",","&amp;EventLog!$F$2:$F$5000&amp;","),0)&gt;0))))</f>
        <v>3</v>
      </c>
      <c r="I2" s="26">
        <f t="shared" ref="I2:I239" si="1">IFERROR(G2/H2,0)</f>
        <v>0</v>
      </c>
      <c r="J2" s="20" t="str">
        <f>IFERROR(__xludf.DUMMYFUNCTION("IFERROR(MAX(FILTER(AttendanceLog!$C:$C,AttendanceLog!$E:$E=$A2,(AttendanceLog!$I:$I="""")+(IFERROR(SEARCH("",""&amp;$C2&amp;"","","",""&amp;AttendanceLog!$I:$I&amp;"",""),0)&gt;0))),"""")"),"")</f>
        <v/>
      </c>
    </row>
    <row r="3">
      <c r="A3" s="19" t="s">
        <v>306</v>
      </c>
      <c r="B3" s="19" t="s">
        <v>339</v>
      </c>
      <c r="C3" s="19" t="s">
        <v>45</v>
      </c>
      <c r="D3" s="19" t="s">
        <v>61</v>
      </c>
      <c r="E3" s="51">
        <v>45900.33333333333</v>
      </c>
      <c r="F3" s="51">
        <v>46244.54904824074</v>
      </c>
      <c r="G3" s="67">
        <f>IF($A3="","",SUMPRODUCT((AttendanceLog!$E$2:$E$5000=$A3)*(AttendanceLog!$C$2:$C$5000&gt;=MAX($E3,Settings!$B$3))*((AttendanceLog!$I$2:$I$5000="")+(IFERROR(SEARCH(","&amp;$C3&amp;",",","&amp;AttendanceLog!$I$2:$I$5000&amp;","),0)&gt;0))))</f>
        <v>0</v>
      </c>
      <c r="H3" s="21">
        <f>IF($A3="","",SUMPRODUCT((EventLog!$C$2:$C$5000&gt;=MAX($E3,Settings!$B$3))*(EventLog!$C$2:$C$5000&lt;=TODAY())*((EventLog!$F$2:$F$5000="")+(IFERROR(SEARCH(","&amp;$C3&amp;",",","&amp;EventLog!$F$2:$F$5000&amp;","),0)&gt;0))))</f>
        <v>3</v>
      </c>
      <c r="I3" s="26">
        <f t="shared" si="1"/>
        <v>0</v>
      </c>
      <c r="J3" s="20" t="str">
        <f>IFERROR(__xludf.DUMMYFUNCTION("IFERROR(MAX(FILTER(AttendanceLog!$C:$C,AttendanceLog!$E:$E=$A3,(AttendanceLog!$I:$I="""")+(IFERROR(SEARCH("",""&amp;$C3&amp;"","","",""&amp;AttendanceLog!$I:$I&amp;"",""),0)&gt;0))),"""")"),"")</f>
        <v/>
      </c>
    </row>
    <row r="4">
      <c r="A4" s="19" t="s">
        <v>231</v>
      </c>
      <c r="B4" s="18"/>
      <c r="C4" s="19" t="s">
        <v>43</v>
      </c>
      <c r="D4" s="19" t="s">
        <v>61</v>
      </c>
      <c r="E4" s="51">
        <v>45900.33333333333</v>
      </c>
      <c r="F4" s="51">
        <v>46244.54904824074</v>
      </c>
      <c r="G4" s="67">
        <f>IF($A4="","",SUMPRODUCT((AttendanceLog!$E$2:$E$5000=$A4)*(AttendanceLog!$C$2:$C$5000&gt;=MAX($E4,Settings!$B$3))*((AttendanceLog!$I$2:$I$5000="")+(IFERROR(SEARCH(","&amp;$C4&amp;",",","&amp;AttendanceLog!$I$2:$I$5000&amp;","),0)&gt;0))))</f>
        <v>0</v>
      </c>
      <c r="H4" s="21">
        <f>IF($A4="","",SUMPRODUCT((EventLog!$C$2:$C$5000&gt;=MAX($E4,Settings!$B$3))*(EventLog!$C$2:$C$5000&lt;=TODAY())*((EventLog!$F$2:$F$5000="")+(IFERROR(SEARCH(","&amp;$C4&amp;",",","&amp;EventLog!$F$2:$F$5000&amp;","),0)&gt;0))))</f>
        <v>3</v>
      </c>
      <c r="I4" s="26">
        <f t="shared" si="1"/>
        <v>0</v>
      </c>
      <c r="J4" s="20" t="str">
        <f>IFERROR(__xludf.DUMMYFUNCTION("IFERROR(MAX(FILTER(AttendanceLog!$C:$C,AttendanceLog!$E:$E=$A4,(AttendanceLog!$I:$I="""")+(IFERROR(SEARCH("",""&amp;$C4&amp;"","","",""&amp;AttendanceLog!$I:$I&amp;"",""),0)&gt;0))),"""")"),"")</f>
        <v/>
      </c>
    </row>
    <row r="5">
      <c r="A5" s="19" t="s">
        <v>227</v>
      </c>
      <c r="B5" s="18"/>
      <c r="C5" s="19" t="s">
        <v>43</v>
      </c>
      <c r="D5" s="19" t="s">
        <v>61</v>
      </c>
      <c r="E5" s="51">
        <v>45900.33333333333</v>
      </c>
      <c r="F5" s="51">
        <v>46244.54904824074</v>
      </c>
      <c r="G5" s="67">
        <f>IF($A5="","",SUMPRODUCT((AttendanceLog!$E$2:$E$5000=$A5)*(AttendanceLog!$C$2:$C$5000&gt;=MAX($E5,Settings!$B$3))*((AttendanceLog!$I$2:$I$5000="")+(IFERROR(SEARCH(","&amp;$C5&amp;",",","&amp;AttendanceLog!$I$2:$I$5000&amp;","),0)&gt;0))))</f>
        <v>0</v>
      </c>
      <c r="H5" s="21">
        <f>IF($A5="","",SUMPRODUCT((EventLog!$C$2:$C$5000&gt;=MAX($E5,Settings!$B$3))*(EventLog!$C$2:$C$5000&lt;=TODAY())*((EventLog!$F$2:$F$5000="")+(IFERROR(SEARCH(","&amp;$C5&amp;",",","&amp;EventLog!$F$2:$F$5000&amp;","),0)&gt;0))))</f>
        <v>3</v>
      </c>
      <c r="I5" s="26">
        <f t="shared" si="1"/>
        <v>0</v>
      </c>
      <c r="J5" s="20" t="str">
        <f>IFERROR(__xludf.DUMMYFUNCTION("IFERROR(MAX(FILTER(AttendanceLog!$C:$C,AttendanceLog!$E:$E=$A5,(AttendanceLog!$I:$I="""")+(IFERROR(SEARCH("",""&amp;$C5&amp;"","","",""&amp;AttendanceLog!$I:$I&amp;"",""),0)&gt;0))),"""")"),"")</f>
        <v/>
      </c>
    </row>
    <row r="6">
      <c r="A6" s="19" t="s">
        <v>223</v>
      </c>
      <c r="B6" s="18"/>
      <c r="C6" s="19" t="s">
        <v>43</v>
      </c>
      <c r="D6" s="19" t="s">
        <v>61</v>
      </c>
      <c r="E6" s="51">
        <v>45900.33333333333</v>
      </c>
      <c r="F6" s="51">
        <v>46244.54904824074</v>
      </c>
      <c r="G6" s="67">
        <f>IF($A6="","",SUMPRODUCT((AttendanceLog!$E$2:$E$5000=$A6)*(AttendanceLog!$C$2:$C$5000&gt;=MAX($E6,Settings!$B$3))*((AttendanceLog!$I$2:$I$5000="")+(IFERROR(SEARCH(","&amp;$C6&amp;",",","&amp;AttendanceLog!$I$2:$I$5000&amp;","),0)&gt;0))))</f>
        <v>0</v>
      </c>
      <c r="H6" s="21">
        <f>IF($A6="","",SUMPRODUCT((EventLog!$C$2:$C$5000&gt;=MAX($E6,Settings!$B$3))*(EventLog!$C$2:$C$5000&lt;=TODAY())*((EventLog!$F$2:$F$5000="")+(IFERROR(SEARCH(","&amp;$C6&amp;",",","&amp;EventLog!$F$2:$F$5000&amp;","),0)&gt;0))))</f>
        <v>3</v>
      </c>
      <c r="I6" s="26">
        <f t="shared" si="1"/>
        <v>0</v>
      </c>
      <c r="J6" s="20" t="str">
        <f>IFERROR(__xludf.DUMMYFUNCTION("IFERROR(MAX(FILTER(AttendanceLog!$C:$C,AttendanceLog!$E:$E=$A6,(AttendanceLog!$I:$I="""")+(IFERROR(SEARCH("",""&amp;$C6&amp;"","","",""&amp;AttendanceLog!$I:$I&amp;"",""),0)&gt;0))),"""")"),"")</f>
        <v/>
      </c>
    </row>
    <row r="7">
      <c r="A7" s="19" t="s">
        <v>230</v>
      </c>
      <c r="B7" s="21"/>
      <c r="C7" s="19" t="s">
        <v>43</v>
      </c>
      <c r="D7" s="19" t="s">
        <v>61</v>
      </c>
      <c r="E7" s="51">
        <v>45900.33333333333</v>
      </c>
      <c r="F7" s="51">
        <v>46244.54904824074</v>
      </c>
      <c r="G7" s="67">
        <f>IF($A7="","",SUMPRODUCT((AttendanceLog!$E$2:$E$5000=$A7)*(AttendanceLog!$C$2:$C$5000&gt;=MAX($E7,Settings!$B$3))*((AttendanceLog!$I$2:$I$5000="")+(IFERROR(SEARCH(","&amp;$C7&amp;",",","&amp;AttendanceLog!$I$2:$I$5000&amp;","),0)&gt;0))))</f>
        <v>0</v>
      </c>
      <c r="H7" s="21">
        <f>IF($A7="","",SUMPRODUCT((EventLog!$C$2:$C$5000&gt;=MAX($E7,Settings!$B$3))*(EventLog!$C$2:$C$5000&lt;=TODAY())*((EventLog!$F$2:$F$5000="")+(IFERROR(SEARCH(","&amp;$C7&amp;",",","&amp;EventLog!$F$2:$F$5000&amp;","),0)&gt;0))))</f>
        <v>3</v>
      </c>
      <c r="I7" s="26">
        <f t="shared" si="1"/>
        <v>0</v>
      </c>
      <c r="J7" s="20" t="str">
        <f>IFERROR(__xludf.DUMMYFUNCTION("IFERROR(MAX(FILTER(AttendanceLog!$C:$C,AttendanceLog!$E:$E=$A7,(AttendanceLog!$I:$I="""")+(IFERROR(SEARCH("",""&amp;$C7&amp;"","","",""&amp;AttendanceLog!$I:$I&amp;"",""),0)&gt;0))),"""")"),"")</f>
        <v/>
      </c>
    </row>
    <row r="8">
      <c r="A8" s="19" t="s">
        <v>220</v>
      </c>
      <c r="B8" s="19" t="s">
        <v>219</v>
      </c>
      <c r="C8" s="19" t="s">
        <v>43</v>
      </c>
      <c r="D8" s="19" t="s">
        <v>61</v>
      </c>
      <c r="E8" s="33">
        <v>46265.33333333333</v>
      </c>
      <c r="F8" s="33">
        <v>46273.78427837963</v>
      </c>
      <c r="G8" s="67">
        <f>IF($A8="","",SUMPRODUCT((AttendanceLog!$E$2:$E$5000=$A8)*(AttendanceLog!$C$2:$C$5000&gt;=MAX($E8,Settings!$B$3))*((AttendanceLog!$I$2:$I$5000="")+(IFERROR(SEARCH(","&amp;$C8&amp;",",","&amp;AttendanceLog!$I$2:$I$5000&amp;","),0)&gt;0))))</f>
        <v>0</v>
      </c>
      <c r="H8" s="21">
        <f>IF($A8="","",SUMPRODUCT((EventLog!$C$2:$C$5000&gt;=MAX($E8,Settings!$B$3))*(EventLog!$C$2:$C$5000&lt;=TODAY())*((EventLog!$F$2:$F$5000="")+(IFERROR(SEARCH(","&amp;$C8&amp;",",","&amp;EventLog!$F$2:$F$5000&amp;","),0)&gt;0))))</f>
        <v>3</v>
      </c>
      <c r="I8" s="26">
        <f t="shared" si="1"/>
        <v>0</v>
      </c>
      <c r="J8" s="20" t="str">
        <f>IFERROR(__xludf.DUMMYFUNCTION("IFERROR(MAX(FILTER(AttendanceLog!$C:$C,AttendanceLog!$E:$E=$A8,(AttendanceLog!$I:$I="""")+(IFERROR(SEARCH("",""&amp;$C8&amp;"","","",""&amp;AttendanceLog!$I:$I&amp;"",""),0)&gt;0))),"""")"),"")</f>
        <v/>
      </c>
    </row>
    <row r="9">
      <c r="A9" s="19" t="s">
        <v>92</v>
      </c>
      <c r="B9" s="19" t="s">
        <v>219</v>
      </c>
      <c r="C9" s="19" t="s">
        <v>43</v>
      </c>
      <c r="D9" s="19" t="s">
        <v>61</v>
      </c>
      <c r="E9" s="33">
        <v>46265.33333333333</v>
      </c>
      <c r="F9" s="33">
        <v>46273.78427837963</v>
      </c>
      <c r="G9" s="67">
        <f>IF($A9="","",SUMPRODUCT((AttendanceLog!$E$2:$E$5000=$A9)*(AttendanceLog!$C$2:$C$5000&gt;=MAX($E9,Settings!$B$3))*((AttendanceLog!$I$2:$I$5000="")+(IFERROR(SEARCH(","&amp;$C9&amp;",",","&amp;AttendanceLog!$I$2:$I$5000&amp;","),0)&gt;0))))</f>
        <v>3</v>
      </c>
      <c r="H9" s="21">
        <f>IF($A9="","",SUMPRODUCT((EventLog!$C$2:$C$5000&gt;=MAX($E9,Settings!$B$3))*(EventLog!$C$2:$C$5000&lt;=TODAY())*((EventLog!$F$2:$F$5000="")+(IFERROR(SEARCH(","&amp;$C9&amp;",",","&amp;EventLog!$F$2:$F$5000&amp;","),0)&gt;0))))</f>
        <v>3</v>
      </c>
      <c r="I9" s="26">
        <f t="shared" si="1"/>
        <v>1</v>
      </c>
      <c r="J9" s="20">
        <f>IFERROR(__xludf.DUMMYFUNCTION("IFERROR(MAX(FILTER(AttendanceLog!$C:$C,AttendanceLog!$E:$E=$A9,(AttendanceLog!$I:$I="""")+(IFERROR(SEARCH("",""&amp;$C9&amp;"","","",""&amp;AttendanceLog!$I:$I&amp;"",""),0)&gt;0))),"""")"),46305.33333333333)</f>
        <v>46305.33333</v>
      </c>
    </row>
    <row r="10">
      <c r="A10" s="19" t="s">
        <v>219</v>
      </c>
      <c r="B10" s="19" t="s">
        <v>219</v>
      </c>
      <c r="C10" s="19" t="s">
        <v>43</v>
      </c>
      <c r="D10" s="19" t="s">
        <v>61</v>
      </c>
      <c r="E10" s="33">
        <v>46265.33333333333</v>
      </c>
      <c r="F10" s="33">
        <v>46273.78427837963</v>
      </c>
      <c r="G10" s="67">
        <f>IF($A10="","",SUMPRODUCT((AttendanceLog!$E$2:$E$5000=$A10)*(AttendanceLog!$C$2:$C$5000&gt;=MAX($E10,Settings!$B$3))*((AttendanceLog!$I$2:$I$5000="")+(IFERROR(SEARCH(","&amp;$C10&amp;",",","&amp;AttendanceLog!$I$2:$I$5000&amp;","),0)&gt;0))))</f>
        <v>0</v>
      </c>
      <c r="H10" s="21">
        <f>IF($A10="","",SUMPRODUCT((EventLog!$C$2:$C$5000&gt;=MAX($E10,Settings!$B$3))*(EventLog!$C$2:$C$5000&lt;=TODAY())*((EventLog!$F$2:$F$5000="")+(IFERROR(SEARCH(","&amp;$C10&amp;",",","&amp;EventLog!$F$2:$F$5000&amp;","),0)&gt;0))))</f>
        <v>3</v>
      </c>
      <c r="I10" s="26">
        <f t="shared" si="1"/>
        <v>0</v>
      </c>
      <c r="J10" s="20" t="str">
        <f>IFERROR(__xludf.DUMMYFUNCTION("IFERROR(MAX(FILTER(AttendanceLog!$C:$C,AttendanceLog!$E:$E=$A10,(AttendanceLog!$I:$I="""")+(IFERROR(SEARCH("",""&amp;$C10&amp;"","","",""&amp;AttendanceLog!$I:$I&amp;"",""),0)&gt;0))),"""")"),"")</f>
        <v/>
      </c>
    </row>
    <row r="11">
      <c r="A11" s="19" t="s">
        <v>235</v>
      </c>
      <c r="B11" s="19" t="s">
        <v>219</v>
      </c>
      <c r="C11" s="19" t="s">
        <v>43</v>
      </c>
      <c r="D11" s="19" t="s">
        <v>61</v>
      </c>
      <c r="E11" s="33">
        <v>46265.33333333333</v>
      </c>
      <c r="F11" s="33">
        <v>46273.78427837963</v>
      </c>
      <c r="G11" s="67">
        <f>IF($A11="","",SUMPRODUCT((AttendanceLog!$E$2:$E$5000=$A11)*(AttendanceLog!$C$2:$C$5000&gt;=MAX($E11,Settings!$B$3))*((AttendanceLog!$I$2:$I$5000="")+(IFERROR(SEARCH(","&amp;$C11&amp;",",","&amp;AttendanceLog!$I$2:$I$5000&amp;","),0)&gt;0))))</f>
        <v>3</v>
      </c>
      <c r="H11" s="21">
        <f>IF($A11="","",SUMPRODUCT((EventLog!$C$2:$C$5000&gt;=MAX($E11,Settings!$B$3))*(EventLog!$C$2:$C$5000&lt;=TODAY())*((EventLog!$F$2:$F$5000="")+(IFERROR(SEARCH(","&amp;$C11&amp;",",","&amp;EventLog!$F$2:$F$5000&amp;","),0)&gt;0))))</f>
        <v>3</v>
      </c>
      <c r="I11" s="26">
        <f t="shared" si="1"/>
        <v>1</v>
      </c>
      <c r="J11" s="20">
        <f>IFERROR(__xludf.DUMMYFUNCTION("IFERROR(MAX(FILTER(AttendanceLog!$C:$C,AttendanceLog!$E:$E=$A11,(AttendanceLog!$I:$I="""")+(IFERROR(SEARCH("",""&amp;$C11&amp;"","","",""&amp;AttendanceLog!$I:$I&amp;"",""),0)&gt;0))),"""")"),46305.33333333333)</f>
        <v>46305.33333</v>
      </c>
    </row>
    <row r="12">
      <c r="A12" s="19" t="s">
        <v>269</v>
      </c>
      <c r="B12" s="19" t="s">
        <v>219</v>
      </c>
      <c r="C12" s="19" t="s">
        <v>43</v>
      </c>
      <c r="D12" s="19" t="s">
        <v>61</v>
      </c>
      <c r="E12" s="33">
        <v>46265.33333333333</v>
      </c>
      <c r="F12" s="33">
        <v>46273.78427837963</v>
      </c>
      <c r="G12" s="67">
        <f>IF($A12="","",SUMPRODUCT((AttendanceLog!$E$2:$E$5000=$A12)*(AttendanceLog!$C$2:$C$5000&gt;=MAX($E12,Settings!$B$3))*((AttendanceLog!$I$2:$I$5000="")+(IFERROR(SEARCH(","&amp;$C12&amp;",",","&amp;AttendanceLog!$I$2:$I$5000&amp;","),0)&gt;0))))</f>
        <v>0</v>
      </c>
      <c r="H12" s="21">
        <f>IF($A12="","",SUMPRODUCT((EventLog!$C$2:$C$5000&gt;=MAX($E12,Settings!$B$3))*(EventLog!$C$2:$C$5000&lt;=TODAY())*((EventLog!$F$2:$F$5000="")+(IFERROR(SEARCH(","&amp;$C12&amp;",",","&amp;EventLog!$F$2:$F$5000&amp;","),0)&gt;0))))</f>
        <v>3</v>
      </c>
      <c r="I12" s="26">
        <f t="shared" si="1"/>
        <v>0</v>
      </c>
      <c r="J12" s="20" t="str">
        <f>IFERROR(__xludf.DUMMYFUNCTION("IFERROR(MAX(FILTER(AttendanceLog!$C:$C,AttendanceLog!$E:$E=$A12,(AttendanceLog!$I:$I="""")+(IFERROR(SEARCH("",""&amp;$C12&amp;"","","",""&amp;AttendanceLog!$I:$I&amp;"",""),0)&gt;0))),"""")"),"")</f>
        <v/>
      </c>
    </row>
    <row r="13">
      <c r="A13" s="19" t="s">
        <v>99</v>
      </c>
      <c r="B13" s="19" t="s">
        <v>219</v>
      </c>
      <c r="C13" s="19" t="s">
        <v>43</v>
      </c>
      <c r="D13" s="19" t="s">
        <v>61</v>
      </c>
      <c r="E13" s="33">
        <v>46265.33333333333</v>
      </c>
      <c r="F13" s="33">
        <v>46273.78427837963</v>
      </c>
      <c r="G13" s="67">
        <f>IF($A13="","",SUMPRODUCT((AttendanceLog!$E$2:$E$5000=$A13)*(AttendanceLog!$C$2:$C$5000&gt;=MAX($E13,Settings!$B$3))*((AttendanceLog!$I$2:$I$5000="")+(IFERROR(SEARCH(","&amp;$C13&amp;",",","&amp;AttendanceLog!$I$2:$I$5000&amp;","),0)&gt;0))))</f>
        <v>3</v>
      </c>
      <c r="H13" s="21">
        <f>IF($A13="","",SUMPRODUCT((EventLog!$C$2:$C$5000&gt;=MAX($E13,Settings!$B$3))*(EventLog!$C$2:$C$5000&lt;=TODAY())*((EventLog!$F$2:$F$5000="")+(IFERROR(SEARCH(","&amp;$C13&amp;",",","&amp;EventLog!$F$2:$F$5000&amp;","),0)&gt;0))))</f>
        <v>3</v>
      </c>
      <c r="I13" s="26">
        <f t="shared" si="1"/>
        <v>1</v>
      </c>
      <c r="J13" s="20">
        <f>IFERROR(__xludf.DUMMYFUNCTION("IFERROR(MAX(FILTER(AttendanceLog!$C:$C,AttendanceLog!$E:$E=$A13,(AttendanceLog!$I:$I="""")+(IFERROR(SEARCH("",""&amp;$C13&amp;"","","",""&amp;AttendanceLog!$I:$I&amp;"",""),0)&gt;0))),"""")"),46305.33333333333)</f>
        <v>46305.33333</v>
      </c>
    </row>
    <row r="14">
      <c r="A14" s="19" t="s">
        <v>259</v>
      </c>
      <c r="B14" s="19" t="s">
        <v>219</v>
      </c>
      <c r="C14" s="19" t="s">
        <v>43</v>
      </c>
      <c r="D14" s="19" t="s">
        <v>61</v>
      </c>
      <c r="E14" s="33">
        <v>46265.33333333333</v>
      </c>
      <c r="F14" s="33">
        <v>46273.78427837963</v>
      </c>
      <c r="G14" s="67">
        <f>IF($A14="","",SUMPRODUCT((AttendanceLog!$E$2:$E$5000=$A14)*(AttendanceLog!$C$2:$C$5000&gt;=MAX($E14,Settings!$B$3))*((AttendanceLog!$I$2:$I$5000="")+(IFERROR(SEARCH(","&amp;$C14&amp;",",","&amp;AttendanceLog!$I$2:$I$5000&amp;","),0)&gt;0))))</f>
        <v>3</v>
      </c>
      <c r="H14" s="21">
        <f>IF($A14="","",SUMPRODUCT((EventLog!$C$2:$C$5000&gt;=MAX($E14,Settings!$B$3))*(EventLog!$C$2:$C$5000&lt;=TODAY())*((EventLog!$F$2:$F$5000="")+(IFERROR(SEARCH(","&amp;$C14&amp;",",","&amp;EventLog!$F$2:$F$5000&amp;","),0)&gt;0))))</f>
        <v>3</v>
      </c>
      <c r="I14" s="26">
        <f t="shared" si="1"/>
        <v>1</v>
      </c>
      <c r="J14" s="20">
        <f>IFERROR(__xludf.DUMMYFUNCTION("IFERROR(MAX(FILTER(AttendanceLog!$C:$C,AttendanceLog!$E:$E=$A14,(AttendanceLog!$I:$I="""")+(IFERROR(SEARCH("",""&amp;$C14&amp;"","","",""&amp;AttendanceLog!$I:$I&amp;"",""),0)&gt;0))),"""")"),46305.33333333333)</f>
        <v>46305.33333</v>
      </c>
    </row>
    <row r="15">
      <c r="A15" s="19" t="s">
        <v>228</v>
      </c>
      <c r="B15" s="19" t="s">
        <v>219</v>
      </c>
      <c r="C15" s="19" t="s">
        <v>43</v>
      </c>
      <c r="D15" s="19" t="s">
        <v>61</v>
      </c>
      <c r="E15" s="33">
        <v>46265.33333333333</v>
      </c>
      <c r="F15" s="33">
        <v>46273.78427837963</v>
      </c>
      <c r="G15" s="67">
        <f>IF($A15="","",SUMPRODUCT((AttendanceLog!$E$2:$E$5000=$A15)*(AttendanceLog!$C$2:$C$5000&gt;=MAX($E15,Settings!$B$3))*((AttendanceLog!$I$2:$I$5000="")+(IFERROR(SEARCH(","&amp;$C15&amp;",",","&amp;AttendanceLog!$I$2:$I$5000&amp;","),0)&gt;0))))</f>
        <v>1</v>
      </c>
      <c r="H15" s="21">
        <f>IF($A15="","",SUMPRODUCT((EventLog!$C$2:$C$5000&gt;=MAX($E15,Settings!$B$3))*(EventLog!$C$2:$C$5000&lt;=TODAY())*((EventLog!$F$2:$F$5000="")+(IFERROR(SEARCH(","&amp;$C15&amp;",",","&amp;EventLog!$F$2:$F$5000&amp;","),0)&gt;0))))</f>
        <v>3</v>
      </c>
      <c r="I15" s="26">
        <f t="shared" si="1"/>
        <v>0.3333333333</v>
      </c>
      <c r="J15" s="20">
        <f>IFERROR(__xludf.DUMMYFUNCTION("IFERROR(MAX(FILTER(AttendanceLog!$C:$C,AttendanceLog!$E:$E=$A15,(AttendanceLog!$I:$I="""")+(IFERROR(SEARCH("",""&amp;$C15&amp;"","","",""&amp;AttendanceLog!$I:$I&amp;"",""),0)&gt;0))),"""")"),46275.33333333333)</f>
        <v>46275.33333</v>
      </c>
    </row>
    <row r="16">
      <c r="A16" s="19" t="s">
        <v>229</v>
      </c>
      <c r="B16" s="19" t="s">
        <v>219</v>
      </c>
      <c r="C16" s="19" t="s">
        <v>43</v>
      </c>
      <c r="D16" s="19" t="s">
        <v>61</v>
      </c>
      <c r="E16" s="33">
        <v>46265.33333333333</v>
      </c>
      <c r="F16" s="33">
        <v>46273.78427837963</v>
      </c>
      <c r="G16" s="67">
        <f>IF($A16="","",SUMPRODUCT((AttendanceLog!$E$2:$E$5000=$A16)*(AttendanceLog!$C$2:$C$5000&gt;=MAX($E16,Settings!$B$3))*((AttendanceLog!$I$2:$I$5000="")+(IFERROR(SEARCH(","&amp;$C16&amp;",",","&amp;AttendanceLog!$I$2:$I$5000&amp;","),0)&gt;0))))</f>
        <v>0</v>
      </c>
      <c r="H16" s="21">
        <f>IF($A16="","",SUMPRODUCT((EventLog!$C$2:$C$5000&gt;=MAX($E16,Settings!$B$3))*(EventLog!$C$2:$C$5000&lt;=TODAY())*((EventLog!$F$2:$F$5000="")+(IFERROR(SEARCH(","&amp;$C16&amp;",",","&amp;EventLog!$F$2:$F$5000&amp;","),0)&gt;0))))</f>
        <v>3</v>
      </c>
      <c r="I16" s="26">
        <f t="shared" si="1"/>
        <v>0</v>
      </c>
      <c r="J16" s="20" t="str">
        <f>IFERROR(__xludf.DUMMYFUNCTION("IFERROR(MAX(FILTER(AttendanceLog!$C:$C,AttendanceLog!$E:$E=$A16,(AttendanceLog!$I:$I="""")+(IFERROR(SEARCH("",""&amp;$C16&amp;"","","",""&amp;AttendanceLog!$I:$I&amp;"",""),0)&gt;0))),"""")"),"")</f>
        <v/>
      </c>
    </row>
    <row r="17" ht="15.75" customHeight="1">
      <c r="A17" s="19" t="s">
        <v>243</v>
      </c>
      <c r="B17" s="19" t="s">
        <v>219</v>
      </c>
      <c r="C17" s="19" t="s">
        <v>43</v>
      </c>
      <c r="D17" s="19" t="s">
        <v>61</v>
      </c>
      <c r="E17" s="33">
        <v>46265.33333333333</v>
      </c>
      <c r="F17" s="33">
        <v>46273.78427837963</v>
      </c>
      <c r="G17" s="67">
        <f>IF($A17="","",SUMPRODUCT((AttendanceLog!$E$2:$E$5000=$A17)*(AttendanceLog!$C$2:$C$5000&gt;=MAX($E17,Settings!$B$3))*((AttendanceLog!$I$2:$I$5000="")+(IFERROR(SEARCH(","&amp;$C17&amp;",",","&amp;AttendanceLog!$I$2:$I$5000&amp;","),0)&gt;0))))</f>
        <v>1</v>
      </c>
      <c r="H17" s="21">
        <f>IF($A17="","",SUMPRODUCT((EventLog!$C$2:$C$5000&gt;=MAX($E17,Settings!$B$3))*(EventLog!$C$2:$C$5000&lt;=TODAY())*((EventLog!$F$2:$F$5000="")+(IFERROR(SEARCH(","&amp;$C17&amp;",",","&amp;EventLog!$F$2:$F$5000&amp;","),0)&gt;0))))</f>
        <v>3</v>
      </c>
      <c r="I17" s="26">
        <f t="shared" si="1"/>
        <v>0.3333333333</v>
      </c>
      <c r="J17" s="20">
        <f>IFERROR(__xludf.DUMMYFUNCTION("IFERROR(MAX(FILTER(AttendanceLog!$C:$C,AttendanceLog!$E:$E=$A17,(AttendanceLog!$I:$I="""")+(IFERROR(SEARCH("",""&amp;$C17&amp;"","","",""&amp;AttendanceLog!$I:$I&amp;"",""),0)&gt;0))),"""")"),46305.33333333333)</f>
        <v>46305.33333</v>
      </c>
    </row>
    <row r="18" ht="15.75" customHeight="1">
      <c r="A18" s="19" t="s">
        <v>267</v>
      </c>
      <c r="B18" s="19" t="s">
        <v>219</v>
      </c>
      <c r="C18" s="19" t="s">
        <v>43</v>
      </c>
      <c r="D18" s="19" t="s">
        <v>61</v>
      </c>
      <c r="E18" s="33">
        <v>46265.33333333333</v>
      </c>
      <c r="F18" s="33">
        <v>46273.78427837963</v>
      </c>
      <c r="G18" s="67">
        <f>IF($A18="","",SUMPRODUCT((AttendanceLog!$E$2:$E$5000=$A18)*(AttendanceLog!$C$2:$C$5000&gt;=MAX($E18,Settings!$B$3))*((AttendanceLog!$I$2:$I$5000="")+(IFERROR(SEARCH(","&amp;$C18&amp;",",","&amp;AttendanceLog!$I$2:$I$5000&amp;","),0)&gt;0))))</f>
        <v>2</v>
      </c>
      <c r="H18" s="21">
        <f>IF($A18="","",SUMPRODUCT((EventLog!$C$2:$C$5000&gt;=MAX($E18,Settings!$B$3))*(EventLog!$C$2:$C$5000&lt;=TODAY())*((EventLog!$F$2:$F$5000="")+(IFERROR(SEARCH(","&amp;$C18&amp;",",","&amp;EventLog!$F$2:$F$5000&amp;","),0)&gt;0))))</f>
        <v>3</v>
      </c>
      <c r="I18" s="26">
        <f t="shared" si="1"/>
        <v>0.6666666667</v>
      </c>
      <c r="J18" s="20">
        <f>IFERROR(__xludf.DUMMYFUNCTION("IFERROR(MAX(FILTER(AttendanceLog!$C:$C,AttendanceLog!$E:$E=$A18,(AttendanceLog!$I:$I="""")+(IFERROR(SEARCH("",""&amp;$C18&amp;"","","",""&amp;AttendanceLog!$I:$I&amp;"",""),0)&gt;0))),"""")"),46305.33333333333)</f>
        <v>46305.33333</v>
      </c>
    </row>
    <row r="19" ht="15.75" customHeight="1">
      <c r="A19" s="19" t="s">
        <v>265</v>
      </c>
      <c r="B19" s="19" t="s">
        <v>219</v>
      </c>
      <c r="C19" s="19" t="s">
        <v>43</v>
      </c>
      <c r="D19" s="19" t="s">
        <v>61</v>
      </c>
      <c r="E19" s="33">
        <v>46265.33333333333</v>
      </c>
      <c r="F19" s="33">
        <v>46273.78427837963</v>
      </c>
      <c r="G19" s="67">
        <f>IF($A19="","",SUMPRODUCT((AttendanceLog!$E$2:$E$5000=$A19)*(AttendanceLog!$C$2:$C$5000&gt;=MAX($E19,Settings!$B$3))*((AttendanceLog!$I$2:$I$5000="")+(IFERROR(SEARCH(","&amp;$C19&amp;",",","&amp;AttendanceLog!$I$2:$I$5000&amp;","),0)&gt;0))))</f>
        <v>3</v>
      </c>
      <c r="H19" s="21">
        <f>IF($A19="","",SUMPRODUCT((EventLog!$C$2:$C$5000&gt;=MAX($E19,Settings!$B$3))*(EventLog!$C$2:$C$5000&lt;=TODAY())*((EventLog!$F$2:$F$5000="")+(IFERROR(SEARCH(","&amp;$C19&amp;",",","&amp;EventLog!$F$2:$F$5000&amp;","),0)&gt;0))))</f>
        <v>3</v>
      </c>
      <c r="I19" s="26">
        <f t="shared" si="1"/>
        <v>1</v>
      </c>
      <c r="J19" s="20">
        <f>IFERROR(__xludf.DUMMYFUNCTION("IFERROR(MAX(FILTER(AttendanceLog!$C:$C,AttendanceLog!$E:$E=$A19,(AttendanceLog!$I:$I="""")+(IFERROR(SEARCH("",""&amp;$C19&amp;"","","",""&amp;AttendanceLog!$I:$I&amp;"",""),0)&gt;0))),"""")"),46305.33333333333)</f>
        <v>46305.33333</v>
      </c>
    </row>
    <row r="20" ht="15.75" customHeight="1">
      <c r="A20" s="19" t="s">
        <v>244</v>
      </c>
      <c r="B20" s="19" t="s">
        <v>219</v>
      </c>
      <c r="C20" s="19" t="s">
        <v>43</v>
      </c>
      <c r="D20" s="19" t="s">
        <v>61</v>
      </c>
      <c r="E20" s="33">
        <v>46265.33333333333</v>
      </c>
      <c r="F20" s="33">
        <v>46273.78427837963</v>
      </c>
      <c r="G20" s="67">
        <f>IF($A20="","",SUMPRODUCT((AttendanceLog!$E$2:$E$5000=$A20)*(AttendanceLog!$C$2:$C$5000&gt;=MAX($E20,Settings!$B$3))*((AttendanceLog!$I$2:$I$5000="")+(IFERROR(SEARCH(","&amp;$C20&amp;",",","&amp;AttendanceLog!$I$2:$I$5000&amp;","),0)&gt;0))))</f>
        <v>0</v>
      </c>
      <c r="H20" s="21">
        <f>IF($A20="","",SUMPRODUCT((EventLog!$C$2:$C$5000&gt;=MAX($E20,Settings!$B$3))*(EventLog!$C$2:$C$5000&lt;=TODAY())*((EventLog!$F$2:$F$5000="")+(IFERROR(SEARCH(","&amp;$C20&amp;",",","&amp;EventLog!$F$2:$F$5000&amp;","),0)&gt;0))))</f>
        <v>3</v>
      </c>
      <c r="I20" s="26">
        <f t="shared" si="1"/>
        <v>0</v>
      </c>
      <c r="J20" s="20" t="str">
        <f>IFERROR(__xludf.DUMMYFUNCTION("IFERROR(MAX(FILTER(AttendanceLog!$C:$C,AttendanceLog!$E:$E=$A20,(AttendanceLog!$I:$I="""")+(IFERROR(SEARCH("",""&amp;$C20&amp;"","","",""&amp;AttendanceLog!$I:$I&amp;"",""),0)&gt;0))),"""")"),"")</f>
        <v/>
      </c>
    </row>
    <row r="21" ht="15.75" customHeight="1">
      <c r="A21" s="19" t="s">
        <v>254</v>
      </c>
      <c r="B21" s="19" t="s">
        <v>219</v>
      </c>
      <c r="C21" s="19" t="s">
        <v>43</v>
      </c>
      <c r="D21" s="19" t="s">
        <v>61</v>
      </c>
      <c r="E21" s="33">
        <v>46265.33333333333</v>
      </c>
      <c r="F21" s="33">
        <v>46273.78427837963</v>
      </c>
      <c r="G21" s="67">
        <f>IF($A21="","",SUMPRODUCT((AttendanceLog!$E$2:$E$5000=$A21)*(AttendanceLog!$C$2:$C$5000&gt;=MAX($E21,Settings!$B$3))*((AttendanceLog!$I$2:$I$5000="")+(IFERROR(SEARCH(","&amp;$C21&amp;",",","&amp;AttendanceLog!$I$2:$I$5000&amp;","),0)&gt;0))))</f>
        <v>1</v>
      </c>
      <c r="H21" s="21">
        <f>IF($A21="","",SUMPRODUCT((EventLog!$C$2:$C$5000&gt;=MAX($E21,Settings!$B$3))*(EventLog!$C$2:$C$5000&lt;=TODAY())*((EventLog!$F$2:$F$5000="")+(IFERROR(SEARCH(","&amp;$C21&amp;",",","&amp;EventLog!$F$2:$F$5000&amp;","),0)&gt;0))))</f>
        <v>3</v>
      </c>
      <c r="I21" s="26">
        <f t="shared" si="1"/>
        <v>0.3333333333</v>
      </c>
      <c r="J21" s="20">
        <f>IFERROR(__xludf.DUMMYFUNCTION("IFERROR(MAX(FILTER(AttendanceLog!$C:$C,AttendanceLog!$E:$E=$A21,(AttendanceLog!$I:$I="""")+(IFERROR(SEARCH("",""&amp;$C21&amp;"","","",""&amp;AttendanceLog!$I:$I&amp;"",""),0)&gt;0))),"""")"),46275.33333333333)</f>
        <v>46275.33333</v>
      </c>
    </row>
    <row r="22" ht="15.75" customHeight="1">
      <c r="A22" s="19" t="s">
        <v>252</v>
      </c>
      <c r="B22" s="19" t="s">
        <v>219</v>
      </c>
      <c r="C22" s="19" t="s">
        <v>43</v>
      </c>
      <c r="D22" s="19" t="s">
        <v>61</v>
      </c>
      <c r="E22" s="33">
        <v>46265.33333333333</v>
      </c>
      <c r="F22" s="33">
        <v>46273.78427837963</v>
      </c>
      <c r="G22" s="67">
        <f>IF($A22="","",SUMPRODUCT((AttendanceLog!$E$2:$E$5000=$A22)*(AttendanceLog!$C$2:$C$5000&gt;=MAX($E22,Settings!$B$3))*((AttendanceLog!$I$2:$I$5000="")+(IFERROR(SEARCH(","&amp;$C22&amp;",",","&amp;AttendanceLog!$I$2:$I$5000&amp;","),0)&gt;0))))</f>
        <v>2</v>
      </c>
      <c r="H22" s="21">
        <f>IF($A22="","",SUMPRODUCT((EventLog!$C$2:$C$5000&gt;=MAX($E22,Settings!$B$3))*(EventLog!$C$2:$C$5000&lt;=TODAY())*((EventLog!$F$2:$F$5000="")+(IFERROR(SEARCH(","&amp;$C22&amp;",",","&amp;EventLog!$F$2:$F$5000&amp;","),0)&gt;0))))</f>
        <v>3</v>
      </c>
      <c r="I22" s="26">
        <f t="shared" si="1"/>
        <v>0.6666666667</v>
      </c>
      <c r="J22" s="20">
        <f>IFERROR(__xludf.DUMMYFUNCTION("IFERROR(MAX(FILTER(AttendanceLog!$C:$C,AttendanceLog!$E:$E=$A22,(AttendanceLog!$I:$I="""")+(IFERROR(SEARCH("",""&amp;$C22&amp;"","","",""&amp;AttendanceLog!$I:$I&amp;"",""),0)&gt;0))),"""")"),46305.33333333333)</f>
        <v>46305.33333</v>
      </c>
    </row>
    <row r="23" ht="15.75" customHeight="1">
      <c r="A23" s="19" t="s">
        <v>90</v>
      </c>
      <c r="B23" s="19" t="s">
        <v>219</v>
      </c>
      <c r="C23" s="19" t="s">
        <v>43</v>
      </c>
      <c r="D23" s="19" t="s">
        <v>61</v>
      </c>
      <c r="E23" s="33">
        <v>46265.33333333333</v>
      </c>
      <c r="F23" s="33">
        <v>46273.78427837963</v>
      </c>
      <c r="G23" s="67">
        <f>IF($A23="","",SUMPRODUCT((AttendanceLog!$E$2:$E$5000=$A23)*(AttendanceLog!$C$2:$C$5000&gt;=MAX($E23,Settings!$B$3))*((AttendanceLog!$I$2:$I$5000="")+(IFERROR(SEARCH(","&amp;$C23&amp;",",","&amp;AttendanceLog!$I$2:$I$5000&amp;","),0)&gt;0))))</f>
        <v>3</v>
      </c>
      <c r="H23" s="21">
        <f>IF($A23="","",SUMPRODUCT((EventLog!$C$2:$C$5000&gt;=MAX($E23,Settings!$B$3))*(EventLog!$C$2:$C$5000&lt;=TODAY())*((EventLog!$F$2:$F$5000="")+(IFERROR(SEARCH(","&amp;$C23&amp;",",","&amp;EventLog!$F$2:$F$5000&amp;","),0)&gt;0))))</f>
        <v>3</v>
      </c>
      <c r="I23" s="26">
        <f t="shared" si="1"/>
        <v>1</v>
      </c>
      <c r="J23" s="20">
        <f>IFERROR(__xludf.DUMMYFUNCTION("IFERROR(MAX(FILTER(AttendanceLog!$C:$C,AttendanceLog!$E:$E=$A23,(AttendanceLog!$I:$I="""")+(IFERROR(SEARCH("",""&amp;$C23&amp;"","","",""&amp;AttendanceLog!$I:$I&amp;"",""),0)&gt;0))),"""")"),46305.33333333333)</f>
        <v>46305.33333</v>
      </c>
    </row>
    <row r="24" ht="15.75" customHeight="1">
      <c r="A24" s="19" t="s">
        <v>266</v>
      </c>
      <c r="B24" s="19" t="s">
        <v>219</v>
      </c>
      <c r="C24" s="19" t="s">
        <v>43</v>
      </c>
      <c r="D24" s="19" t="s">
        <v>61</v>
      </c>
      <c r="E24" s="33">
        <v>46265.33333333333</v>
      </c>
      <c r="F24" s="33">
        <v>46273.78427837963</v>
      </c>
      <c r="G24" s="67">
        <f>IF($A24="","",SUMPRODUCT((AttendanceLog!$E$2:$E$5000=$A24)*(AttendanceLog!$C$2:$C$5000&gt;=MAX($E24,Settings!$B$3))*((AttendanceLog!$I$2:$I$5000="")+(IFERROR(SEARCH(","&amp;$C24&amp;",",","&amp;AttendanceLog!$I$2:$I$5000&amp;","),0)&gt;0))))</f>
        <v>2</v>
      </c>
      <c r="H24" s="21">
        <f>IF($A24="","",SUMPRODUCT((EventLog!$C$2:$C$5000&gt;=MAX($E24,Settings!$B$3))*(EventLog!$C$2:$C$5000&lt;=TODAY())*((EventLog!$F$2:$F$5000="")+(IFERROR(SEARCH(","&amp;$C24&amp;",",","&amp;EventLog!$F$2:$F$5000&amp;","),0)&gt;0))))</f>
        <v>3</v>
      </c>
      <c r="I24" s="26">
        <f t="shared" si="1"/>
        <v>0.6666666667</v>
      </c>
      <c r="J24" s="20">
        <f>IFERROR(__xludf.DUMMYFUNCTION("IFERROR(MAX(FILTER(AttendanceLog!$C:$C,AttendanceLog!$E:$E=$A24,(AttendanceLog!$I:$I="""")+(IFERROR(SEARCH("",""&amp;$C24&amp;"","","",""&amp;AttendanceLog!$I:$I&amp;"",""),0)&gt;0))),"""")"),46305.33333333333)</f>
        <v>46305.33333</v>
      </c>
    </row>
    <row r="25" ht="15.75" customHeight="1">
      <c r="A25" s="19" t="s">
        <v>95</v>
      </c>
      <c r="B25" s="19" t="s">
        <v>219</v>
      </c>
      <c r="C25" s="19" t="s">
        <v>43</v>
      </c>
      <c r="D25" s="19" t="s">
        <v>61</v>
      </c>
      <c r="E25" s="33">
        <v>46265.33333333333</v>
      </c>
      <c r="F25" s="33">
        <v>46273.78427837963</v>
      </c>
      <c r="G25" s="67">
        <f>IF($A25="","",SUMPRODUCT((AttendanceLog!$E$2:$E$5000=$A25)*(AttendanceLog!$C$2:$C$5000&gt;=MAX($E25,Settings!$B$3))*((AttendanceLog!$I$2:$I$5000="")+(IFERROR(SEARCH(","&amp;$C25&amp;",",","&amp;AttendanceLog!$I$2:$I$5000&amp;","),0)&gt;0))))</f>
        <v>3</v>
      </c>
      <c r="H25" s="21">
        <f>IF($A25="","",SUMPRODUCT((EventLog!$C$2:$C$5000&gt;=MAX($E25,Settings!$B$3))*(EventLog!$C$2:$C$5000&lt;=TODAY())*((EventLog!$F$2:$F$5000="")+(IFERROR(SEARCH(","&amp;$C25&amp;",",","&amp;EventLog!$F$2:$F$5000&amp;","),0)&gt;0))))</f>
        <v>3</v>
      </c>
      <c r="I25" s="26">
        <f t="shared" si="1"/>
        <v>1</v>
      </c>
      <c r="J25" s="20">
        <f>IFERROR(__xludf.DUMMYFUNCTION("IFERROR(MAX(FILTER(AttendanceLog!$C:$C,AttendanceLog!$E:$E=$A25,(AttendanceLog!$I:$I="""")+(IFERROR(SEARCH("",""&amp;$C25&amp;"","","",""&amp;AttendanceLog!$I:$I&amp;"",""),0)&gt;0))),"""")"),46305.33333333333)</f>
        <v>46305.33333</v>
      </c>
    </row>
    <row r="26" ht="15.75" customHeight="1">
      <c r="A26" s="19" t="s">
        <v>59</v>
      </c>
      <c r="B26" s="19" t="s">
        <v>219</v>
      </c>
      <c r="C26" s="19" t="s">
        <v>43</v>
      </c>
      <c r="D26" s="19" t="s">
        <v>61</v>
      </c>
      <c r="E26" s="33">
        <v>46265.33333333333</v>
      </c>
      <c r="F26" s="33">
        <v>46273.78427837963</v>
      </c>
      <c r="G26" s="67">
        <f>IF($A26="","",SUMPRODUCT((AttendanceLog!$E$2:$E$5000=$A26)*(AttendanceLog!$C$2:$C$5000&gt;=MAX($E26,Settings!$B$3))*((AttendanceLog!$I$2:$I$5000="")+(IFERROR(SEARCH(","&amp;$C26&amp;",",","&amp;AttendanceLog!$I$2:$I$5000&amp;","),0)&gt;0))))</f>
        <v>0</v>
      </c>
      <c r="H26" s="21">
        <f>IF($A26="","",SUMPRODUCT((EventLog!$C$2:$C$5000&gt;=MAX($E26,Settings!$B$3))*(EventLog!$C$2:$C$5000&lt;=TODAY())*((EventLog!$F$2:$F$5000="")+(IFERROR(SEARCH(","&amp;$C26&amp;",",","&amp;EventLog!$F$2:$F$5000&amp;","),0)&gt;0))))</f>
        <v>3</v>
      </c>
      <c r="I26" s="26">
        <f t="shared" si="1"/>
        <v>0</v>
      </c>
      <c r="J26" s="20" t="str">
        <f>IFERROR(__xludf.DUMMYFUNCTION("IFERROR(MAX(FILTER(AttendanceLog!$C:$C,AttendanceLog!$E:$E=$A26,(AttendanceLog!$I:$I="""")+(IFERROR(SEARCH("",""&amp;$C26&amp;"","","",""&amp;AttendanceLog!$I:$I&amp;"",""),0)&gt;0))),"""")"),"")</f>
        <v/>
      </c>
    </row>
    <row r="27" ht="15.75" customHeight="1">
      <c r="A27" s="19" t="s">
        <v>253</v>
      </c>
      <c r="B27" s="19" t="s">
        <v>219</v>
      </c>
      <c r="C27" s="19" t="s">
        <v>43</v>
      </c>
      <c r="D27" s="19" t="s">
        <v>61</v>
      </c>
      <c r="E27" s="33">
        <v>46265.33333333333</v>
      </c>
      <c r="F27" s="33">
        <v>46273.78427837963</v>
      </c>
      <c r="G27" s="67">
        <f>IF($A27="","",SUMPRODUCT((AttendanceLog!$E$2:$E$5000=$A27)*(AttendanceLog!$C$2:$C$5000&gt;=MAX($E27,Settings!$B$3))*((AttendanceLog!$I$2:$I$5000="")+(IFERROR(SEARCH(","&amp;$C27&amp;",",","&amp;AttendanceLog!$I$2:$I$5000&amp;","),0)&gt;0))))</f>
        <v>3</v>
      </c>
      <c r="H27" s="21">
        <f>IF($A27="","",SUMPRODUCT((EventLog!$C$2:$C$5000&gt;=MAX($E27,Settings!$B$3))*(EventLog!$C$2:$C$5000&lt;=TODAY())*((EventLog!$F$2:$F$5000="")+(IFERROR(SEARCH(","&amp;$C27&amp;",",","&amp;EventLog!$F$2:$F$5000&amp;","),0)&gt;0))))</f>
        <v>3</v>
      </c>
      <c r="I27" s="26">
        <f t="shared" si="1"/>
        <v>1</v>
      </c>
      <c r="J27" s="20">
        <f>IFERROR(__xludf.DUMMYFUNCTION("IFERROR(MAX(FILTER(AttendanceLog!$C:$C,AttendanceLog!$E:$E=$A27,(AttendanceLog!$I:$I="""")+(IFERROR(SEARCH("",""&amp;$C27&amp;"","","",""&amp;AttendanceLog!$I:$I&amp;"",""),0)&gt;0))),"""")"),46305.33333333333)</f>
        <v>46305.33333</v>
      </c>
    </row>
    <row r="28" ht="15.75" customHeight="1">
      <c r="A28" s="19" t="s">
        <v>240</v>
      </c>
      <c r="B28" s="19"/>
      <c r="C28" s="19" t="s">
        <v>43</v>
      </c>
      <c r="D28" s="19" t="s">
        <v>61</v>
      </c>
      <c r="E28" s="33">
        <v>46265.33333333333</v>
      </c>
      <c r="F28" s="33">
        <v>46291.18054269676</v>
      </c>
      <c r="G28" s="67">
        <f>IF($A28="","",SUMPRODUCT((AttendanceLog!$E$2:$E$5000=$A28)*(AttendanceLog!$C$2:$C$5000&gt;=MAX($E28,Settings!$B$3))*((AttendanceLog!$I$2:$I$5000="")+(IFERROR(SEARCH(","&amp;$C28&amp;",",","&amp;AttendanceLog!$I$2:$I$5000&amp;","),0)&gt;0))))</f>
        <v>2</v>
      </c>
      <c r="H28" s="21">
        <f>IF($A28="","",SUMPRODUCT((EventLog!$C$2:$C$5000&gt;=MAX($E28,Settings!$B$3))*(EventLog!$C$2:$C$5000&lt;=TODAY())*((EventLog!$F$2:$F$5000="")+(IFERROR(SEARCH(","&amp;$C28&amp;",",","&amp;EventLog!$F$2:$F$5000&amp;","),0)&gt;0))))</f>
        <v>3</v>
      </c>
      <c r="I28" s="26">
        <f t="shared" si="1"/>
        <v>0.6666666667</v>
      </c>
      <c r="J28" s="20">
        <f>IFERROR(__xludf.DUMMYFUNCTION("IFERROR(MAX(FILTER(AttendanceLog!$C:$C,AttendanceLog!$E:$E=$A28,(AttendanceLog!$I:$I="""")+(IFERROR(SEARCH("",""&amp;$C28&amp;"","","",""&amp;AttendanceLog!$I:$I&amp;"",""),0)&gt;0))),"""")"),46305.33333333333)</f>
        <v>46305.33333</v>
      </c>
    </row>
    <row r="29" ht="15.75" customHeight="1">
      <c r="A29" s="19" t="s">
        <v>246</v>
      </c>
      <c r="B29" s="19" t="s">
        <v>219</v>
      </c>
      <c r="C29" s="19" t="s">
        <v>43</v>
      </c>
      <c r="D29" s="19" t="s">
        <v>61</v>
      </c>
      <c r="E29" s="33">
        <v>46265.33333333333</v>
      </c>
      <c r="F29" s="33">
        <v>46273.78427837963</v>
      </c>
      <c r="G29" s="67">
        <f>IF($A29="","",SUMPRODUCT((AttendanceLog!$E$2:$E$5000=$A29)*(AttendanceLog!$C$2:$C$5000&gt;=MAX($E29,Settings!$B$3))*((AttendanceLog!$I$2:$I$5000="")+(IFERROR(SEARCH(","&amp;$C29&amp;",",","&amp;AttendanceLog!$I$2:$I$5000&amp;","),0)&gt;0))))</f>
        <v>1</v>
      </c>
      <c r="H29" s="21">
        <f>IF($A29="","",SUMPRODUCT((EventLog!$C$2:$C$5000&gt;=MAX($E29,Settings!$B$3))*(EventLog!$C$2:$C$5000&lt;=TODAY())*((EventLog!$F$2:$F$5000="")+(IFERROR(SEARCH(","&amp;$C29&amp;",",","&amp;EventLog!$F$2:$F$5000&amp;","),0)&gt;0))))</f>
        <v>3</v>
      </c>
      <c r="I29" s="26">
        <f t="shared" si="1"/>
        <v>0.3333333333</v>
      </c>
      <c r="J29" s="20">
        <f>IFERROR(__xludf.DUMMYFUNCTION("IFERROR(MAX(FILTER(AttendanceLog!$C:$C,AttendanceLog!$E:$E=$A29,(AttendanceLog!$I:$I="""")+(IFERROR(SEARCH("",""&amp;$C29&amp;"","","",""&amp;AttendanceLog!$I:$I&amp;"",""),0)&gt;0))),"""")"),46305.33333333333)</f>
        <v>46305.33333</v>
      </c>
    </row>
    <row r="30" ht="15.75" customHeight="1">
      <c r="A30" s="19" t="s">
        <v>256</v>
      </c>
      <c r="B30" s="19" t="s">
        <v>219</v>
      </c>
      <c r="C30" s="19" t="s">
        <v>43</v>
      </c>
      <c r="D30" s="19" t="s">
        <v>61</v>
      </c>
      <c r="E30" s="33">
        <v>46265.33333333333</v>
      </c>
      <c r="F30" s="33">
        <v>46273.78427837963</v>
      </c>
      <c r="G30" s="67">
        <f>IF($A30="","",SUMPRODUCT((AttendanceLog!$E$2:$E$5000=$A30)*(AttendanceLog!$C$2:$C$5000&gt;=MAX($E30,Settings!$B$3))*((AttendanceLog!$I$2:$I$5000="")+(IFERROR(SEARCH(","&amp;$C30&amp;",",","&amp;AttendanceLog!$I$2:$I$5000&amp;","),0)&gt;0))))</f>
        <v>3</v>
      </c>
      <c r="H30" s="21">
        <f>IF($A30="","",SUMPRODUCT((EventLog!$C$2:$C$5000&gt;=MAX($E30,Settings!$B$3))*(EventLog!$C$2:$C$5000&lt;=TODAY())*((EventLog!$F$2:$F$5000="")+(IFERROR(SEARCH(","&amp;$C30&amp;",",","&amp;EventLog!$F$2:$F$5000&amp;","),0)&gt;0))))</f>
        <v>3</v>
      </c>
      <c r="I30" s="26">
        <f t="shared" si="1"/>
        <v>1</v>
      </c>
      <c r="J30" s="20">
        <f>IFERROR(__xludf.DUMMYFUNCTION("IFERROR(MAX(FILTER(AttendanceLog!$C:$C,AttendanceLog!$E:$E=$A30,(AttendanceLog!$I:$I="""")+(IFERROR(SEARCH("",""&amp;$C30&amp;"","","",""&amp;AttendanceLog!$I:$I&amp;"",""),0)&gt;0))),"""")"),46305.33333333333)</f>
        <v>46305.33333</v>
      </c>
    </row>
    <row r="31" ht="15.75" customHeight="1">
      <c r="A31" s="19" t="s">
        <v>263</v>
      </c>
      <c r="B31" s="19" t="s">
        <v>219</v>
      </c>
      <c r="C31" s="19" t="s">
        <v>43</v>
      </c>
      <c r="D31" s="19" t="s">
        <v>61</v>
      </c>
      <c r="E31" s="33">
        <v>46265.33333333333</v>
      </c>
      <c r="F31" s="33">
        <v>46273.78427837963</v>
      </c>
      <c r="G31" s="67">
        <f>IF($A31="","",SUMPRODUCT((AttendanceLog!$E$2:$E$5000=$A31)*(AttendanceLog!$C$2:$C$5000&gt;=MAX($E31,Settings!$B$3))*((AttendanceLog!$I$2:$I$5000="")+(IFERROR(SEARCH(","&amp;$C31&amp;",",","&amp;AttendanceLog!$I$2:$I$5000&amp;","),0)&gt;0))))</f>
        <v>1</v>
      </c>
      <c r="H31" s="21">
        <f>IF($A31="","",SUMPRODUCT((EventLog!$C$2:$C$5000&gt;=MAX($E31,Settings!$B$3))*(EventLog!$C$2:$C$5000&lt;=TODAY())*((EventLog!$F$2:$F$5000="")+(IFERROR(SEARCH(","&amp;$C31&amp;",",","&amp;EventLog!$F$2:$F$5000&amp;","),0)&gt;0))))</f>
        <v>3</v>
      </c>
      <c r="I31" s="26">
        <f t="shared" si="1"/>
        <v>0.3333333333</v>
      </c>
      <c r="J31" s="20">
        <f>IFERROR(__xludf.DUMMYFUNCTION("IFERROR(MAX(FILTER(AttendanceLog!$C:$C,AttendanceLog!$E:$E=$A31,(AttendanceLog!$I:$I="""")+(IFERROR(SEARCH("",""&amp;$C31&amp;"","","",""&amp;AttendanceLog!$I:$I&amp;"",""),0)&gt;0))),"""")"),46305.33333333333)</f>
        <v>46305.33333</v>
      </c>
    </row>
    <row r="32" ht="15.75" customHeight="1">
      <c r="A32" s="19" t="s">
        <v>249</v>
      </c>
      <c r="B32" s="19" t="s">
        <v>219</v>
      </c>
      <c r="C32" s="19" t="s">
        <v>43</v>
      </c>
      <c r="D32" s="19" t="s">
        <v>61</v>
      </c>
      <c r="E32" s="33">
        <v>46265.33333333333</v>
      </c>
      <c r="F32" s="33">
        <v>46273.78427837963</v>
      </c>
      <c r="G32" s="67">
        <f>IF($A32="","",SUMPRODUCT((AttendanceLog!$E$2:$E$5000=$A32)*(AttendanceLog!$C$2:$C$5000&gt;=MAX($E32,Settings!$B$3))*((AttendanceLog!$I$2:$I$5000="")+(IFERROR(SEARCH(","&amp;$C32&amp;",",","&amp;AttendanceLog!$I$2:$I$5000&amp;","),0)&gt;0))))</f>
        <v>2</v>
      </c>
      <c r="H32" s="21">
        <f>IF($A32="","",SUMPRODUCT((EventLog!$C$2:$C$5000&gt;=MAX($E32,Settings!$B$3))*(EventLog!$C$2:$C$5000&lt;=TODAY())*((EventLog!$F$2:$F$5000="")+(IFERROR(SEARCH(","&amp;$C32&amp;",",","&amp;EventLog!$F$2:$F$5000&amp;","),0)&gt;0))))</f>
        <v>3</v>
      </c>
      <c r="I32" s="26">
        <f t="shared" si="1"/>
        <v>0.6666666667</v>
      </c>
      <c r="J32" s="20">
        <f>IFERROR(__xludf.DUMMYFUNCTION("IFERROR(MAX(FILTER(AttendanceLog!$C:$C,AttendanceLog!$E:$E=$A32,(AttendanceLog!$I:$I="""")+(IFERROR(SEARCH("",""&amp;$C32&amp;"","","",""&amp;AttendanceLog!$I:$I&amp;"",""),0)&gt;0))),"""")"),46305.33333333333)</f>
        <v>46305.33333</v>
      </c>
    </row>
    <row r="33" ht="15.75" customHeight="1">
      <c r="A33" s="19" t="s">
        <v>238</v>
      </c>
      <c r="B33" s="19" t="s">
        <v>219</v>
      </c>
      <c r="C33" s="19" t="s">
        <v>43</v>
      </c>
      <c r="D33" s="19" t="s">
        <v>61</v>
      </c>
      <c r="E33" s="33">
        <v>46265.33333333333</v>
      </c>
      <c r="F33" s="33">
        <v>46273.78427837963</v>
      </c>
      <c r="G33" s="67">
        <f>IF($A33="","",SUMPRODUCT((AttendanceLog!$E$2:$E$5000=$A33)*(AttendanceLog!$C$2:$C$5000&gt;=MAX($E33,Settings!$B$3))*((AttendanceLog!$I$2:$I$5000="")+(IFERROR(SEARCH(","&amp;$C33&amp;",",","&amp;AttendanceLog!$I$2:$I$5000&amp;","),0)&gt;0))))</f>
        <v>1</v>
      </c>
      <c r="H33" s="21">
        <f>IF($A33="","",SUMPRODUCT((EventLog!$C$2:$C$5000&gt;=MAX($E33,Settings!$B$3))*(EventLog!$C$2:$C$5000&lt;=TODAY())*((EventLog!$F$2:$F$5000="")+(IFERROR(SEARCH(","&amp;$C33&amp;",",","&amp;EventLog!$F$2:$F$5000&amp;","),0)&gt;0))))</f>
        <v>3</v>
      </c>
      <c r="I33" s="26">
        <f t="shared" si="1"/>
        <v>0.3333333333</v>
      </c>
      <c r="J33" s="20">
        <f>IFERROR(__xludf.DUMMYFUNCTION("IFERROR(MAX(FILTER(AttendanceLog!$C:$C,AttendanceLog!$E:$E=$A33,(AttendanceLog!$I:$I="""")+(IFERROR(SEARCH("",""&amp;$C33&amp;"","","",""&amp;AttendanceLog!$I:$I&amp;"",""),0)&gt;0))),"""")"),46275.33333333333)</f>
        <v>46275.33333</v>
      </c>
    </row>
    <row r="34" ht="15.75" customHeight="1">
      <c r="A34" s="19" t="s">
        <v>245</v>
      </c>
      <c r="B34" s="19" t="s">
        <v>219</v>
      </c>
      <c r="C34" s="19" t="s">
        <v>43</v>
      </c>
      <c r="D34" s="19" t="s">
        <v>61</v>
      </c>
      <c r="E34" s="33">
        <v>46265.33333333333</v>
      </c>
      <c r="F34" s="33">
        <v>46273.78427837963</v>
      </c>
      <c r="G34" s="67">
        <f>IF($A34="","",SUMPRODUCT((AttendanceLog!$E$2:$E$5000=$A34)*(AttendanceLog!$C$2:$C$5000&gt;=MAX($E34,Settings!$B$3))*((AttendanceLog!$I$2:$I$5000="")+(IFERROR(SEARCH(","&amp;$C34&amp;",",","&amp;AttendanceLog!$I$2:$I$5000&amp;","),0)&gt;0))))</f>
        <v>3</v>
      </c>
      <c r="H34" s="21">
        <f>IF($A34="","",SUMPRODUCT((EventLog!$C$2:$C$5000&gt;=MAX($E34,Settings!$B$3))*(EventLog!$C$2:$C$5000&lt;=TODAY())*((EventLog!$F$2:$F$5000="")+(IFERROR(SEARCH(","&amp;$C34&amp;",",","&amp;EventLog!$F$2:$F$5000&amp;","),0)&gt;0))))</f>
        <v>3</v>
      </c>
      <c r="I34" s="26">
        <f t="shared" si="1"/>
        <v>1</v>
      </c>
      <c r="J34" s="20">
        <f>IFERROR(__xludf.DUMMYFUNCTION("IFERROR(MAX(FILTER(AttendanceLog!$C:$C,AttendanceLog!$E:$E=$A34,(AttendanceLog!$I:$I="""")+(IFERROR(SEARCH("",""&amp;$C34&amp;"","","",""&amp;AttendanceLog!$I:$I&amp;"",""),0)&gt;0))),"""")"),46305.33333333333)</f>
        <v>46305.33333</v>
      </c>
    </row>
    <row r="35" ht="15.75" customHeight="1">
      <c r="A35" s="19" t="s">
        <v>258</v>
      </c>
      <c r="B35" s="19" t="s">
        <v>219</v>
      </c>
      <c r="C35" s="19" t="s">
        <v>43</v>
      </c>
      <c r="D35" s="19" t="s">
        <v>61</v>
      </c>
      <c r="E35" s="33">
        <v>46265.33333333333</v>
      </c>
      <c r="F35" s="33">
        <v>46273.78427837963</v>
      </c>
      <c r="G35" s="67">
        <f>IF($A35="","",SUMPRODUCT((AttendanceLog!$E$2:$E$5000=$A35)*(AttendanceLog!$C$2:$C$5000&gt;=MAX($E35,Settings!$B$3))*((AttendanceLog!$I$2:$I$5000="")+(IFERROR(SEARCH(","&amp;$C35&amp;",",","&amp;AttendanceLog!$I$2:$I$5000&amp;","),0)&gt;0))))</f>
        <v>1</v>
      </c>
      <c r="H35" s="21">
        <f>IF($A35="","",SUMPRODUCT((EventLog!$C$2:$C$5000&gt;=MAX($E35,Settings!$B$3))*(EventLog!$C$2:$C$5000&lt;=TODAY())*((EventLog!$F$2:$F$5000="")+(IFERROR(SEARCH(","&amp;$C35&amp;",",","&amp;EventLog!$F$2:$F$5000&amp;","),0)&gt;0))))</f>
        <v>3</v>
      </c>
      <c r="I35" s="26">
        <f t="shared" si="1"/>
        <v>0.3333333333</v>
      </c>
      <c r="J35" s="20">
        <f>IFERROR(__xludf.DUMMYFUNCTION("IFERROR(MAX(FILTER(AttendanceLog!$C:$C,AttendanceLog!$E:$E=$A35,(AttendanceLog!$I:$I="""")+(IFERROR(SEARCH("",""&amp;$C35&amp;"","","",""&amp;AttendanceLog!$I:$I&amp;"",""),0)&gt;0))),"""")"),46305.33333333333)</f>
        <v>46305.33333</v>
      </c>
    </row>
    <row r="36" ht="15.75" customHeight="1">
      <c r="A36" s="19" t="s">
        <v>234</v>
      </c>
      <c r="B36" s="19" t="s">
        <v>219</v>
      </c>
      <c r="C36" s="19" t="s">
        <v>43</v>
      </c>
      <c r="D36" s="19" t="s">
        <v>61</v>
      </c>
      <c r="E36" s="33">
        <v>46265.33333333333</v>
      </c>
      <c r="F36" s="33">
        <v>46273.78427837963</v>
      </c>
      <c r="G36" s="67">
        <f>IF($A36="","",SUMPRODUCT((AttendanceLog!$E$2:$E$5000=$A36)*(AttendanceLog!$C$2:$C$5000&gt;=MAX($E36,Settings!$B$3))*((AttendanceLog!$I$2:$I$5000="")+(IFERROR(SEARCH(","&amp;$C36&amp;",",","&amp;AttendanceLog!$I$2:$I$5000&amp;","),0)&gt;0))))</f>
        <v>0</v>
      </c>
      <c r="H36" s="21">
        <f>IF($A36="","",SUMPRODUCT((EventLog!$C$2:$C$5000&gt;=MAX($E36,Settings!$B$3))*(EventLog!$C$2:$C$5000&lt;=TODAY())*((EventLog!$F$2:$F$5000="")+(IFERROR(SEARCH(","&amp;$C36&amp;",",","&amp;EventLog!$F$2:$F$5000&amp;","),0)&gt;0))))</f>
        <v>3</v>
      </c>
      <c r="I36" s="26">
        <f t="shared" si="1"/>
        <v>0</v>
      </c>
      <c r="J36" s="20" t="str">
        <f>IFERROR(__xludf.DUMMYFUNCTION("IFERROR(MAX(FILTER(AttendanceLog!$C:$C,AttendanceLog!$E:$E=$A36,(AttendanceLog!$I:$I="""")+(IFERROR(SEARCH("",""&amp;$C36&amp;"","","",""&amp;AttendanceLog!$I:$I&amp;"",""),0)&gt;0))),"""")"),"")</f>
        <v/>
      </c>
    </row>
    <row r="37" ht="15.75" customHeight="1">
      <c r="A37" s="19" t="s">
        <v>241</v>
      </c>
      <c r="B37" s="19" t="s">
        <v>219</v>
      </c>
      <c r="C37" s="19" t="s">
        <v>43</v>
      </c>
      <c r="D37" s="19" t="s">
        <v>61</v>
      </c>
      <c r="E37" s="33">
        <v>46265.33333333333</v>
      </c>
      <c r="F37" s="33">
        <v>46273.78427837963</v>
      </c>
      <c r="G37" s="67">
        <f>IF($A37="","",SUMPRODUCT((AttendanceLog!$E$2:$E$5000=$A37)*(AttendanceLog!$C$2:$C$5000&gt;=MAX($E37,Settings!$B$3))*((AttendanceLog!$I$2:$I$5000="")+(IFERROR(SEARCH(","&amp;$C37&amp;",",","&amp;AttendanceLog!$I$2:$I$5000&amp;","),0)&gt;0))))</f>
        <v>3</v>
      </c>
      <c r="H37" s="21">
        <f>IF($A37="","",SUMPRODUCT((EventLog!$C$2:$C$5000&gt;=MAX($E37,Settings!$B$3))*(EventLog!$C$2:$C$5000&lt;=TODAY())*((EventLog!$F$2:$F$5000="")+(IFERROR(SEARCH(","&amp;$C37&amp;",",","&amp;EventLog!$F$2:$F$5000&amp;","),0)&gt;0))))</f>
        <v>3</v>
      </c>
      <c r="I37" s="26">
        <f t="shared" si="1"/>
        <v>1</v>
      </c>
      <c r="J37" s="20">
        <f>IFERROR(__xludf.DUMMYFUNCTION("IFERROR(MAX(FILTER(AttendanceLog!$C:$C,AttendanceLog!$E:$E=$A37,(AttendanceLog!$I:$I="""")+(IFERROR(SEARCH("",""&amp;$C37&amp;"","","",""&amp;AttendanceLog!$I:$I&amp;"",""),0)&gt;0))),"""")"),46305.33333333333)</f>
        <v>46305.33333</v>
      </c>
    </row>
    <row r="38" ht="15.75" customHeight="1">
      <c r="A38" s="19" t="s">
        <v>268</v>
      </c>
      <c r="B38" s="19" t="s">
        <v>219</v>
      </c>
      <c r="C38" s="19" t="s">
        <v>43</v>
      </c>
      <c r="D38" s="19" t="s">
        <v>61</v>
      </c>
      <c r="E38" s="33">
        <v>46265.33333333333</v>
      </c>
      <c r="F38" s="33">
        <v>46273.78427837963</v>
      </c>
      <c r="G38" s="67">
        <f>IF($A38="","",SUMPRODUCT((AttendanceLog!$E$2:$E$5000=$A38)*(AttendanceLog!$C$2:$C$5000&gt;=MAX($E38,Settings!$B$3))*((AttendanceLog!$I$2:$I$5000="")+(IFERROR(SEARCH(","&amp;$C38&amp;",",","&amp;AttendanceLog!$I$2:$I$5000&amp;","),0)&gt;0))))</f>
        <v>1</v>
      </c>
      <c r="H38" s="21">
        <f>IF($A38="","",SUMPRODUCT((EventLog!$C$2:$C$5000&gt;=MAX($E38,Settings!$B$3))*(EventLog!$C$2:$C$5000&lt;=TODAY())*((EventLog!$F$2:$F$5000="")+(IFERROR(SEARCH(","&amp;$C38&amp;",",","&amp;EventLog!$F$2:$F$5000&amp;","),0)&gt;0))))</f>
        <v>3</v>
      </c>
      <c r="I38" s="26">
        <f t="shared" si="1"/>
        <v>0.3333333333</v>
      </c>
      <c r="J38" s="20">
        <f>IFERROR(__xludf.DUMMYFUNCTION("IFERROR(MAX(FILTER(AttendanceLog!$C:$C,AttendanceLog!$E:$E=$A38,(AttendanceLog!$I:$I="""")+(IFERROR(SEARCH("",""&amp;$C38&amp;"","","",""&amp;AttendanceLog!$I:$I&amp;"",""),0)&gt;0))),"""")"),46303.33333333333)</f>
        <v>46303.33333</v>
      </c>
    </row>
    <row r="39" ht="15.75" customHeight="1">
      <c r="A39" s="19" t="s">
        <v>84</v>
      </c>
      <c r="B39" s="19" t="s">
        <v>219</v>
      </c>
      <c r="C39" s="19" t="s">
        <v>43</v>
      </c>
      <c r="D39" s="19" t="s">
        <v>61</v>
      </c>
      <c r="E39" s="33">
        <v>46265.33333333333</v>
      </c>
      <c r="F39" s="33">
        <v>46273.78427837963</v>
      </c>
      <c r="G39" s="67">
        <f>IF($A39="","",SUMPRODUCT((AttendanceLog!$E$2:$E$5000=$A39)*(AttendanceLog!$C$2:$C$5000&gt;=MAX($E39,Settings!$B$3))*((AttendanceLog!$I$2:$I$5000="")+(IFERROR(SEARCH(","&amp;$C39&amp;",",","&amp;AttendanceLog!$I$2:$I$5000&amp;","),0)&gt;0))))</f>
        <v>2</v>
      </c>
      <c r="H39" s="21">
        <f>IF($A39="","",SUMPRODUCT((EventLog!$C$2:$C$5000&gt;=MAX($E39,Settings!$B$3))*(EventLog!$C$2:$C$5000&lt;=TODAY())*((EventLog!$F$2:$F$5000="")+(IFERROR(SEARCH(","&amp;$C39&amp;",",","&amp;EventLog!$F$2:$F$5000&amp;","),0)&gt;0))))</f>
        <v>3</v>
      </c>
      <c r="I39" s="26">
        <f t="shared" si="1"/>
        <v>0.6666666667</v>
      </c>
      <c r="J39" s="20">
        <f>IFERROR(__xludf.DUMMYFUNCTION("IFERROR(MAX(FILTER(AttendanceLog!$C:$C,AttendanceLog!$E:$E=$A39,(AttendanceLog!$I:$I="""")+(IFERROR(SEARCH("",""&amp;$C39&amp;"","","",""&amp;AttendanceLog!$I:$I&amp;"",""),0)&gt;0))),"""")"),46305.33333333333)</f>
        <v>46305.33333</v>
      </c>
    </row>
    <row r="40" ht="15.75" customHeight="1">
      <c r="A40" s="19" t="s">
        <v>242</v>
      </c>
      <c r="B40" s="19" t="s">
        <v>219</v>
      </c>
      <c r="C40" s="19" t="s">
        <v>43</v>
      </c>
      <c r="D40" s="19" t="s">
        <v>61</v>
      </c>
      <c r="E40" s="33">
        <v>46265.33333333333</v>
      </c>
      <c r="F40" s="33">
        <v>46273.78427837963</v>
      </c>
      <c r="G40" s="67">
        <f>IF($A40="","",SUMPRODUCT((AttendanceLog!$E$2:$E$5000=$A40)*(AttendanceLog!$C$2:$C$5000&gt;=MAX($E40,Settings!$B$3))*((AttendanceLog!$I$2:$I$5000="")+(IFERROR(SEARCH(","&amp;$C40&amp;",",","&amp;AttendanceLog!$I$2:$I$5000&amp;","),0)&gt;0))))</f>
        <v>3</v>
      </c>
      <c r="H40" s="21">
        <f>IF($A40="","",SUMPRODUCT((EventLog!$C$2:$C$5000&gt;=MAX($E40,Settings!$B$3))*(EventLog!$C$2:$C$5000&lt;=TODAY())*((EventLog!$F$2:$F$5000="")+(IFERROR(SEARCH(","&amp;$C40&amp;",",","&amp;EventLog!$F$2:$F$5000&amp;","),0)&gt;0))))</f>
        <v>3</v>
      </c>
      <c r="I40" s="26">
        <f t="shared" si="1"/>
        <v>1</v>
      </c>
      <c r="J40" s="20">
        <f>IFERROR(__xludf.DUMMYFUNCTION("IFERROR(MAX(FILTER(AttendanceLog!$C:$C,AttendanceLog!$E:$E=$A40,(AttendanceLog!$I:$I="""")+(IFERROR(SEARCH("",""&amp;$C40&amp;"","","",""&amp;AttendanceLog!$I:$I&amp;"",""),0)&gt;0))),"""")"),46305.33333333333)</f>
        <v>46305.33333</v>
      </c>
    </row>
    <row r="41" ht="15.75" customHeight="1">
      <c r="A41" s="19" t="s">
        <v>250</v>
      </c>
      <c r="B41" s="19" t="s">
        <v>219</v>
      </c>
      <c r="C41" s="19" t="s">
        <v>43</v>
      </c>
      <c r="D41" s="19" t="s">
        <v>61</v>
      </c>
      <c r="E41" s="33">
        <v>46265.33333333333</v>
      </c>
      <c r="F41" s="33">
        <v>46273.78427837963</v>
      </c>
      <c r="G41" s="67">
        <f>IF($A41="","",SUMPRODUCT((AttendanceLog!$E$2:$E$5000=$A41)*(AttendanceLog!$C$2:$C$5000&gt;=MAX($E41,Settings!$B$3))*((AttendanceLog!$I$2:$I$5000="")+(IFERROR(SEARCH(","&amp;$C41&amp;",",","&amp;AttendanceLog!$I$2:$I$5000&amp;","),0)&gt;0))))</f>
        <v>2</v>
      </c>
      <c r="H41" s="21">
        <f>IF($A41="","",SUMPRODUCT((EventLog!$C$2:$C$5000&gt;=MAX($E41,Settings!$B$3))*(EventLog!$C$2:$C$5000&lt;=TODAY())*((EventLog!$F$2:$F$5000="")+(IFERROR(SEARCH(","&amp;$C41&amp;",",","&amp;EventLog!$F$2:$F$5000&amp;","),0)&gt;0))))</f>
        <v>3</v>
      </c>
      <c r="I41" s="26">
        <f t="shared" si="1"/>
        <v>0.6666666667</v>
      </c>
      <c r="J41" s="20">
        <f>IFERROR(__xludf.DUMMYFUNCTION("IFERROR(MAX(FILTER(AttendanceLog!$C:$C,AttendanceLog!$E:$E=$A41,(AttendanceLog!$I:$I="""")+(IFERROR(SEARCH("",""&amp;$C41&amp;"","","",""&amp;AttendanceLog!$I:$I&amp;"",""),0)&gt;0))),"""")"),46305.33333333333)</f>
        <v>46305.33333</v>
      </c>
    </row>
    <row r="42" ht="15.75" customHeight="1">
      <c r="A42" s="19" t="s">
        <v>264</v>
      </c>
      <c r="B42" s="19" t="s">
        <v>219</v>
      </c>
      <c r="C42" s="19" t="s">
        <v>43</v>
      </c>
      <c r="D42" s="19" t="s">
        <v>61</v>
      </c>
      <c r="E42" s="33">
        <v>46265.33333333333</v>
      </c>
      <c r="F42" s="33">
        <v>46273.78427837963</v>
      </c>
      <c r="G42" s="67">
        <f>IF($A42="","",SUMPRODUCT((AttendanceLog!$E$2:$E$5000=$A42)*(AttendanceLog!$C$2:$C$5000&gt;=MAX($E42,Settings!$B$3))*((AttendanceLog!$I$2:$I$5000="")+(IFERROR(SEARCH(","&amp;$C42&amp;",",","&amp;AttendanceLog!$I$2:$I$5000&amp;","),0)&gt;0))))</f>
        <v>1</v>
      </c>
      <c r="H42" s="21">
        <f>IF($A42="","",SUMPRODUCT((EventLog!$C$2:$C$5000&gt;=MAX($E42,Settings!$B$3))*(EventLog!$C$2:$C$5000&lt;=TODAY())*((EventLog!$F$2:$F$5000="")+(IFERROR(SEARCH(","&amp;$C42&amp;",",","&amp;EventLog!$F$2:$F$5000&amp;","),0)&gt;0))))</f>
        <v>3</v>
      </c>
      <c r="I42" s="26">
        <f t="shared" si="1"/>
        <v>0.3333333333</v>
      </c>
      <c r="J42" s="20">
        <f>IFERROR(__xludf.DUMMYFUNCTION("IFERROR(MAX(FILTER(AttendanceLog!$C:$C,AttendanceLog!$E:$E=$A42,(AttendanceLog!$I:$I="""")+(IFERROR(SEARCH("",""&amp;$C42&amp;"","","",""&amp;AttendanceLog!$I:$I&amp;"",""),0)&gt;0))),"""")"),46305.33333333333)</f>
        <v>46305.33333</v>
      </c>
    </row>
    <row r="43" ht="15.75" customHeight="1">
      <c r="A43" s="19" t="s">
        <v>81</v>
      </c>
      <c r="B43" s="19" t="s">
        <v>219</v>
      </c>
      <c r="C43" s="19" t="s">
        <v>43</v>
      </c>
      <c r="D43" s="19" t="s">
        <v>61</v>
      </c>
      <c r="E43" s="33">
        <v>46265.33333333333</v>
      </c>
      <c r="F43" s="33">
        <v>46273.78427837963</v>
      </c>
      <c r="G43" s="67">
        <f>IF($A43="","",SUMPRODUCT((AttendanceLog!$E$2:$E$5000=$A43)*(AttendanceLog!$C$2:$C$5000&gt;=MAX($E43,Settings!$B$3))*((AttendanceLog!$I$2:$I$5000="")+(IFERROR(SEARCH(","&amp;$C43&amp;",",","&amp;AttendanceLog!$I$2:$I$5000&amp;","),0)&gt;0))))</f>
        <v>3</v>
      </c>
      <c r="H43" s="21">
        <f>IF($A43="","",SUMPRODUCT((EventLog!$C$2:$C$5000&gt;=MAX($E43,Settings!$B$3))*(EventLog!$C$2:$C$5000&lt;=TODAY())*((EventLog!$F$2:$F$5000="")+(IFERROR(SEARCH(","&amp;$C43&amp;",",","&amp;EventLog!$F$2:$F$5000&amp;","),0)&gt;0))))</f>
        <v>3</v>
      </c>
      <c r="I43" s="26">
        <f t="shared" si="1"/>
        <v>1</v>
      </c>
      <c r="J43" s="20">
        <f>IFERROR(__xludf.DUMMYFUNCTION("IFERROR(MAX(FILTER(AttendanceLog!$C:$C,AttendanceLog!$E:$E=$A43,(AttendanceLog!$I:$I="""")+(IFERROR(SEARCH("",""&amp;$C43&amp;"","","",""&amp;AttendanceLog!$I:$I&amp;"",""),0)&gt;0))),"""")"),46305.33333333333)</f>
        <v>46305.33333</v>
      </c>
    </row>
    <row r="44" ht="15.75" customHeight="1">
      <c r="A44" s="19" t="s">
        <v>86</v>
      </c>
      <c r="B44" s="19" t="s">
        <v>219</v>
      </c>
      <c r="C44" s="19" t="s">
        <v>43</v>
      </c>
      <c r="D44" s="19" t="s">
        <v>61</v>
      </c>
      <c r="E44" s="33">
        <v>46265.33333333333</v>
      </c>
      <c r="F44" s="33">
        <v>46273.78427837963</v>
      </c>
      <c r="G44" s="67">
        <f>IF($A44="","",SUMPRODUCT((AttendanceLog!$E$2:$E$5000=$A44)*(AttendanceLog!$C$2:$C$5000&gt;=MAX($E44,Settings!$B$3))*((AttendanceLog!$I$2:$I$5000="")+(IFERROR(SEARCH(","&amp;$C44&amp;",",","&amp;AttendanceLog!$I$2:$I$5000&amp;","),0)&gt;0))))</f>
        <v>1</v>
      </c>
      <c r="H44" s="21">
        <f>IF($A44="","",SUMPRODUCT((EventLog!$C$2:$C$5000&gt;=MAX($E44,Settings!$B$3))*(EventLog!$C$2:$C$5000&lt;=TODAY())*((EventLog!$F$2:$F$5000="")+(IFERROR(SEARCH(","&amp;$C44&amp;",",","&amp;EventLog!$F$2:$F$5000&amp;","),0)&gt;0))))</f>
        <v>3</v>
      </c>
      <c r="I44" s="26">
        <f t="shared" si="1"/>
        <v>0.3333333333</v>
      </c>
      <c r="J44" s="20">
        <f>IFERROR(__xludf.DUMMYFUNCTION("IFERROR(MAX(FILTER(AttendanceLog!$C:$C,AttendanceLog!$E:$E=$A44,(AttendanceLog!$I:$I="""")+(IFERROR(SEARCH("",""&amp;$C44&amp;"","","",""&amp;AttendanceLog!$I:$I&amp;"",""),0)&gt;0))),"""")"),46303.33333333333)</f>
        <v>46303.33333</v>
      </c>
    </row>
    <row r="45" ht="15.75" customHeight="1">
      <c r="A45" s="19" t="s">
        <v>221</v>
      </c>
      <c r="B45" s="19" t="s">
        <v>219</v>
      </c>
      <c r="C45" s="19" t="s">
        <v>43</v>
      </c>
      <c r="D45" s="19" t="s">
        <v>61</v>
      </c>
      <c r="E45" s="33">
        <v>46265.33333333333</v>
      </c>
      <c r="F45" s="33">
        <v>46273.78427837963</v>
      </c>
      <c r="G45" s="67">
        <f>IF($A45="","",SUMPRODUCT((AttendanceLog!$E$2:$E$5000=$A45)*(AttendanceLog!$C$2:$C$5000&gt;=MAX($E45,Settings!$B$3))*((AttendanceLog!$I$2:$I$5000="")+(IFERROR(SEARCH(","&amp;$C45&amp;",",","&amp;AttendanceLog!$I$2:$I$5000&amp;","),0)&gt;0))))</f>
        <v>1</v>
      </c>
      <c r="H45" s="21">
        <f>IF($A45="","",SUMPRODUCT((EventLog!$C$2:$C$5000&gt;=MAX($E45,Settings!$B$3))*(EventLog!$C$2:$C$5000&lt;=TODAY())*((EventLog!$F$2:$F$5000="")+(IFERROR(SEARCH(","&amp;$C45&amp;",",","&amp;EventLog!$F$2:$F$5000&amp;","),0)&gt;0))))</f>
        <v>3</v>
      </c>
      <c r="I45" s="26">
        <f t="shared" si="1"/>
        <v>0.3333333333</v>
      </c>
      <c r="J45" s="20">
        <f>IFERROR(__xludf.DUMMYFUNCTION("IFERROR(MAX(FILTER(AttendanceLog!$C:$C,AttendanceLog!$E:$E=$A45,(AttendanceLog!$I:$I="""")+(IFERROR(SEARCH("",""&amp;$C45&amp;"","","",""&amp;AttendanceLog!$I:$I&amp;"",""),0)&gt;0))),"""")"),46275.33333333333)</f>
        <v>46275.33333</v>
      </c>
    </row>
    <row r="46" ht="15.75" customHeight="1">
      <c r="A46" s="19" t="s">
        <v>233</v>
      </c>
      <c r="B46" s="19" t="s">
        <v>219</v>
      </c>
      <c r="C46" s="19" t="s">
        <v>43</v>
      </c>
      <c r="D46" s="19" t="s">
        <v>61</v>
      </c>
      <c r="E46" s="33">
        <v>46265.33333333333</v>
      </c>
      <c r="F46" s="33">
        <v>46273.78427837963</v>
      </c>
      <c r="G46" s="67">
        <f>IF($A46="","",SUMPRODUCT((AttendanceLog!$E$2:$E$5000=$A46)*(AttendanceLog!$C$2:$C$5000&gt;=MAX($E46,Settings!$B$3))*((AttendanceLog!$I$2:$I$5000="")+(IFERROR(SEARCH(","&amp;$C46&amp;",",","&amp;AttendanceLog!$I$2:$I$5000&amp;","),0)&gt;0))))</f>
        <v>2</v>
      </c>
      <c r="H46" s="21">
        <f>IF($A46="","",SUMPRODUCT((EventLog!$C$2:$C$5000&gt;=MAX($E46,Settings!$B$3))*(EventLog!$C$2:$C$5000&lt;=TODAY())*((EventLog!$F$2:$F$5000="")+(IFERROR(SEARCH(","&amp;$C46&amp;",",","&amp;EventLog!$F$2:$F$5000&amp;","),0)&gt;0))))</f>
        <v>3</v>
      </c>
      <c r="I46" s="26">
        <f t="shared" si="1"/>
        <v>0.6666666667</v>
      </c>
      <c r="J46" s="20">
        <f>IFERROR(__xludf.DUMMYFUNCTION("IFERROR(MAX(FILTER(AttendanceLog!$C:$C,AttendanceLog!$E:$E=$A46,(AttendanceLog!$I:$I="""")+(IFERROR(SEARCH("",""&amp;$C46&amp;"","","",""&amp;AttendanceLog!$I:$I&amp;"",""),0)&gt;0))),"""")"),46305.33333333333)</f>
        <v>46305.33333</v>
      </c>
    </row>
    <row r="47" ht="15.75" customHeight="1">
      <c r="A47" s="19" t="s">
        <v>226</v>
      </c>
      <c r="B47" s="19" t="s">
        <v>219</v>
      </c>
      <c r="C47" s="19" t="s">
        <v>43</v>
      </c>
      <c r="D47" s="19" t="s">
        <v>61</v>
      </c>
      <c r="E47" s="33">
        <v>46265.33333333333</v>
      </c>
      <c r="F47" s="33">
        <v>46273.78427837963</v>
      </c>
      <c r="G47" s="67">
        <f>IF($A47="","",SUMPRODUCT((AttendanceLog!$E$2:$E$5000=$A47)*(AttendanceLog!$C$2:$C$5000&gt;=MAX($E47,Settings!$B$3))*((AttendanceLog!$I$2:$I$5000="")+(IFERROR(SEARCH(","&amp;$C47&amp;",",","&amp;AttendanceLog!$I$2:$I$5000&amp;","),0)&gt;0))))</f>
        <v>0</v>
      </c>
      <c r="H47" s="21">
        <f>IF($A47="","",SUMPRODUCT((EventLog!$C$2:$C$5000&gt;=MAX($E47,Settings!$B$3))*(EventLog!$C$2:$C$5000&lt;=TODAY())*((EventLog!$F$2:$F$5000="")+(IFERROR(SEARCH(","&amp;$C47&amp;",",","&amp;EventLog!$F$2:$F$5000&amp;","),0)&gt;0))))</f>
        <v>3</v>
      </c>
      <c r="I47" s="26">
        <f t="shared" si="1"/>
        <v>0</v>
      </c>
      <c r="J47" s="20" t="str">
        <f>IFERROR(__xludf.DUMMYFUNCTION("IFERROR(MAX(FILTER(AttendanceLog!$C:$C,AttendanceLog!$E:$E=$A47,(AttendanceLog!$I:$I="""")+(IFERROR(SEARCH("",""&amp;$C47&amp;"","","",""&amp;AttendanceLog!$I:$I&amp;"",""),0)&gt;0))),"""")"),"")</f>
        <v/>
      </c>
    </row>
    <row r="48" ht="15.75" customHeight="1">
      <c r="A48" s="19" t="s">
        <v>222</v>
      </c>
      <c r="B48" s="19" t="s">
        <v>219</v>
      </c>
      <c r="C48" s="19" t="s">
        <v>43</v>
      </c>
      <c r="D48" s="19" t="s">
        <v>61</v>
      </c>
      <c r="E48" s="33">
        <v>46265.33333333333</v>
      </c>
      <c r="F48" s="33">
        <v>46273.78427837963</v>
      </c>
      <c r="G48" s="67">
        <f>IF($A48="","",SUMPRODUCT((AttendanceLog!$E$2:$E$5000=$A48)*(AttendanceLog!$C$2:$C$5000&gt;=MAX($E48,Settings!$B$3))*((AttendanceLog!$I$2:$I$5000="")+(IFERROR(SEARCH(","&amp;$C48&amp;",",","&amp;AttendanceLog!$I$2:$I$5000&amp;","),0)&gt;0))))</f>
        <v>0</v>
      </c>
      <c r="H48" s="21">
        <f>IF($A48="","",SUMPRODUCT((EventLog!$C$2:$C$5000&gt;=MAX($E48,Settings!$B$3))*(EventLog!$C$2:$C$5000&lt;=TODAY())*((EventLog!$F$2:$F$5000="")+(IFERROR(SEARCH(","&amp;$C48&amp;",",","&amp;EventLog!$F$2:$F$5000&amp;","),0)&gt;0))))</f>
        <v>3</v>
      </c>
      <c r="I48" s="26">
        <f t="shared" si="1"/>
        <v>0</v>
      </c>
      <c r="J48" s="20" t="str">
        <f>IFERROR(__xludf.DUMMYFUNCTION("IFERROR(MAX(FILTER(AttendanceLog!$C:$C,AttendanceLog!$E:$E=$A48,(AttendanceLog!$I:$I="""")+(IFERROR(SEARCH("",""&amp;$C48&amp;"","","",""&amp;AttendanceLog!$I:$I&amp;"",""),0)&gt;0))),"""")"),"")</f>
        <v/>
      </c>
    </row>
    <row r="49" ht="15.75" customHeight="1">
      <c r="A49" s="19" t="s">
        <v>225</v>
      </c>
      <c r="B49" s="19" t="s">
        <v>219</v>
      </c>
      <c r="C49" s="19" t="s">
        <v>43</v>
      </c>
      <c r="D49" s="19" t="s">
        <v>61</v>
      </c>
      <c r="E49" s="33">
        <v>46265.33333333333</v>
      </c>
      <c r="F49" s="33">
        <v>46273.78427837963</v>
      </c>
      <c r="G49" s="67">
        <f>IF($A49="","",SUMPRODUCT((AttendanceLog!$E$2:$E$5000=$A49)*(AttendanceLog!$C$2:$C$5000&gt;=MAX($E49,Settings!$B$3))*((AttendanceLog!$I$2:$I$5000="")+(IFERROR(SEARCH(","&amp;$C49&amp;",",","&amp;AttendanceLog!$I$2:$I$5000&amp;","),0)&gt;0))))</f>
        <v>0</v>
      </c>
      <c r="H49" s="21">
        <f>IF($A49="","",SUMPRODUCT((EventLog!$C$2:$C$5000&gt;=MAX($E49,Settings!$B$3))*(EventLog!$C$2:$C$5000&lt;=TODAY())*((EventLog!$F$2:$F$5000="")+(IFERROR(SEARCH(","&amp;$C49&amp;",",","&amp;EventLog!$F$2:$F$5000&amp;","),0)&gt;0))))</f>
        <v>3</v>
      </c>
      <c r="I49" s="26">
        <f t="shared" si="1"/>
        <v>0</v>
      </c>
      <c r="J49" s="20" t="str">
        <f>IFERROR(__xludf.DUMMYFUNCTION("IFERROR(MAX(FILTER(AttendanceLog!$C:$C,AttendanceLog!$E:$E=$A49,(AttendanceLog!$I:$I="""")+(IFERROR(SEARCH("",""&amp;$C49&amp;"","","",""&amp;AttendanceLog!$I:$I&amp;"",""),0)&gt;0))),"""")"),"")</f>
        <v/>
      </c>
    </row>
    <row r="50" ht="15.75" customHeight="1">
      <c r="A50" s="19" t="s">
        <v>224</v>
      </c>
      <c r="B50" s="19" t="s">
        <v>219</v>
      </c>
      <c r="C50" s="19" t="s">
        <v>43</v>
      </c>
      <c r="D50" s="19" t="s">
        <v>61</v>
      </c>
      <c r="E50" s="33">
        <v>46265.33333333333</v>
      </c>
      <c r="F50" s="33">
        <v>46273.78427837963</v>
      </c>
      <c r="G50" s="67">
        <f>IF($A50="","",SUMPRODUCT((AttendanceLog!$E$2:$E$5000=$A50)*(AttendanceLog!$C$2:$C$5000&gt;=MAX($E50,Settings!$B$3))*((AttendanceLog!$I$2:$I$5000="")+(IFERROR(SEARCH(","&amp;$C50&amp;",",","&amp;AttendanceLog!$I$2:$I$5000&amp;","),0)&gt;0))))</f>
        <v>0</v>
      </c>
      <c r="H50" s="21">
        <f>IF($A50="","",SUMPRODUCT((EventLog!$C$2:$C$5000&gt;=MAX($E50,Settings!$B$3))*(EventLog!$C$2:$C$5000&lt;=TODAY())*((EventLog!$F$2:$F$5000="")+(IFERROR(SEARCH(","&amp;$C50&amp;",",","&amp;EventLog!$F$2:$F$5000&amp;","),0)&gt;0))))</f>
        <v>3</v>
      </c>
      <c r="I50" s="26">
        <f t="shared" si="1"/>
        <v>0</v>
      </c>
      <c r="J50" s="20" t="str">
        <f>IFERROR(__xludf.DUMMYFUNCTION("IFERROR(MAX(FILTER(AttendanceLog!$C:$C,AttendanceLog!$E:$E=$A50,(AttendanceLog!$I:$I="""")+(IFERROR(SEARCH("",""&amp;$C50&amp;"","","",""&amp;AttendanceLog!$I:$I&amp;"",""),0)&gt;0))),"""")"),"")</f>
        <v/>
      </c>
    </row>
    <row r="51" ht="15.75" customHeight="1">
      <c r="A51" s="19" t="s">
        <v>261</v>
      </c>
      <c r="B51" s="19" t="s">
        <v>219</v>
      </c>
      <c r="C51" s="19" t="s">
        <v>43</v>
      </c>
      <c r="D51" s="19" t="s">
        <v>61</v>
      </c>
      <c r="E51" s="33">
        <v>46265.33333333333</v>
      </c>
      <c r="F51" s="33">
        <v>46273.78427837963</v>
      </c>
      <c r="G51" s="67">
        <f>IF($A51="","",SUMPRODUCT((AttendanceLog!$E$2:$E$5000=$A51)*(AttendanceLog!$C$2:$C$5000&gt;=MAX($E51,Settings!$B$3))*((AttendanceLog!$I$2:$I$5000="")+(IFERROR(SEARCH(","&amp;$C51&amp;",",","&amp;AttendanceLog!$I$2:$I$5000&amp;","),0)&gt;0))))</f>
        <v>2</v>
      </c>
      <c r="H51" s="21">
        <f>IF($A51="","",SUMPRODUCT((EventLog!$C$2:$C$5000&gt;=MAX($E51,Settings!$B$3))*(EventLog!$C$2:$C$5000&lt;=TODAY())*((EventLog!$F$2:$F$5000="")+(IFERROR(SEARCH(","&amp;$C51&amp;",",","&amp;EventLog!$F$2:$F$5000&amp;","),0)&gt;0))))</f>
        <v>3</v>
      </c>
      <c r="I51" s="26">
        <f t="shared" si="1"/>
        <v>0.6666666667</v>
      </c>
      <c r="J51" s="20">
        <f>IFERROR(__xludf.DUMMYFUNCTION("IFERROR(MAX(FILTER(AttendanceLog!$C:$C,AttendanceLog!$E:$E=$A51,(AttendanceLog!$I:$I="""")+(IFERROR(SEARCH("",""&amp;$C51&amp;"","","",""&amp;AttendanceLog!$I:$I&amp;"",""),0)&gt;0))),"""")"),46305.33333333333)</f>
        <v>46305.33333</v>
      </c>
    </row>
    <row r="52" ht="15.75" customHeight="1">
      <c r="A52" s="19" t="s">
        <v>251</v>
      </c>
      <c r="B52" s="19" t="s">
        <v>219</v>
      </c>
      <c r="C52" s="19" t="s">
        <v>43</v>
      </c>
      <c r="D52" s="19" t="s">
        <v>61</v>
      </c>
      <c r="E52" s="33">
        <v>46265.33333333333</v>
      </c>
      <c r="F52" s="33">
        <v>46273.78427837963</v>
      </c>
      <c r="G52" s="67">
        <f>IF($A52="","",SUMPRODUCT((AttendanceLog!$E$2:$E$5000=$A52)*(AttendanceLog!$C$2:$C$5000&gt;=MAX($E52,Settings!$B$3))*((AttendanceLog!$I$2:$I$5000="")+(IFERROR(SEARCH(","&amp;$C52&amp;",",","&amp;AttendanceLog!$I$2:$I$5000&amp;","),0)&gt;0))))</f>
        <v>1</v>
      </c>
      <c r="H52" s="21">
        <f>IF($A52="","",SUMPRODUCT((EventLog!$C$2:$C$5000&gt;=MAX($E52,Settings!$B$3))*(EventLog!$C$2:$C$5000&lt;=TODAY())*((EventLog!$F$2:$F$5000="")+(IFERROR(SEARCH(","&amp;$C52&amp;",",","&amp;EventLog!$F$2:$F$5000&amp;","),0)&gt;0))))</f>
        <v>3</v>
      </c>
      <c r="I52" s="26">
        <f t="shared" si="1"/>
        <v>0.3333333333</v>
      </c>
      <c r="J52" s="20">
        <f>IFERROR(__xludf.DUMMYFUNCTION("IFERROR(MAX(FILTER(AttendanceLog!$C:$C,AttendanceLog!$E:$E=$A52,(AttendanceLog!$I:$I="""")+(IFERROR(SEARCH("",""&amp;$C52&amp;"","","",""&amp;AttendanceLog!$I:$I&amp;"",""),0)&gt;0))),"""")"),46305.33333333333)</f>
        <v>46305.33333</v>
      </c>
    </row>
    <row r="53" ht="15.75" customHeight="1">
      <c r="A53" s="19" t="s">
        <v>255</v>
      </c>
      <c r="B53" s="19" t="s">
        <v>219</v>
      </c>
      <c r="C53" s="19" t="s">
        <v>43</v>
      </c>
      <c r="D53" s="19" t="s">
        <v>61</v>
      </c>
      <c r="E53" s="33">
        <v>46265.33333333333</v>
      </c>
      <c r="F53" s="33">
        <v>46273.78427837963</v>
      </c>
      <c r="G53" s="67">
        <f>IF($A53="","",SUMPRODUCT((AttendanceLog!$E$2:$E$5000=$A53)*(AttendanceLog!$C$2:$C$5000&gt;=MAX($E53,Settings!$B$3))*((AttendanceLog!$I$2:$I$5000="")+(IFERROR(SEARCH(","&amp;$C53&amp;",",","&amp;AttendanceLog!$I$2:$I$5000&amp;","),0)&gt;0))))</f>
        <v>0</v>
      </c>
      <c r="H53" s="21">
        <f>IF($A53="","",SUMPRODUCT((EventLog!$C$2:$C$5000&gt;=MAX($E53,Settings!$B$3))*(EventLog!$C$2:$C$5000&lt;=TODAY())*((EventLog!$F$2:$F$5000="")+(IFERROR(SEARCH(","&amp;$C53&amp;",",","&amp;EventLog!$F$2:$F$5000&amp;","),0)&gt;0))))</f>
        <v>3</v>
      </c>
      <c r="I53" s="26">
        <f t="shared" si="1"/>
        <v>0</v>
      </c>
      <c r="J53" s="20" t="str">
        <f>IFERROR(__xludf.DUMMYFUNCTION("IFERROR(MAX(FILTER(AttendanceLog!$C:$C,AttendanceLog!$E:$E=$A53,(AttendanceLog!$I:$I="""")+(IFERROR(SEARCH("",""&amp;$C53&amp;"","","",""&amp;AttendanceLog!$I:$I&amp;"",""),0)&gt;0))),"""")"),"")</f>
        <v/>
      </c>
    </row>
    <row r="54" ht="15.75" customHeight="1">
      <c r="A54" s="19" t="s">
        <v>239</v>
      </c>
      <c r="B54" s="19" t="s">
        <v>219</v>
      </c>
      <c r="C54" s="19" t="s">
        <v>43</v>
      </c>
      <c r="D54" s="19" t="s">
        <v>61</v>
      </c>
      <c r="E54" s="33">
        <v>46265.33333333333</v>
      </c>
      <c r="F54" s="33">
        <v>46273.78427837963</v>
      </c>
      <c r="G54" s="67">
        <f>IF($A54="","",SUMPRODUCT((AttendanceLog!$E$2:$E$5000=$A54)*(AttendanceLog!$C$2:$C$5000&gt;=MAX($E54,Settings!$B$3))*((AttendanceLog!$I$2:$I$5000="")+(IFERROR(SEARCH(","&amp;$C54&amp;",",","&amp;AttendanceLog!$I$2:$I$5000&amp;","),0)&gt;0))))</f>
        <v>1</v>
      </c>
      <c r="H54" s="21">
        <f>IF($A54="","",SUMPRODUCT((EventLog!$C$2:$C$5000&gt;=MAX($E54,Settings!$B$3))*(EventLog!$C$2:$C$5000&lt;=TODAY())*((EventLog!$F$2:$F$5000="")+(IFERROR(SEARCH(","&amp;$C54&amp;",",","&amp;EventLog!$F$2:$F$5000&amp;","),0)&gt;0))))</f>
        <v>3</v>
      </c>
      <c r="I54" s="26">
        <f t="shared" si="1"/>
        <v>0.3333333333</v>
      </c>
      <c r="J54" s="20">
        <f>IFERROR(__xludf.DUMMYFUNCTION("IFERROR(MAX(FILTER(AttendanceLog!$C:$C,AttendanceLog!$E:$E=$A54,(AttendanceLog!$I:$I="""")+(IFERROR(SEARCH("",""&amp;$C54&amp;"","","",""&amp;AttendanceLog!$I:$I&amp;"",""),0)&gt;0))),"""")"),46305.33333333333)</f>
        <v>46305.33333</v>
      </c>
    </row>
    <row r="55" ht="15.75" customHeight="1">
      <c r="A55" s="19" t="s">
        <v>237</v>
      </c>
      <c r="B55" s="19" t="s">
        <v>219</v>
      </c>
      <c r="C55" s="19" t="s">
        <v>43</v>
      </c>
      <c r="D55" s="19" t="s">
        <v>61</v>
      </c>
      <c r="E55" s="33">
        <v>46265.33333333333</v>
      </c>
      <c r="F55" s="33">
        <v>46273.78427837963</v>
      </c>
      <c r="G55" s="67">
        <f>IF($A55="","",SUMPRODUCT((AttendanceLog!$E$2:$E$5000=$A55)*(AttendanceLog!$C$2:$C$5000&gt;=MAX($E55,Settings!$B$3))*((AttendanceLog!$I$2:$I$5000="")+(IFERROR(SEARCH(","&amp;$C55&amp;",",","&amp;AttendanceLog!$I$2:$I$5000&amp;","),0)&gt;0))))</f>
        <v>1</v>
      </c>
      <c r="H55" s="21">
        <f>IF($A55="","",SUMPRODUCT((EventLog!$C$2:$C$5000&gt;=MAX($E55,Settings!$B$3))*(EventLog!$C$2:$C$5000&lt;=TODAY())*((EventLog!$F$2:$F$5000="")+(IFERROR(SEARCH(","&amp;$C55&amp;",",","&amp;EventLog!$F$2:$F$5000&amp;","),0)&gt;0))))</f>
        <v>3</v>
      </c>
      <c r="I55" s="26">
        <f t="shared" si="1"/>
        <v>0.3333333333</v>
      </c>
      <c r="J55" s="20">
        <f>IFERROR(__xludf.DUMMYFUNCTION("IFERROR(MAX(FILTER(AttendanceLog!$C:$C,AttendanceLog!$E:$E=$A55,(AttendanceLog!$I:$I="""")+(IFERROR(SEARCH("",""&amp;$C55&amp;"","","",""&amp;AttendanceLog!$I:$I&amp;"",""),0)&gt;0))),"""")"),46305.33333333333)</f>
        <v>46305.33333</v>
      </c>
    </row>
    <row r="56" ht="15.75" customHeight="1">
      <c r="A56" s="19" t="s">
        <v>257</v>
      </c>
      <c r="B56" s="19" t="s">
        <v>219</v>
      </c>
      <c r="C56" s="19" t="s">
        <v>43</v>
      </c>
      <c r="D56" s="19" t="s">
        <v>61</v>
      </c>
      <c r="E56" s="33">
        <v>46265.33333333333</v>
      </c>
      <c r="F56" s="33">
        <v>46273.78427837963</v>
      </c>
      <c r="G56" s="67">
        <f>IF($A56="","",SUMPRODUCT((AttendanceLog!$E$2:$E$5000=$A56)*(AttendanceLog!$C$2:$C$5000&gt;=MAX($E56,Settings!$B$3))*((AttendanceLog!$I$2:$I$5000="")+(IFERROR(SEARCH(","&amp;$C56&amp;",",","&amp;AttendanceLog!$I$2:$I$5000&amp;","),0)&gt;0))))</f>
        <v>3</v>
      </c>
      <c r="H56" s="21">
        <f>IF($A56="","",SUMPRODUCT((EventLog!$C$2:$C$5000&gt;=MAX($E56,Settings!$B$3))*(EventLog!$C$2:$C$5000&lt;=TODAY())*((EventLog!$F$2:$F$5000="")+(IFERROR(SEARCH(","&amp;$C56&amp;",",","&amp;EventLog!$F$2:$F$5000&amp;","),0)&gt;0))))</f>
        <v>3</v>
      </c>
      <c r="I56" s="26">
        <f t="shared" si="1"/>
        <v>1</v>
      </c>
      <c r="J56" s="20">
        <f>IFERROR(__xludf.DUMMYFUNCTION("IFERROR(MAX(FILTER(AttendanceLog!$C:$C,AttendanceLog!$E:$E=$A56,(AttendanceLog!$I:$I="""")+(IFERROR(SEARCH("",""&amp;$C56&amp;"","","",""&amp;AttendanceLog!$I:$I&amp;"",""),0)&gt;0))),"""")"),46305.33333333333)</f>
        <v>46305.33333</v>
      </c>
    </row>
    <row r="57" ht="15.75" customHeight="1">
      <c r="A57" s="19" t="s">
        <v>248</v>
      </c>
      <c r="B57" s="19" t="s">
        <v>219</v>
      </c>
      <c r="C57" s="19" t="s">
        <v>43</v>
      </c>
      <c r="D57" s="19" t="s">
        <v>61</v>
      </c>
      <c r="E57" s="33">
        <v>46265.33333333333</v>
      </c>
      <c r="F57" s="33">
        <v>46273.78427837963</v>
      </c>
      <c r="G57" s="67">
        <f>IF($A57="","",SUMPRODUCT((AttendanceLog!$E$2:$E$5000=$A57)*(AttendanceLog!$C$2:$C$5000&gt;=MAX($E57,Settings!$B$3))*((AttendanceLog!$I$2:$I$5000="")+(IFERROR(SEARCH(","&amp;$C57&amp;",",","&amp;AttendanceLog!$I$2:$I$5000&amp;","),0)&gt;0))))</f>
        <v>3</v>
      </c>
      <c r="H57" s="21">
        <f>IF($A57="","",SUMPRODUCT((EventLog!$C$2:$C$5000&gt;=MAX($E57,Settings!$B$3))*(EventLog!$C$2:$C$5000&lt;=TODAY())*((EventLog!$F$2:$F$5000="")+(IFERROR(SEARCH(","&amp;$C57&amp;",",","&amp;EventLog!$F$2:$F$5000&amp;","),0)&gt;0))))</f>
        <v>3</v>
      </c>
      <c r="I57" s="26">
        <f t="shared" si="1"/>
        <v>1</v>
      </c>
      <c r="J57" s="20">
        <f>IFERROR(__xludf.DUMMYFUNCTION("IFERROR(MAX(FILTER(AttendanceLog!$C:$C,AttendanceLog!$E:$E=$A57,(AttendanceLog!$I:$I="""")+(IFERROR(SEARCH("",""&amp;$C57&amp;"","","",""&amp;AttendanceLog!$I:$I&amp;"",""),0)&gt;0))),"""")"),46305.33333333333)</f>
        <v>46305.33333</v>
      </c>
    </row>
    <row r="58" ht="15.75" customHeight="1">
      <c r="A58" s="19" t="s">
        <v>236</v>
      </c>
      <c r="B58" s="19" t="s">
        <v>219</v>
      </c>
      <c r="C58" s="19" t="s">
        <v>43</v>
      </c>
      <c r="D58" s="19" t="s">
        <v>61</v>
      </c>
      <c r="E58" s="33">
        <v>46265.33333333333</v>
      </c>
      <c r="F58" s="33">
        <v>46273.78427837963</v>
      </c>
      <c r="G58" s="67">
        <f>IF($A58="","",SUMPRODUCT((AttendanceLog!$E$2:$E$5000=$A58)*(AttendanceLog!$C$2:$C$5000&gt;=MAX($E58,Settings!$B$3))*((AttendanceLog!$I$2:$I$5000="")+(IFERROR(SEARCH(","&amp;$C58&amp;",",","&amp;AttendanceLog!$I$2:$I$5000&amp;","),0)&gt;0))))</f>
        <v>2</v>
      </c>
      <c r="H58" s="21">
        <f>IF($A58="","",SUMPRODUCT((EventLog!$C$2:$C$5000&gt;=MAX($E58,Settings!$B$3))*(EventLog!$C$2:$C$5000&lt;=TODAY())*((EventLog!$F$2:$F$5000="")+(IFERROR(SEARCH(","&amp;$C58&amp;",",","&amp;EventLog!$F$2:$F$5000&amp;","),0)&gt;0))))</f>
        <v>3</v>
      </c>
      <c r="I58" s="26">
        <f t="shared" si="1"/>
        <v>0.6666666667</v>
      </c>
      <c r="J58" s="20">
        <f>IFERROR(__xludf.DUMMYFUNCTION("IFERROR(MAX(FILTER(AttendanceLog!$C:$C,AttendanceLog!$E:$E=$A58,(AttendanceLog!$I:$I="""")+(IFERROR(SEARCH("",""&amp;$C58&amp;"","","",""&amp;AttendanceLog!$I:$I&amp;"",""),0)&gt;0))),"""")"),46305.33333333333)</f>
        <v>46305.33333</v>
      </c>
    </row>
    <row r="59" ht="15.75" customHeight="1">
      <c r="A59" s="19" t="s">
        <v>262</v>
      </c>
      <c r="B59" s="19" t="s">
        <v>219</v>
      </c>
      <c r="C59" s="19" t="s">
        <v>43</v>
      </c>
      <c r="D59" s="19" t="s">
        <v>61</v>
      </c>
      <c r="E59" s="33">
        <v>46265.33333333333</v>
      </c>
      <c r="F59" s="33">
        <v>46273.78427837963</v>
      </c>
      <c r="G59" s="67">
        <f>IF($A59="","",SUMPRODUCT((AttendanceLog!$E$2:$E$5000=$A59)*(AttendanceLog!$C$2:$C$5000&gt;=MAX($E59,Settings!$B$3))*((AttendanceLog!$I$2:$I$5000="")+(IFERROR(SEARCH(","&amp;$C59&amp;",",","&amp;AttendanceLog!$I$2:$I$5000&amp;","),0)&gt;0))))</f>
        <v>1</v>
      </c>
      <c r="H59" s="21">
        <f>IF($A59="","",SUMPRODUCT((EventLog!$C$2:$C$5000&gt;=MAX($E59,Settings!$B$3))*(EventLog!$C$2:$C$5000&lt;=TODAY())*((EventLog!$F$2:$F$5000="")+(IFERROR(SEARCH(","&amp;$C59&amp;",",","&amp;EventLog!$F$2:$F$5000&amp;","),0)&gt;0))))</f>
        <v>3</v>
      </c>
      <c r="I59" s="26">
        <f t="shared" si="1"/>
        <v>0.3333333333</v>
      </c>
      <c r="J59" s="20">
        <f>IFERROR(__xludf.DUMMYFUNCTION("IFERROR(MAX(FILTER(AttendanceLog!$C:$C,AttendanceLog!$E:$E=$A59,(AttendanceLog!$I:$I="""")+(IFERROR(SEARCH("",""&amp;$C59&amp;"","","",""&amp;AttendanceLog!$I:$I&amp;"",""),0)&gt;0))),"""")"),46305.33333333333)</f>
        <v>46305.33333</v>
      </c>
    </row>
    <row r="60" ht="15.75" customHeight="1">
      <c r="A60" s="19" t="s">
        <v>260</v>
      </c>
      <c r="B60" s="19" t="s">
        <v>219</v>
      </c>
      <c r="C60" s="19" t="s">
        <v>43</v>
      </c>
      <c r="D60" s="19" t="s">
        <v>61</v>
      </c>
      <c r="E60" s="33">
        <v>46265.33333333333</v>
      </c>
      <c r="F60" s="33">
        <v>46273.78427837963</v>
      </c>
      <c r="G60" s="67">
        <f>IF($A60="","",SUMPRODUCT((AttendanceLog!$E$2:$E$5000=$A60)*(AttendanceLog!$C$2:$C$5000&gt;=MAX($E60,Settings!$B$3))*((AttendanceLog!$I$2:$I$5000="")+(IFERROR(SEARCH(","&amp;$C60&amp;",",","&amp;AttendanceLog!$I$2:$I$5000&amp;","),0)&gt;0))))</f>
        <v>2</v>
      </c>
      <c r="H60" s="21">
        <f>IF($A60="","",SUMPRODUCT((EventLog!$C$2:$C$5000&gt;=MAX($E60,Settings!$B$3))*(EventLog!$C$2:$C$5000&lt;=TODAY())*((EventLog!$F$2:$F$5000="")+(IFERROR(SEARCH(","&amp;$C60&amp;",",","&amp;EventLog!$F$2:$F$5000&amp;","),0)&gt;0))))</f>
        <v>3</v>
      </c>
      <c r="I60" s="26">
        <f t="shared" si="1"/>
        <v>0.6666666667</v>
      </c>
      <c r="J60" s="20">
        <f>IFERROR(__xludf.DUMMYFUNCTION("IFERROR(MAX(FILTER(AttendanceLog!$C:$C,AttendanceLog!$E:$E=$A60,(AttendanceLog!$I:$I="""")+(IFERROR(SEARCH("",""&amp;$C60&amp;"","","",""&amp;AttendanceLog!$I:$I&amp;"",""),0)&gt;0))),"""")"),46305.33333333333)</f>
        <v>46305.33333</v>
      </c>
    </row>
    <row r="61" ht="15.75" customHeight="1">
      <c r="A61" s="19" t="s">
        <v>247</v>
      </c>
      <c r="B61" s="19" t="s">
        <v>219</v>
      </c>
      <c r="C61" s="19" t="s">
        <v>43</v>
      </c>
      <c r="D61" s="19" t="s">
        <v>61</v>
      </c>
      <c r="E61" s="33">
        <v>46265.33333333333</v>
      </c>
      <c r="F61" s="33">
        <v>46273.78427837963</v>
      </c>
      <c r="G61" s="67">
        <f>IF($A61="","",SUMPRODUCT((AttendanceLog!$E$2:$E$5000=$A61)*(AttendanceLog!$C$2:$C$5000&gt;=MAX($E61,Settings!$B$3))*((AttendanceLog!$I$2:$I$5000="")+(IFERROR(SEARCH(","&amp;$C61&amp;",",","&amp;AttendanceLog!$I$2:$I$5000&amp;","),0)&gt;0))))</f>
        <v>3</v>
      </c>
      <c r="H61" s="21">
        <f>IF($A61="","",SUMPRODUCT((EventLog!$C$2:$C$5000&gt;=MAX($E61,Settings!$B$3))*(EventLog!$C$2:$C$5000&lt;=TODAY())*((EventLog!$F$2:$F$5000="")+(IFERROR(SEARCH(","&amp;$C61&amp;",",","&amp;EventLog!$F$2:$F$5000&amp;","),0)&gt;0))))</f>
        <v>3</v>
      </c>
      <c r="I61" s="26">
        <f t="shared" si="1"/>
        <v>1</v>
      </c>
      <c r="J61" s="20">
        <f>IFERROR(__xludf.DUMMYFUNCTION("IFERROR(MAX(FILTER(AttendanceLog!$C:$C,AttendanceLog!$E:$E=$A61,(AttendanceLog!$I:$I="""")+(IFERROR(SEARCH("",""&amp;$C61&amp;"","","",""&amp;AttendanceLog!$I:$I&amp;"",""),0)&gt;0))),"""")"),46305.33333333333)</f>
        <v>46305.33333</v>
      </c>
    </row>
    <row r="62" ht="15.75" customHeight="1">
      <c r="A62" s="19" t="s">
        <v>232</v>
      </c>
      <c r="B62" s="19" t="s">
        <v>219</v>
      </c>
      <c r="C62" s="19" t="s">
        <v>43</v>
      </c>
      <c r="D62" s="19" t="s">
        <v>61</v>
      </c>
      <c r="E62" s="33">
        <v>46265.33333333333</v>
      </c>
      <c r="F62" s="33">
        <v>46273.78427837963</v>
      </c>
      <c r="G62" s="67">
        <f>IF($A62="","",SUMPRODUCT((AttendanceLog!$E$2:$E$5000=$A62)*(AttendanceLog!$C$2:$C$5000&gt;=MAX($E62,Settings!$B$3))*((AttendanceLog!$I$2:$I$5000="")+(IFERROR(SEARCH(","&amp;$C62&amp;",",","&amp;AttendanceLog!$I$2:$I$5000&amp;","),0)&gt;0))))</f>
        <v>1</v>
      </c>
      <c r="H62" s="21">
        <f>IF($A62="","",SUMPRODUCT((EventLog!$C$2:$C$5000&gt;=MAX($E62,Settings!$B$3))*(EventLog!$C$2:$C$5000&lt;=TODAY())*((EventLog!$F$2:$F$5000="")+(IFERROR(SEARCH(","&amp;$C62&amp;",",","&amp;EventLog!$F$2:$F$5000&amp;","),0)&gt;0))))</f>
        <v>3</v>
      </c>
      <c r="I62" s="26">
        <f t="shared" si="1"/>
        <v>0.3333333333</v>
      </c>
      <c r="J62" s="20">
        <f>IFERROR(__xludf.DUMMYFUNCTION("IFERROR(MAX(FILTER(AttendanceLog!$C:$C,AttendanceLog!$E:$E=$A62,(AttendanceLog!$I:$I="""")+(IFERROR(SEARCH("",""&amp;$C62&amp;"","","",""&amp;AttendanceLog!$I:$I&amp;"",""),0)&gt;0))),"""")"),46275.33333333333)</f>
        <v>46275.33333</v>
      </c>
    </row>
    <row r="63" ht="15.75" customHeight="1">
      <c r="A63" s="19" t="s">
        <v>318</v>
      </c>
      <c r="B63" s="21"/>
      <c r="C63" s="19" t="s">
        <v>45</v>
      </c>
      <c r="D63" s="19" t="s">
        <v>61</v>
      </c>
      <c r="E63" s="33">
        <v>46268.33333333333</v>
      </c>
      <c r="F63" s="33">
        <v>46285.24407951389</v>
      </c>
      <c r="G63" s="67">
        <f>IF($A63="","",SUMPRODUCT((AttendanceLog!$E$2:$E$5000=$A63)*(AttendanceLog!$C$2:$C$5000&gt;=MAX($E63,Settings!$B$3))*((AttendanceLog!$I$2:$I$5000="")+(IFERROR(SEARCH(","&amp;$C63&amp;",",","&amp;AttendanceLog!$I$2:$I$5000&amp;","),0)&gt;0))))</f>
        <v>1</v>
      </c>
      <c r="H63" s="21">
        <f>IF($A63="","",SUMPRODUCT((EventLog!$C$2:$C$5000&gt;=MAX($E63,Settings!$B$3))*(EventLog!$C$2:$C$5000&lt;=TODAY())*((EventLog!$F$2:$F$5000="")+(IFERROR(SEARCH(","&amp;$C63&amp;",",","&amp;EventLog!$F$2:$F$5000&amp;","),0)&gt;0))))</f>
        <v>3</v>
      </c>
      <c r="I63" s="26">
        <f t="shared" si="1"/>
        <v>0.3333333333</v>
      </c>
      <c r="J63" s="20">
        <f>IFERROR(__xludf.DUMMYFUNCTION("IFERROR(MAX(FILTER(AttendanceLog!$C:$C,AttendanceLog!$E:$E=$A63,(AttendanceLog!$I:$I="""")+(IFERROR(SEARCH("",""&amp;$C63&amp;"","","",""&amp;AttendanceLog!$I:$I&amp;"",""),0)&gt;0))),"""")"),46303.33333333333)</f>
        <v>46303.33333</v>
      </c>
    </row>
    <row r="64" ht="15.75" customHeight="1">
      <c r="A64" s="19" t="s">
        <v>311</v>
      </c>
      <c r="B64" s="21"/>
      <c r="C64" s="19" t="s">
        <v>45</v>
      </c>
      <c r="D64" s="19" t="s">
        <v>61</v>
      </c>
      <c r="E64" s="33">
        <v>46268.33333333333</v>
      </c>
      <c r="F64" s="33">
        <v>46285.24407951389</v>
      </c>
      <c r="G64" s="67">
        <f>IF($A64="","",SUMPRODUCT((AttendanceLog!$E$2:$E$5000=$A64)*(AttendanceLog!$C$2:$C$5000&gt;=MAX($E64,Settings!$B$3))*((AttendanceLog!$I$2:$I$5000="")+(IFERROR(SEARCH(","&amp;$C64&amp;",",","&amp;AttendanceLog!$I$2:$I$5000&amp;","),0)&gt;0))))</f>
        <v>3</v>
      </c>
      <c r="H64" s="21">
        <f>IF($A64="","",SUMPRODUCT((EventLog!$C$2:$C$5000&gt;=MAX($E64,Settings!$B$3))*(EventLog!$C$2:$C$5000&lt;=TODAY())*((EventLog!$F$2:$F$5000="")+(IFERROR(SEARCH(","&amp;$C64&amp;",",","&amp;EventLog!$F$2:$F$5000&amp;","),0)&gt;0))))</f>
        <v>3</v>
      </c>
      <c r="I64" s="26">
        <f t="shared" si="1"/>
        <v>1</v>
      </c>
      <c r="J64" s="20">
        <f>IFERROR(__xludf.DUMMYFUNCTION("IFERROR(MAX(FILTER(AttendanceLog!$C:$C,AttendanceLog!$E:$E=$A64,(AttendanceLog!$I:$I="""")+(IFERROR(SEARCH("",""&amp;$C64&amp;"","","",""&amp;AttendanceLog!$I:$I&amp;"",""),0)&gt;0))),"""")"),46305.33333333333)</f>
        <v>46305.33333</v>
      </c>
    </row>
    <row r="65" ht="15.75" customHeight="1">
      <c r="A65" s="19" t="s">
        <v>334</v>
      </c>
      <c r="B65" s="21"/>
      <c r="C65" s="19" t="s">
        <v>45</v>
      </c>
      <c r="D65" s="19" t="s">
        <v>61</v>
      </c>
      <c r="E65" s="33">
        <v>46268.33333333333</v>
      </c>
      <c r="F65" s="33">
        <v>46285.24407951389</v>
      </c>
      <c r="G65" s="67">
        <f>IF($A65="","",SUMPRODUCT((AttendanceLog!$E$2:$E$5000=$A65)*(AttendanceLog!$C$2:$C$5000&gt;=MAX($E65,Settings!$B$3))*((AttendanceLog!$I$2:$I$5000="")+(IFERROR(SEARCH(","&amp;$C65&amp;",",","&amp;AttendanceLog!$I$2:$I$5000&amp;","),0)&gt;0))))</f>
        <v>2</v>
      </c>
      <c r="H65" s="21">
        <f>IF($A65="","",SUMPRODUCT((EventLog!$C$2:$C$5000&gt;=MAX($E65,Settings!$B$3))*(EventLog!$C$2:$C$5000&lt;=TODAY())*((EventLog!$F$2:$F$5000="")+(IFERROR(SEARCH(","&amp;$C65&amp;",",","&amp;EventLog!$F$2:$F$5000&amp;","),0)&gt;0))))</f>
        <v>3</v>
      </c>
      <c r="I65" s="26">
        <f t="shared" si="1"/>
        <v>0.6666666667</v>
      </c>
      <c r="J65" s="20">
        <f>IFERROR(__xludf.DUMMYFUNCTION("IFERROR(MAX(FILTER(AttendanceLog!$C:$C,AttendanceLog!$E:$E=$A65,(AttendanceLog!$I:$I="""")+(IFERROR(SEARCH("",""&amp;$C65&amp;"","","",""&amp;AttendanceLog!$I:$I&amp;"",""),0)&gt;0))),"""")"),46305.33333333333)</f>
        <v>46305.33333</v>
      </c>
    </row>
    <row r="66" ht="15.75" customHeight="1">
      <c r="A66" s="19" t="s">
        <v>335</v>
      </c>
      <c r="B66" s="21"/>
      <c r="C66" s="19" t="s">
        <v>45</v>
      </c>
      <c r="D66" s="19" t="s">
        <v>61</v>
      </c>
      <c r="E66" s="33">
        <v>46268.33333333333</v>
      </c>
      <c r="F66" s="33">
        <v>46285.24407951389</v>
      </c>
      <c r="G66" s="67">
        <f>IF($A66="","",SUMPRODUCT((AttendanceLog!$E$2:$E$5000=$A66)*(AttendanceLog!$C$2:$C$5000&gt;=MAX($E66,Settings!$B$3))*((AttendanceLog!$I$2:$I$5000="")+(IFERROR(SEARCH(","&amp;$C66&amp;",",","&amp;AttendanceLog!$I$2:$I$5000&amp;","),0)&gt;0))))</f>
        <v>3</v>
      </c>
      <c r="H66" s="21">
        <f>IF($A66="","",SUMPRODUCT((EventLog!$C$2:$C$5000&gt;=MAX($E66,Settings!$B$3))*(EventLog!$C$2:$C$5000&lt;=TODAY())*((EventLog!$F$2:$F$5000="")+(IFERROR(SEARCH(","&amp;$C66&amp;",",","&amp;EventLog!$F$2:$F$5000&amp;","),0)&gt;0))))</f>
        <v>3</v>
      </c>
      <c r="I66" s="26">
        <f t="shared" si="1"/>
        <v>1</v>
      </c>
      <c r="J66" s="20">
        <f>IFERROR(__xludf.DUMMYFUNCTION("IFERROR(MAX(FILTER(AttendanceLog!$C:$C,AttendanceLog!$E:$E=$A66,(AttendanceLog!$I:$I="""")+(IFERROR(SEARCH("",""&amp;$C66&amp;"","","",""&amp;AttendanceLog!$I:$I&amp;"",""),0)&gt;0))),"""")"),46305.33333333333)</f>
        <v>46305.33333</v>
      </c>
    </row>
    <row r="67" ht="15.75" customHeight="1">
      <c r="A67" s="19" t="s">
        <v>321</v>
      </c>
      <c r="B67" s="21"/>
      <c r="C67" s="19" t="s">
        <v>45</v>
      </c>
      <c r="D67" s="19" t="s">
        <v>61</v>
      </c>
      <c r="E67" s="33">
        <v>46268.33333333333</v>
      </c>
      <c r="F67" s="33">
        <v>46285.24407951389</v>
      </c>
      <c r="G67" s="67">
        <f>IF($A67="","",SUMPRODUCT((AttendanceLog!$E$2:$E$5000=$A67)*(AttendanceLog!$C$2:$C$5000&gt;=MAX($E67,Settings!$B$3))*((AttendanceLog!$I$2:$I$5000="")+(IFERROR(SEARCH(","&amp;$C67&amp;",",","&amp;AttendanceLog!$I$2:$I$5000&amp;","),0)&gt;0))))</f>
        <v>3</v>
      </c>
      <c r="H67" s="21">
        <f>IF($A67="","",SUMPRODUCT((EventLog!$C$2:$C$5000&gt;=MAX($E67,Settings!$B$3))*(EventLog!$C$2:$C$5000&lt;=TODAY())*((EventLog!$F$2:$F$5000="")+(IFERROR(SEARCH(","&amp;$C67&amp;",",","&amp;EventLog!$F$2:$F$5000&amp;","),0)&gt;0))))</f>
        <v>3</v>
      </c>
      <c r="I67" s="26">
        <f t="shared" si="1"/>
        <v>1</v>
      </c>
      <c r="J67" s="20">
        <f>IFERROR(__xludf.DUMMYFUNCTION("IFERROR(MAX(FILTER(AttendanceLog!$C:$C,AttendanceLog!$E:$E=$A67,(AttendanceLog!$I:$I="""")+(IFERROR(SEARCH("",""&amp;$C67&amp;"","","",""&amp;AttendanceLog!$I:$I&amp;"",""),0)&gt;0))),"""")"),46305.33333333333)</f>
        <v>46305.33333</v>
      </c>
    </row>
    <row r="68" ht="15.75" customHeight="1">
      <c r="A68" s="19" t="s">
        <v>305</v>
      </c>
      <c r="B68" s="21"/>
      <c r="C68" s="19" t="s">
        <v>45</v>
      </c>
      <c r="D68" s="19" t="s">
        <v>61</v>
      </c>
      <c r="E68" s="33">
        <v>46268.33333333333</v>
      </c>
      <c r="F68" s="33">
        <v>46285.24407951389</v>
      </c>
      <c r="G68" s="67">
        <f>IF($A68="","",SUMPRODUCT((AttendanceLog!$E$2:$E$5000=$A68)*(AttendanceLog!$C$2:$C$5000&gt;=MAX($E68,Settings!$B$3))*((AttendanceLog!$I$2:$I$5000="")+(IFERROR(SEARCH(","&amp;$C68&amp;",",","&amp;AttendanceLog!$I$2:$I$5000&amp;","),0)&gt;0))))</f>
        <v>0</v>
      </c>
      <c r="H68" s="21">
        <f>IF($A68="","",SUMPRODUCT((EventLog!$C$2:$C$5000&gt;=MAX($E68,Settings!$B$3))*(EventLog!$C$2:$C$5000&lt;=TODAY())*((EventLog!$F$2:$F$5000="")+(IFERROR(SEARCH(","&amp;$C68&amp;",",","&amp;EventLog!$F$2:$F$5000&amp;","),0)&gt;0))))</f>
        <v>3</v>
      </c>
      <c r="I68" s="26">
        <f t="shared" si="1"/>
        <v>0</v>
      </c>
      <c r="J68" s="20" t="str">
        <f>IFERROR(__xludf.DUMMYFUNCTION("IFERROR(MAX(FILTER(AttendanceLog!$C:$C,AttendanceLog!$E:$E=$A68,(AttendanceLog!$I:$I="""")+(IFERROR(SEARCH("",""&amp;$C68&amp;"","","",""&amp;AttendanceLog!$I:$I&amp;"",""),0)&gt;0))),"""")"),"")</f>
        <v/>
      </c>
    </row>
    <row r="69" ht="15.75" customHeight="1">
      <c r="A69" s="19" t="s">
        <v>323</v>
      </c>
      <c r="B69" s="21"/>
      <c r="C69" s="19" t="s">
        <v>45</v>
      </c>
      <c r="D69" s="19" t="s">
        <v>61</v>
      </c>
      <c r="E69" s="33">
        <v>46268.33333333333</v>
      </c>
      <c r="F69" s="33">
        <v>46285.24407951389</v>
      </c>
      <c r="G69" s="67">
        <f>IF($A69="","",SUMPRODUCT((AttendanceLog!$E$2:$E$5000=$A69)*(AttendanceLog!$C$2:$C$5000&gt;=MAX($E69,Settings!$B$3))*((AttendanceLog!$I$2:$I$5000="")+(IFERROR(SEARCH(","&amp;$C69&amp;",",","&amp;AttendanceLog!$I$2:$I$5000&amp;","),0)&gt;0))))</f>
        <v>2</v>
      </c>
      <c r="H69" s="21">
        <f>IF($A69="","",SUMPRODUCT((EventLog!$C$2:$C$5000&gt;=MAX($E69,Settings!$B$3))*(EventLog!$C$2:$C$5000&lt;=TODAY())*((EventLog!$F$2:$F$5000="")+(IFERROR(SEARCH(","&amp;$C69&amp;",",","&amp;EventLog!$F$2:$F$5000&amp;","),0)&gt;0))))</f>
        <v>3</v>
      </c>
      <c r="I69" s="26">
        <f t="shared" si="1"/>
        <v>0.6666666667</v>
      </c>
      <c r="J69" s="20">
        <f>IFERROR(__xludf.DUMMYFUNCTION("IFERROR(MAX(FILTER(AttendanceLog!$C:$C,AttendanceLog!$E:$E=$A69,(AttendanceLog!$I:$I="""")+(IFERROR(SEARCH("",""&amp;$C69&amp;"","","",""&amp;AttendanceLog!$I:$I&amp;"",""),0)&gt;0))),"""")"),46303.33333333333)</f>
        <v>46303.33333</v>
      </c>
    </row>
    <row r="70" ht="15.75" customHeight="1">
      <c r="A70" s="19" t="s">
        <v>310</v>
      </c>
      <c r="B70" s="21"/>
      <c r="C70" s="19" t="s">
        <v>45</v>
      </c>
      <c r="D70" s="19" t="s">
        <v>61</v>
      </c>
      <c r="E70" s="33">
        <v>46268.33333333333</v>
      </c>
      <c r="F70" s="33">
        <v>46285.24407951389</v>
      </c>
      <c r="G70" s="67">
        <f>IF($A70="","",SUMPRODUCT((AttendanceLog!$E$2:$E$5000=$A70)*(AttendanceLog!$C$2:$C$5000&gt;=MAX($E70,Settings!$B$3))*((AttendanceLog!$I$2:$I$5000="")+(IFERROR(SEARCH(","&amp;$C70&amp;",",","&amp;AttendanceLog!$I$2:$I$5000&amp;","),0)&gt;0))))</f>
        <v>3</v>
      </c>
      <c r="H70" s="21">
        <f>IF($A70="","",SUMPRODUCT((EventLog!$C$2:$C$5000&gt;=MAX($E70,Settings!$B$3))*(EventLog!$C$2:$C$5000&lt;=TODAY())*((EventLog!$F$2:$F$5000="")+(IFERROR(SEARCH(","&amp;$C70&amp;",",","&amp;EventLog!$F$2:$F$5000&amp;","),0)&gt;0))))</f>
        <v>3</v>
      </c>
      <c r="I70" s="26">
        <f t="shared" si="1"/>
        <v>1</v>
      </c>
      <c r="J70" s="20">
        <f>IFERROR(__xludf.DUMMYFUNCTION("IFERROR(MAX(FILTER(AttendanceLog!$C:$C,AttendanceLog!$E:$E=$A70,(AttendanceLog!$I:$I="""")+(IFERROR(SEARCH("",""&amp;$C70&amp;"","","",""&amp;AttendanceLog!$I:$I&amp;"",""),0)&gt;0))),"""")"),46305.33333333333)</f>
        <v>46305.33333</v>
      </c>
    </row>
    <row r="71" ht="15.75" customHeight="1">
      <c r="A71" s="19" t="s">
        <v>309</v>
      </c>
      <c r="B71" s="21"/>
      <c r="C71" s="19" t="s">
        <v>45</v>
      </c>
      <c r="D71" s="19" t="s">
        <v>61</v>
      </c>
      <c r="E71" s="33">
        <v>46268.33333333333</v>
      </c>
      <c r="F71" s="33">
        <v>46285.24407951389</v>
      </c>
      <c r="G71" s="67">
        <f>IF($A71="","",SUMPRODUCT((AttendanceLog!$E$2:$E$5000=$A71)*(AttendanceLog!$C$2:$C$5000&gt;=MAX($E71,Settings!$B$3))*((AttendanceLog!$I$2:$I$5000="")+(IFERROR(SEARCH(","&amp;$C71&amp;",",","&amp;AttendanceLog!$I$2:$I$5000&amp;","),0)&gt;0))))</f>
        <v>1</v>
      </c>
      <c r="H71" s="21">
        <f>IF($A71="","",SUMPRODUCT((EventLog!$C$2:$C$5000&gt;=MAX($E71,Settings!$B$3))*(EventLog!$C$2:$C$5000&lt;=TODAY())*((EventLog!$F$2:$F$5000="")+(IFERROR(SEARCH(","&amp;$C71&amp;",",","&amp;EventLog!$F$2:$F$5000&amp;","),0)&gt;0))))</f>
        <v>3</v>
      </c>
      <c r="I71" s="26">
        <f t="shared" si="1"/>
        <v>0.3333333333</v>
      </c>
      <c r="J71" s="20">
        <f>IFERROR(__xludf.DUMMYFUNCTION("IFERROR(MAX(FILTER(AttendanceLog!$C:$C,AttendanceLog!$E:$E=$A71,(AttendanceLog!$I:$I="""")+(IFERROR(SEARCH("",""&amp;$C71&amp;"","","",""&amp;AttendanceLog!$I:$I&amp;"",""),0)&gt;0))),"""")"),46283.6875)</f>
        <v>46283.6875</v>
      </c>
    </row>
    <row r="72" ht="15.75" customHeight="1">
      <c r="A72" s="19" t="s">
        <v>320</v>
      </c>
      <c r="B72" s="21"/>
      <c r="C72" s="19" t="s">
        <v>45</v>
      </c>
      <c r="D72" s="19" t="s">
        <v>61</v>
      </c>
      <c r="E72" s="33">
        <v>46268.33333333333</v>
      </c>
      <c r="F72" s="33">
        <v>46285.24407951389</v>
      </c>
      <c r="G72" s="67">
        <f>IF($A72="","",SUMPRODUCT((AttendanceLog!$E$2:$E$5000=$A72)*(AttendanceLog!$C$2:$C$5000&gt;=MAX($E72,Settings!$B$3))*((AttendanceLog!$I$2:$I$5000="")+(IFERROR(SEARCH(","&amp;$C72&amp;",",","&amp;AttendanceLog!$I$2:$I$5000&amp;","),0)&gt;0))))</f>
        <v>2</v>
      </c>
      <c r="H72" s="21">
        <f>IF($A72="","",SUMPRODUCT((EventLog!$C$2:$C$5000&gt;=MAX($E72,Settings!$B$3))*(EventLog!$C$2:$C$5000&lt;=TODAY())*((EventLog!$F$2:$F$5000="")+(IFERROR(SEARCH(","&amp;$C72&amp;",",","&amp;EventLog!$F$2:$F$5000&amp;","),0)&gt;0))))</f>
        <v>3</v>
      </c>
      <c r="I72" s="26">
        <f t="shared" si="1"/>
        <v>0.6666666667</v>
      </c>
      <c r="J72" s="20">
        <f>IFERROR(__xludf.DUMMYFUNCTION("IFERROR(MAX(FILTER(AttendanceLog!$C:$C,AttendanceLog!$E:$E=$A72,(AttendanceLog!$I:$I="""")+(IFERROR(SEARCH("",""&amp;$C72&amp;"","","",""&amp;AttendanceLog!$I:$I&amp;"",""),0)&gt;0))),"""")"),46303.33333333333)</f>
        <v>46303.33333</v>
      </c>
    </row>
    <row r="73" ht="15.75" customHeight="1">
      <c r="A73" s="19" t="s">
        <v>327</v>
      </c>
      <c r="B73" s="21"/>
      <c r="C73" s="19" t="s">
        <v>45</v>
      </c>
      <c r="D73" s="19" t="s">
        <v>61</v>
      </c>
      <c r="E73" s="33">
        <v>46268.33333333333</v>
      </c>
      <c r="F73" s="33">
        <v>46285.24407951389</v>
      </c>
      <c r="G73" s="67">
        <f>IF($A73="","",SUMPRODUCT((AttendanceLog!$E$2:$E$5000=$A73)*(AttendanceLog!$C$2:$C$5000&gt;=MAX($E73,Settings!$B$3))*((AttendanceLog!$I$2:$I$5000="")+(IFERROR(SEARCH(","&amp;$C73&amp;",",","&amp;AttendanceLog!$I$2:$I$5000&amp;","),0)&gt;0))))</f>
        <v>3</v>
      </c>
      <c r="H73" s="21">
        <f>IF($A73="","",SUMPRODUCT((EventLog!$C$2:$C$5000&gt;=MAX($E73,Settings!$B$3))*(EventLog!$C$2:$C$5000&lt;=TODAY())*((EventLog!$F$2:$F$5000="")+(IFERROR(SEARCH(","&amp;$C73&amp;",",","&amp;EventLog!$F$2:$F$5000&amp;","),0)&gt;0))))</f>
        <v>3</v>
      </c>
      <c r="I73" s="26">
        <f t="shared" si="1"/>
        <v>1</v>
      </c>
      <c r="J73" s="20">
        <f>IFERROR(__xludf.DUMMYFUNCTION("IFERROR(MAX(FILTER(AttendanceLog!$C:$C,AttendanceLog!$E:$E=$A73,(AttendanceLog!$I:$I="""")+(IFERROR(SEARCH("",""&amp;$C73&amp;"","","",""&amp;AttendanceLog!$I:$I&amp;"",""),0)&gt;0))),"""")"),46305.33333333333)</f>
        <v>46305.33333</v>
      </c>
    </row>
    <row r="74" ht="15.75" customHeight="1">
      <c r="A74" s="19" t="s">
        <v>331</v>
      </c>
      <c r="B74" s="21"/>
      <c r="C74" s="19" t="s">
        <v>45</v>
      </c>
      <c r="D74" s="19" t="s">
        <v>61</v>
      </c>
      <c r="E74" s="33">
        <v>46268.33333333333</v>
      </c>
      <c r="F74" s="33">
        <v>46285.24407951389</v>
      </c>
      <c r="G74" s="67">
        <f>IF($A74="","",SUMPRODUCT((AttendanceLog!$E$2:$E$5000=$A74)*(AttendanceLog!$C$2:$C$5000&gt;=MAX($E74,Settings!$B$3))*((AttendanceLog!$I$2:$I$5000="")+(IFERROR(SEARCH(","&amp;$C74&amp;",",","&amp;AttendanceLog!$I$2:$I$5000&amp;","),0)&gt;0))))</f>
        <v>3</v>
      </c>
      <c r="H74" s="21">
        <f>IF($A74="","",SUMPRODUCT((EventLog!$C$2:$C$5000&gt;=MAX($E74,Settings!$B$3))*(EventLog!$C$2:$C$5000&lt;=TODAY())*((EventLog!$F$2:$F$5000="")+(IFERROR(SEARCH(","&amp;$C74&amp;",",","&amp;EventLog!$F$2:$F$5000&amp;","),0)&gt;0))))</f>
        <v>3</v>
      </c>
      <c r="I74" s="26">
        <f t="shared" si="1"/>
        <v>1</v>
      </c>
      <c r="J74" s="20">
        <f>IFERROR(__xludf.DUMMYFUNCTION("IFERROR(MAX(FILTER(AttendanceLog!$C:$C,AttendanceLog!$E:$E=$A74,(AttendanceLog!$I:$I="""")+(IFERROR(SEARCH("",""&amp;$C74&amp;"","","",""&amp;AttendanceLog!$I:$I&amp;"",""),0)&gt;0))),"""")"),46305.33333333333)</f>
        <v>46305.33333</v>
      </c>
    </row>
    <row r="75" ht="15.75" customHeight="1">
      <c r="A75" s="19" t="s">
        <v>308</v>
      </c>
      <c r="B75" s="21"/>
      <c r="C75" s="19" t="s">
        <v>45</v>
      </c>
      <c r="D75" s="19" t="s">
        <v>61</v>
      </c>
      <c r="E75" s="33">
        <v>46268.33333333333</v>
      </c>
      <c r="F75" s="33">
        <v>46285.24407951389</v>
      </c>
      <c r="G75" s="67">
        <f>IF($A75="","",SUMPRODUCT((AttendanceLog!$E$2:$E$5000=$A75)*(AttendanceLog!$C$2:$C$5000&gt;=MAX($E75,Settings!$B$3))*((AttendanceLog!$I$2:$I$5000="")+(IFERROR(SEARCH(","&amp;$C75&amp;",",","&amp;AttendanceLog!$I$2:$I$5000&amp;","),0)&gt;0))))</f>
        <v>0</v>
      </c>
      <c r="H75" s="21">
        <f>IF($A75="","",SUMPRODUCT((EventLog!$C$2:$C$5000&gt;=MAX($E75,Settings!$B$3))*(EventLog!$C$2:$C$5000&lt;=TODAY())*((EventLog!$F$2:$F$5000="")+(IFERROR(SEARCH(","&amp;$C75&amp;",",","&amp;EventLog!$F$2:$F$5000&amp;","),0)&gt;0))))</f>
        <v>3</v>
      </c>
      <c r="I75" s="26">
        <f t="shared" si="1"/>
        <v>0</v>
      </c>
      <c r="J75" s="20" t="str">
        <f>IFERROR(__xludf.DUMMYFUNCTION("IFERROR(MAX(FILTER(AttendanceLog!$C:$C,AttendanceLog!$E:$E=$A75,(AttendanceLog!$I:$I="""")+(IFERROR(SEARCH("",""&amp;$C75&amp;"","","",""&amp;AttendanceLog!$I:$I&amp;"",""),0)&gt;0))),"""")"),"")</f>
        <v/>
      </c>
    </row>
    <row r="76" ht="15.75" customHeight="1">
      <c r="A76" s="19" t="s">
        <v>333</v>
      </c>
      <c r="B76" s="21"/>
      <c r="C76" s="19" t="s">
        <v>45</v>
      </c>
      <c r="D76" s="19" t="s">
        <v>61</v>
      </c>
      <c r="E76" s="33">
        <v>46268.33333333333</v>
      </c>
      <c r="F76" s="33">
        <v>46285.24407951389</v>
      </c>
      <c r="G76" s="67">
        <f>IF($A76="","",SUMPRODUCT((AttendanceLog!$E$2:$E$5000=$A76)*(AttendanceLog!$C$2:$C$5000&gt;=MAX($E76,Settings!$B$3))*((AttendanceLog!$I$2:$I$5000="")+(IFERROR(SEARCH(","&amp;$C76&amp;",",","&amp;AttendanceLog!$I$2:$I$5000&amp;","),0)&gt;0))))</f>
        <v>1</v>
      </c>
      <c r="H76" s="21">
        <f>IF($A76="","",SUMPRODUCT((EventLog!$C$2:$C$5000&gt;=MAX($E76,Settings!$B$3))*(EventLog!$C$2:$C$5000&lt;=TODAY())*((EventLog!$F$2:$F$5000="")+(IFERROR(SEARCH(","&amp;$C76&amp;",",","&amp;EventLog!$F$2:$F$5000&amp;","),0)&gt;0))))</f>
        <v>3</v>
      </c>
      <c r="I76" s="26">
        <f t="shared" si="1"/>
        <v>0.3333333333</v>
      </c>
      <c r="J76" s="20">
        <f>IFERROR(__xludf.DUMMYFUNCTION("IFERROR(MAX(FILTER(AttendanceLog!$C:$C,AttendanceLog!$E:$E=$A76,(AttendanceLog!$I:$I="""")+(IFERROR(SEARCH("",""&amp;$C76&amp;"","","",""&amp;AttendanceLog!$I:$I&amp;"",""),0)&gt;0))),"""")"),46303.33333333333)</f>
        <v>46303.33333</v>
      </c>
    </row>
    <row r="77" ht="15.75" customHeight="1">
      <c r="A77" s="19" t="s">
        <v>319</v>
      </c>
      <c r="B77" s="21"/>
      <c r="C77" s="19" t="s">
        <v>45</v>
      </c>
      <c r="D77" s="19" t="s">
        <v>61</v>
      </c>
      <c r="E77" s="33">
        <v>46268.33333333333</v>
      </c>
      <c r="F77" s="33">
        <v>46285.24407951389</v>
      </c>
      <c r="G77" s="67">
        <f>IF($A77="","",SUMPRODUCT((AttendanceLog!$E$2:$E$5000=$A77)*(AttendanceLog!$C$2:$C$5000&gt;=MAX($E77,Settings!$B$3))*((AttendanceLog!$I$2:$I$5000="")+(IFERROR(SEARCH(","&amp;$C77&amp;",",","&amp;AttendanceLog!$I$2:$I$5000&amp;","),0)&gt;0))))</f>
        <v>0</v>
      </c>
      <c r="H77" s="21">
        <f>IF($A77="","",SUMPRODUCT((EventLog!$C$2:$C$5000&gt;=MAX($E77,Settings!$B$3))*(EventLog!$C$2:$C$5000&lt;=TODAY())*((EventLog!$F$2:$F$5000="")+(IFERROR(SEARCH(","&amp;$C77&amp;",",","&amp;EventLog!$F$2:$F$5000&amp;","),0)&gt;0))))</f>
        <v>3</v>
      </c>
      <c r="I77" s="26">
        <f t="shared" si="1"/>
        <v>0</v>
      </c>
      <c r="J77" s="20" t="str">
        <f>IFERROR(__xludf.DUMMYFUNCTION("IFERROR(MAX(FILTER(AttendanceLog!$C:$C,AttendanceLog!$E:$E=$A77,(AttendanceLog!$I:$I="""")+(IFERROR(SEARCH("",""&amp;$C77&amp;"","","",""&amp;AttendanceLog!$I:$I&amp;"",""),0)&gt;0))),"""")"),"")</f>
        <v/>
      </c>
    </row>
    <row r="78" ht="15.75" customHeight="1">
      <c r="A78" s="19" t="s">
        <v>322</v>
      </c>
      <c r="B78" s="21"/>
      <c r="C78" s="19" t="s">
        <v>45</v>
      </c>
      <c r="D78" s="19" t="s">
        <v>61</v>
      </c>
      <c r="E78" s="33">
        <v>46268.33333333333</v>
      </c>
      <c r="F78" s="33">
        <v>46285.24407951389</v>
      </c>
      <c r="G78" s="67">
        <f>IF($A78="","",SUMPRODUCT((AttendanceLog!$E$2:$E$5000=$A78)*(AttendanceLog!$C$2:$C$5000&gt;=MAX($E78,Settings!$B$3))*((AttendanceLog!$I$2:$I$5000="")+(IFERROR(SEARCH(","&amp;$C78&amp;",",","&amp;AttendanceLog!$I$2:$I$5000&amp;","),0)&gt;0))))</f>
        <v>2</v>
      </c>
      <c r="H78" s="21">
        <f>IF($A78="","",SUMPRODUCT((EventLog!$C$2:$C$5000&gt;=MAX($E78,Settings!$B$3))*(EventLog!$C$2:$C$5000&lt;=TODAY())*((EventLog!$F$2:$F$5000="")+(IFERROR(SEARCH(","&amp;$C78&amp;",",","&amp;EventLog!$F$2:$F$5000&amp;","),0)&gt;0))))</f>
        <v>3</v>
      </c>
      <c r="I78" s="26">
        <f t="shared" si="1"/>
        <v>0.6666666667</v>
      </c>
      <c r="J78" s="20">
        <f>IFERROR(__xludf.DUMMYFUNCTION("IFERROR(MAX(FILTER(AttendanceLog!$C:$C,AttendanceLog!$E:$E=$A78,(AttendanceLog!$I:$I="""")+(IFERROR(SEARCH("",""&amp;$C78&amp;"","","",""&amp;AttendanceLog!$I:$I&amp;"",""),0)&gt;0))),"""")"),46303.33333333333)</f>
        <v>46303.33333</v>
      </c>
    </row>
    <row r="79" ht="15.75" customHeight="1">
      <c r="A79" s="19" t="s">
        <v>326</v>
      </c>
      <c r="B79" s="21"/>
      <c r="C79" s="19" t="s">
        <v>45</v>
      </c>
      <c r="D79" s="19" t="s">
        <v>61</v>
      </c>
      <c r="E79" s="33">
        <v>46268.33333333333</v>
      </c>
      <c r="F79" s="33">
        <v>46285.24407951389</v>
      </c>
      <c r="G79" s="67">
        <f>IF($A79="","",SUMPRODUCT((AttendanceLog!$E$2:$E$5000=$A79)*(AttendanceLog!$C$2:$C$5000&gt;=MAX($E79,Settings!$B$3))*((AttendanceLog!$I$2:$I$5000="")+(IFERROR(SEARCH(","&amp;$C79&amp;",",","&amp;AttendanceLog!$I$2:$I$5000&amp;","),0)&gt;0))))</f>
        <v>1</v>
      </c>
      <c r="H79" s="21">
        <f>IF($A79="","",SUMPRODUCT((EventLog!$C$2:$C$5000&gt;=MAX($E79,Settings!$B$3))*(EventLog!$C$2:$C$5000&lt;=TODAY())*((EventLog!$F$2:$F$5000="")+(IFERROR(SEARCH(","&amp;$C79&amp;",",","&amp;EventLog!$F$2:$F$5000&amp;","),0)&gt;0))))</f>
        <v>3</v>
      </c>
      <c r="I79" s="26">
        <f t="shared" si="1"/>
        <v>0.3333333333</v>
      </c>
      <c r="J79" s="20">
        <f>IFERROR(__xludf.DUMMYFUNCTION("IFERROR(MAX(FILTER(AttendanceLog!$C:$C,AttendanceLog!$E:$E=$A79,(AttendanceLog!$I:$I="""")+(IFERROR(SEARCH("",""&amp;$C79&amp;"","","",""&amp;AttendanceLog!$I:$I&amp;"",""),0)&gt;0))),"""")"),46303.33333333333)</f>
        <v>46303.33333</v>
      </c>
    </row>
    <row r="80" ht="15.75" customHeight="1">
      <c r="A80" s="19" t="s">
        <v>328</v>
      </c>
      <c r="B80" s="21"/>
      <c r="C80" s="19" t="s">
        <v>45</v>
      </c>
      <c r="D80" s="19" t="s">
        <v>61</v>
      </c>
      <c r="E80" s="33">
        <v>46268.33333333333</v>
      </c>
      <c r="F80" s="33">
        <v>46285.24407951389</v>
      </c>
      <c r="G80" s="67">
        <f>IF($A80="","",SUMPRODUCT((AttendanceLog!$E$2:$E$5000=$A80)*(AttendanceLog!$C$2:$C$5000&gt;=MAX($E80,Settings!$B$3))*((AttendanceLog!$I$2:$I$5000="")+(IFERROR(SEARCH(","&amp;$C80&amp;",",","&amp;AttendanceLog!$I$2:$I$5000&amp;","),0)&gt;0))))</f>
        <v>3</v>
      </c>
      <c r="H80" s="21">
        <f>IF($A80="","",SUMPRODUCT((EventLog!$C$2:$C$5000&gt;=MAX($E80,Settings!$B$3))*(EventLog!$C$2:$C$5000&lt;=TODAY())*((EventLog!$F$2:$F$5000="")+(IFERROR(SEARCH(","&amp;$C80&amp;",",","&amp;EventLog!$F$2:$F$5000&amp;","),0)&gt;0))))</f>
        <v>3</v>
      </c>
      <c r="I80" s="26">
        <f t="shared" si="1"/>
        <v>1</v>
      </c>
      <c r="J80" s="20">
        <f>IFERROR(__xludf.DUMMYFUNCTION("IFERROR(MAX(FILTER(AttendanceLog!$C:$C,AttendanceLog!$E:$E=$A80,(AttendanceLog!$I:$I="""")+(IFERROR(SEARCH("",""&amp;$C80&amp;"","","",""&amp;AttendanceLog!$I:$I&amp;"",""),0)&gt;0))),"""")"),46305.33333333333)</f>
        <v>46305.33333</v>
      </c>
    </row>
    <row r="81" ht="15.75" customHeight="1">
      <c r="A81" s="19" t="s">
        <v>324</v>
      </c>
      <c r="B81" s="21"/>
      <c r="C81" s="19" t="s">
        <v>45</v>
      </c>
      <c r="D81" s="19" t="s">
        <v>61</v>
      </c>
      <c r="E81" s="33">
        <v>46268.33333333333</v>
      </c>
      <c r="F81" s="33">
        <v>46285.24407951389</v>
      </c>
      <c r="G81" s="67">
        <f>IF($A81="","",SUMPRODUCT((AttendanceLog!$E$2:$E$5000=$A81)*(AttendanceLog!$C$2:$C$5000&gt;=MAX($E81,Settings!$B$3))*((AttendanceLog!$I$2:$I$5000="")+(IFERROR(SEARCH(","&amp;$C81&amp;",",","&amp;AttendanceLog!$I$2:$I$5000&amp;","),0)&gt;0))))</f>
        <v>1</v>
      </c>
      <c r="H81" s="21">
        <f>IF($A81="","",SUMPRODUCT((EventLog!$C$2:$C$5000&gt;=MAX($E81,Settings!$B$3))*(EventLog!$C$2:$C$5000&lt;=TODAY())*((EventLog!$F$2:$F$5000="")+(IFERROR(SEARCH(","&amp;$C81&amp;",",","&amp;EventLog!$F$2:$F$5000&amp;","),0)&gt;0))))</f>
        <v>3</v>
      </c>
      <c r="I81" s="26">
        <f t="shared" si="1"/>
        <v>0.3333333333</v>
      </c>
      <c r="J81" s="20">
        <f>IFERROR(__xludf.DUMMYFUNCTION("IFERROR(MAX(FILTER(AttendanceLog!$C:$C,AttendanceLog!$E:$E=$A81,(AttendanceLog!$I:$I="""")+(IFERROR(SEARCH("",""&amp;$C81&amp;"","","",""&amp;AttendanceLog!$I:$I&amp;"",""),0)&gt;0))),"""")"),46303.33333333333)</f>
        <v>46303.33333</v>
      </c>
    </row>
    <row r="82" ht="15.75" customHeight="1">
      <c r="A82" s="19" t="s">
        <v>336</v>
      </c>
      <c r="B82" s="21"/>
      <c r="C82" s="19" t="s">
        <v>45</v>
      </c>
      <c r="D82" s="19" t="s">
        <v>61</v>
      </c>
      <c r="E82" s="33">
        <v>46268.33333333333</v>
      </c>
      <c r="F82" s="33">
        <v>46285.24407951389</v>
      </c>
      <c r="G82" s="67">
        <f>IF($A82="","",SUMPRODUCT((AttendanceLog!$E$2:$E$5000=$A82)*(AttendanceLog!$C$2:$C$5000&gt;=MAX($E82,Settings!$B$3))*((AttendanceLog!$I$2:$I$5000="")+(IFERROR(SEARCH(","&amp;$C82&amp;",",","&amp;AttendanceLog!$I$2:$I$5000&amp;","),0)&gt;0))))</f>
        <v>1</v>
      </c>
      <c r="H82" s="21">
        <f>IF($A82="","",SUMPRODUCT((EventLog!$C$2:$C$5000&gt;=MAX($E82,Settings!$B$3))*(EventLog!$C$2:$C$5000&lt;=TODAY())*((EventLog!$F$2:$F$5000="")+(IFERROR(SEARCH(","&amp;$C82&amp;",",","&amp;EventLog!$F$2:$F$5000&amp;","),0)&gt;0))))</f>
        <v>3</v>
      </c>
      <c r="I82" s="26">
        <f t="shared" si="1"/>
        <v>0.3333333333</v>
      </c>
      <c r="J82" s="20">
        <f>IFERROR(__xludf.DUMMYFUNCTION("IFERROR(MAX(FILTER(AttendanceLog!$C:$C,AttendanceLog!$E:$E=$A82,(AttendanceLog!$I:$I="""")+(IFERROR(SEARCH("",""&amp;$C82&amp;"","","",""&amp;AttendanceLog!$I:$I&amp;"",""),0)&gt;0))),"""")"),46303.33333333333)</f>
        <v>46303.33333</v>
      </c>
    </row>
    <row r="83" ht="15.75" customHeight="1">
      <c r="A83" s="19" t="s">
        <v>317</v>
      </c>
      <c r="B83" s="21"/>
      <c r="C83" s="19" t="s">
        <v>45</v>
      </c>
      <c r="D83" s="19" t="s">
        <v>61</v>
      </c>
      <c r="E83" s="33">
        <v>46268.33333333333</v>
      </c>
      <c r="F83" s="33">
        <v>46285.24407951389</v>
      </c>
      <c r="G83" s="67">
        <f>IF($A83="","",SUMPRODUCT((AttendanceLog!$E$2:$E$5000=$A83)*(AttendanceLog!$C$2:$C$5000&gt;=MAX($E83,Settings!$B$3))*((AttendanceLog!$I$2:$I$5000="")+(IFERROR(SEARCH(","&amp;$C83&amp;",",","&amp;AttendanceLog!$I$2:$I$5000&amp;","),0)&gt;0))))</f>
        <v>2</v>
      </c>
      <c r="H83" s="21">
        <f>IF($A83="","",SUMPRODUCT((EventLog!$C$2:$C$5000&gt;=MAX($E83,Settings!$B$3))*(EventLog!$C$2:$C$5000&lt;=TODAY())*((EventLog!$F$2:$F$5000="")+(IFERROR(SEARCH(","&amp;$C83&amp;",",","&amp;EventLog!$F$2:$F$5000&amp;","),0)&gt;0))))</f>
        <v>3</v>
      </c>
      <c r="I83" s="26">
        <f t="shared" si="1"/>
        <v>0.6666666667</v>
      </c>
      <c r="J83" s="20">
        <f>IFERROR(__xludf.DUMMYFUNCTION("IFERROR(MAX(FILTER(AttendanceLog!$C:$C,AttendanceLog!$E:$E=$A83,(AttendanceLog!$I:$I="""")+(IFERROR(SEARCH("",""&amp;$C83&amp;"","","",""&amp;AttendanceLog!$I:$I&amp;"",""),0)&gt;0))),"""")"),46303.33333333333)</f>
        <v>46303.33333</v>
      </c>
    </row>
    <row r="84" ht="15.75" customHeight="1">
      <c r="A84" s="19" t="s">
        <v>332</v>
      </c>
      <c r="B84" s="21"/>
      <c r="C84" s="19" t="s">
        <v>45</v>
      </c>
      <c r="D84" s="19" t="s">
        <v>61</v>
      </c>
      <c r="E84" s="33">
        <v>46268.33333333333</v>
      </c>
      <c r="F84" s="33">
        <v>46285.24407951389</v>
      </c>
      <c r="G84" s="67">
        <f>IF($A84="","",SUMPRODUCT((AttendanceLog!$E$2:$E$5000=$A84)*(AttendanceLog!$C$2:$C$5000&gt;=MAX($E84,Settings!$B$3))*((AttendanceLog!$I$2:$I$5000="")+(IFERROR(SEARCH(","&amp;$C84&amp;",",","&amp;AttendanceLog!$I$2:$I$5000&amp;","),0)&gt;0))))</f>
        <v>2</v>
      </c>
      <c r="H84" s="21">
        <f>IF($A84="","",SUMPRODUCT((EventLog!$C$2:$C$5000&gt;=MAX($E84,Settings!$B$3))*(EventLog!$C$2:$C$5000&lt;=TODAY())*((EventLog!$F$2:$F$5000="")+(IFERROR(SEARCH(","&amp;$C84&amp;",",","&amp;EventLog!$F$2:$F$5000&amp;","),0)&gt;0))))</f>
        <v>3</v>
      </c>
      <c r="I84" s="26">
        <f t="shared" si="1"/>
        <v>0.6666666667</v>
      </c>
      <c r="J84" s="20">
        <f>IFERROR(__xludf.DUMMYFUNCTION("IFERROR(MAX(FILTER(AttendanceLog!$C:$C,AttendanceLog!$E:$E=$A84,(AttendanceLog!$I:$I="""")+(IFERROR(SEARCH("",""&amp;$C84&amp;"","","",""&amp;AttendanceLog!$I:$I&amp;"",""),0)&gt;0))),"""")"),46303.33333333333)</f>
        <v>46303.33333</v>
      </c>
    </row>
    <row r="85" ht="15.75" customHeight="1">
      <c r="A85" s="19" t="s">
        <v>330</v>
      </c>
      <c r="B85" s="21"/>
      <c r="C85" s="19" t="s">
        <v>45</v>
      </c>
      <c r="D85" s="19" t="s">
        <v>61</v>
      </c>
      <c r="E85" s="33">
        <v>46268.33333333333</v>
      </c>
      <c r="F85" s="33">
        <v>46285.24407951389</v>
      </c>
      <c r="G85" s="67">
        <f>IF($A85="","",SUMPRODUCT((AttendanceLog!$E$2:$E$5000=$A85)*(AttendanceLog!$C$2:$C$5000&gt;=MAX($E85,Settings!$B$3))*((AttendanceLog!$I$2:$I$5000="")+(IFERROR(SEARCH(","&amp;$C85&amp;",",","&amp;AttendanceLog!$I$2:$I$5000&amp;","),0)&gt;0))))</f>
        <v>3</v>
      </c>
      <c r="H85" s="21">
        <f>IF($A85="","",SUMPRODUCT((EventLog!$C$2:$C$5000&gt;=MAX($E85,Settings!$B$3))*(EventLog!$C$2:$C$5000&lt;=TODAY())*((EventLog!$F$2:$F$5000="")+(IFERROR(SEARCH(","&amp;$C85&amp;",",","&amp;EventLog!$F$2:$F$5000&amp;","),0)&gt;0))))</f>
        <v>3</v>
      </c>
      <c r="I85" s="26">
        <f t="shared" si="1"/>
        <v>1</v>
      </c>
      <c r="J85" s="20">
        <f>IFERROR(__xludf.DUMMYFUNCTION("IFERROR(MAX(FILTER(AttendanceLog!$C:$C,AttendanceLog!$E:$E=$A85,(AttendanceLog!$I:$I="""")+(IFERROR(SEARCH("",""&amp;$C85&amp;"","","",""&amp;AttendanceLog!$I:$I&amp;"",""),0)&gt;0))),"""")"),46305.33333333333)</f>
        <v>46305.33333</v>
      </c>
    </row>
    <row r="86" ht="15.75" customHeight="1">
      <c r="A86" s="19" t="s">
        <v>316</v>
      </c>
      <c r="B86" s="21"/>
      <c r="C86" s="19" t="s">
        <v>45</v>
      </c>
      <c r="D86" s="19" t="s">
        <v>61</v>
      </c>
      <c r="E86" s="33">
        <v>46268.33333333333</v>
      </c>
      <c r="F86" s="33">
        <v>46285.24407951389</v>
      </c>
      <c r="G86" s="67">
        <f>IF($A86="","",SUMPRODUCT((AttendanceLog!$E$2:$E$5000=$A86)*(AttendanceLog!$C$2:$C$5000&gt;=MAX($E86,Settings!$B$3))*((AttendanceLog!$I$2:$I$5000="")+(IFERROR(SEARCH(","&amp;$C86&amp;",",","&amp;AttendanceLog!$I$2:$I$5000&amp;","),0)&gt;0))))</f>
        <v>1</v>
      </c>
      <c r="H86" s="21">
        <f>IF($A86="","",SUMPRODUCT((EventLog!$C$2:$C$5000&gt;=MAX($E86,Settings!$B$3))*(EventLog!$C$2:$C$5000&lt;=TODAY())*((EventLog!$F$2:$F$5000="")+(IFERROR(SEARCH(","&amp;$C86&amp;",",","&amp;EventLog!$F$2:$F$5000&amp;","),0)&gt;0))))</f>
        <v>3</v>
      </c>
      <c r="I86" s="26">
        <f t="shared" si="1"/>
        <v>0.3333333333</v>
      </c>
      <c r="J86" s="20">
        <f>IFERROR(__xludf.DUMMYFUNCTION("IFERROR(MAX(FILTER(AttendanceLog!$C:$C,AttendanceLog!$E:$E=$A86,(AttendanceLog!$I:$I="""")+(IFERROR(SEARCH("",""&amp;$C86&amp;"","","",""&amp;AttendanceLog!$I:$I&amp;"",""),0)&gt;0))),"""")"),46283.6875)</f>
        <v>46283.6875</v>
      </c>
    </row>
    <row r="87" ht="15.75" customHeight="1">
      <c r="A87" s="19" t="s">
        <v>312</v>
      </c>
      <c r="B87" s="21"/>
      <c r="C87" s="19" t="s">
        <v>45</v>
      </c>
      <c r="D87" s="19" t="s">
        <v>61</v>
      </c>
      <c r="E87" s="33">
        <v>46268.33333333333</v>
      </c>
      <c r="F87" s="33">
        <v>46285.24407951389</v>
      </c>
      <c r="G87" s="67">
        <f>IF($A87="","",SUMPRODUCT((AttendanceLog!$E$2:$E$5000=$A87)*(AttendanceLog!$C$2:$C$5000&gt;=MAX($E87,Settings!$B$3))*((AttendanceLog!$I$2:$I$5000="")+(IFERROR(SEARCH(","&amp;$C87&amp;",",","&amp;AttendanceLog!$I$2:$I$5000&amp;","),0)&gt;0))))</f>
        <v>3</v>
      </c>
      <c r="H87" s="21">
        <f>IF($A87="","",SUMPRODUCT((EventLog!$C$2:$C$5000&gt;=MAX($E87,Settings!$B$3))*(EventLog!$C$2:$C$5000&lt;=TODAY())*((EventLog!$F$2:$F$5000="")+(IFERROR(SEARCH(","&amp;$C87&amp;",",","&amp;EventLog!$F$2:$F$5000&amp;","),0)&gt;0))))</f>
        <v>3</v>
      </c>
      <c r="I87" s="26">
        <f t="shared" si="1"/>
        <v>1</v>
      </c>
      <c r="J87" s="20">
        <f>IFERROR(__xludf.DUMMYFUNCTION("IFERROR(MAX(FILTER(AttendanceLog!$C:$C,AttendanceLog!$E:$E=$A87,(AttendanceLog!$I:$I="""")+(IFERROR(SEARCH("",""&amp;$C87&amp;"","","",""&amp;AttendanceLog!$I:$I&amp;"",""),0)&gt;0))),"""")"),46305.33333333333)</f>
        <v>46305.33333</v>
      </c>
    </row>
    <row r="88" ht="15.75" customHeight="1">
      <c r="A88" s="19" t="s">
        <v>325</v>
      </c>
      <c r="B88" s="21"/>
      <c r="C88" s="19" t="s">
        <v>45</v>
      </c>
      <c r="D88" s="19" t="s">
        <v>61</v>
      </c>
      <c r="E88" s="33">
        <v>46268.33333333333</v>
      </c>
      <c r="F88" s="33">
        <v>46285.24407951389</v>
      </c>
      <c r="G88" s="67">
        <f>IF($A88="","",SUMPRODUCT((AttendanceLog!$E$2:$E$5000=$A88)*(AttendanceLog!$C$2:$C$5000&gt;=MAX($E88,Settings!$B$3))*((AttendanceLog!$I$2:$I$5000="")+(IFERROR(SEARCH(","&amp;$C88&amp;",",","&amp;AttendanceLog!$I$2:$I$5000&amp;","),0)&gt;0))))</f>
        <v>2</v>
      </c>
      <c r="H88" s="21">
        <f>IF($A88="","",SUMPRODUCT((EventLog!$C$2:$C$5000&gt;=MAX($E88,Settings!$B$3))*(EventLog!$C$2:$C$5000&lt;=TODAY())*((EventLog!$F$2:$F$5000="")+(IFERROR(SEARCH(","&amp;$C88&amp;",",","&amp;EventLog!$F$2:$F$5000&amp;","),0)&gt;0))))</f>
        <v>3</v>
      </c>
      <c r="I88" s="26">
        <f t="shared" si="1"/>
        <v>0.6666666667</v>
      </c>
      <c r="J88" s="20">
        <f>IFERROR(__xludf.DUMMYFUNCTION("IFERROR(MAX(FILTER(AttendanceLog!$C:$C,AttendanceLog!$E:$E=$A88,(AttendanceLog!$I:$I="""")+(IFERROR(SEARCH("",""&amp;$C88&amp;"","","",""&amp;AttendanceLog!$I:$I&amp;"",""),0)&gt;0))),"""")"),46303.33333333333)</f>
        <v>46303.33333</v>
      </c>
    </row>
    <row r="89" ht="15.75" customHeight="1">
      <c r="A89" s="19" t="s">
        <v>329</v>
      </c>
      <c r="B89" s="21"/>
      <c r="C89" s="19" t="s">
        <v>45</v>
      </c>
      <c r="D89" s="19" t="s">
        <v>61</v>
      </c>
      <c r="E89" s="33">
        <v>46268.33333333333</v>
      </c>
      <c r="F89" s="33">
        <v>46285.24407951389</v>
      </c>
      <c r="G89" s="67">
        <f>IF($A89="","",SUMPRODUCT((AttendanceLog!$E$2:$E$5000=$A89)*(AttendanceLog!$C$2:$C$5000&gt;=MAX($E89,Settings!$B$3))*((AttendanceLog!$I$2:$I$5000="")+(IFERROR(SEARCH(","&amp;$C89&amp;",",","&amp;AttendanceLog!$I$2:$I$5000&amp;","),0)&gt;0))))</f>
        <v>1</v>
      </c>
      <c r="H89" s="21">
        <f>IF($A89="","",SUMPRODUCT((EventLog!$C$2:$C$5000&gt;=MAX($E89,Settings!$B$3))*(EventLog!$C$2:$C$5000&lt;=TODAY())*((EventLog!$F$2:$F$5000="")+(IFERROR(SEARCH(","&amp;$C89&amp;",",","&amp;EventLog!$F$2:$F$5000&amp;","),0)&gt;0))))</f>
        <v>3</v>
      </c>
      <c r="I89" s="26">
        <f t="shared" si="1"/>
        <v>0.3333333333</v>
      </c>
      <c r="J89" s="20">
        <f>IFERROR(__xludf.DUMMYFUNCTION("IFERROR(MAX(FILTER(AttendanceLog!$C:$C,AttendanceLog!$E:$E=$A89,(AttendanceLog!$I:$I="""")+(IFERROR(SEARCH("",""&amp;$C89&amp;"","","",""&amp;AttendanceLog!$I:$I&amp;"",""),0)&gt;0))),"""")"),46303.33333333333)</f>
        <v>46303.33333</v>
      </c>
    </row>
    <row r="90" ht="15.75" customHeight="1">
      <c r="A90" s="19" t="s">
        <v>315</v>
      </c>
      <c r="B90" s="21"/>
      <c r="C90" s="19" t="s">
        <v>45</v>
      </c>
      <c r="D90" s="19" t="s">
        <v>61</v>
      </c>
      <c r="E90" s="33">
        <v>46268.33333333333</v>
      </c>
      <c r="F90" s="33">
        <v>46285.24407951389</v>
      </c>
      <c r="G90" s="67">
        <f>IF($A90="","",SUMPRODUCT((AttendanceLog!$E$2:$E$5000=$A90)*(AttendanceLog!$C$2:$C$5000&gt;=MAX($E90,Settings!$B$3))*((AttendanceLog!$I$2:$I$5000="")+(IFERROR(SEARCH(","&amp;$C90&amp;",",","&amp;AttendanceLog!$I$2:$I$5000&amp;","),0)&gt;0))))</f>
        <v>3</v>
      </c>
      <c r="H90" s="21">
        <f>IF($A90="","",SUMPRODUCT((EventLog!$C$2:$C$5000&gt;=MAX($E90,Settings!$B$3))*(EventLog!$C$2:$C$5000&lt;=TODAY())*((EventLog!$F$2:$F$5000="")+(IFERROR(SEARCH(","&amp;$C90&amp;",",","&amp;EventLog!$F$2:$F$5000&amp;","),0)&gt;0))))</f>
        <v>3</v>
      </c>
      <c r="I90" s="26">
        <f t="shared" si="1"/>
        <v>1</v>
      </c>
      <c r="J90" s="20">
        <f>IFERROR(__xludf.DUMMYFUNCTION("IFERROR(MAX(FILTER(AttendanceLog!$C:$C,AttendanceLog!$E:$E=$A90,(AttendanceLog!$I:$I="""")+(IFERROR(SEARCH("",""&amp;$C90&amp;"","","",""&amp;AttendanceLog!$I:$I&amp;"",""),0)&gt;0))),"""")"),46305.33333333333)</f>
        <v>46305.33333</v>
      </c>
    </row>
    <row r="91" ht="15.75" customHeight="1">
      <c r="A91" s="19" t="s">
        <v>314</v>
      </c>
      <c r="B91" s="21"/>
      <c r="C91" s="19" t="s">
        <v>45</v>
      </c>
      <c r="D91" s="19" t="s">
        <v>61</v>
      </c>
      <c r="E91" s="33">
        <v>46268.33333333333</v>
      </c>
      <c r="F91" s="33">
        <v>46285.24407951389</v>
      </c>
      <c r="G91" s="67">
        <f>IF($A91="","",SUMPRODUCT((AttendanceLog!$E$2:$E$5000=$A91)*(AttendanceLog!$C$2:$C$5000&gt;=MAX($E91,Settings!$B$3))*((AttendanceLog!$I$2:$I$5000="")+(IFERROR(SEARCH(","&amp;$C91&amp;",",","&amp;AttendanceLog!$I$2:$I$5000&amp;","),0)&gt;0))))</f>
        <v>3</v>
      </c>
      <c r="H91" s="21">
        <f>IF($A91="","",SUMPRODUCT((EventLog!$C$2:$C$5000&gt;=MAX($E91,Settings!$B$3))*(EventLog!$C$2:$C$5000&lt;=TODAY())*((EventLog!$F$2:$F$5000="")+(IFERROR(SEARCH(","&amp;$C91&amp;",",","&amp;EventLog!$F$2:$F$5000&amp;","),0)&gt;0))))</f>
        <v>3</v>
      </c>
      <c r="I91" s="26">
        <f t="shared" si="1"/>
        <v>1</v>
      </c>
      <c r="J91" s="20">
        <f>IFERROR(__xludf.DUMMYFUNCTION("IFERROR(MAX(FILTER(AttendanceLog!$C:$C,AttendanceLog!$E:$E=$A91,(AttendanceLog!$I:$I="""")+(IFERROR(SEARCH("",""&amp;$C91&amp;"","","",""&amp;AttendanceLog!$I:$I&amp;"",""),0)&gt;0))),"""")"),46305.33333333333)</f>
        <v>46305.33333</v>
      </c>
    </row>
    <row r="92" ht="15.75" customHeight="1">
      <c r="A92" s="19" t="s">
        <v>313</v>
      </c>
      <c r="B92" s="21"/>
      <c r="C92" s="19" t="s">
        <v>45</v>
      </c>
      <c r="D92" s="19" t="s">
        <v>61</v>
      </c>
      <c r="E92" s="33">
        <v>46268.33333333333</v>
      </c>
      <c r="F92" s="33">
        <v>46285.24407951389</v>
      </c>
      <c r="G92" s="67">
        <f>IF($A92="","",SUMPRODUCT((AttendanceLog!$E$2:$E$5000=$A92)*(AttendanceLog!$C$2:$C$5000&gt;=MAX($E92,Settings!$B$3))*((AttendanceLog!$I$2:$I$5000="")+(IFERROR(SEARCH(","&amp;$C92&amp;",",","&amp;AttendanceLog!$I$2:$I$5000&amp;","),0)&gt;0))))</f>
        <v>1</v>
      </c>
      <c r="H92" s="21">
        <f>IF($A92="","",SUMPRODUCT((EventLog!$C$2:$C$5000&gt;=MAX($E92,Settings!$B$3))*(EventLog!$C$2:$C$5000&lt;=TODAY())*((EventLog!$F$2:$F$5000="")+(IFERROR(SEARCH(","&amp;$C92&amp;",",","&amp;EventLog!$F$2:$F$5000&amp;","),0)&gt;0))))</f>
        <v>3</v>
      </c>
      <c r="I92" s="26">
        <f t="shared" si="1"/>
        <v>0.3333333333</v>
      </c>
      <c r="J92" s="20">
        <f>IFERROR(__xludf.DUMMYFUNCTION("IFERROR(MAX(FILTER(AttendanceLog!$C:$C,AttendanceLog!$E:$E=$A92,(AttendanceLog!$I:$I="""")+(IFERROR(SEARCH("",""&amp;$C92&amp;"","","",""&amp;AttendanceLog!$I:$I&amp;"",""),0)&gt;0))),"""")"),46283.6875)</f>
        <v>46283.6875</v>
      </c>
    </row>
    <row r="93" ht="15.75" customHeight="1">
      <c r="A93" s="19" t="s">
        <v>307</v>
      </c>
      <c r="B93" s="21"/>
      <c r="C93" s="19" t="s">
        <v>45</v>
      </c>
      <c r="D93" s="19" t="s">
        <v>61</v>
      </c>
      <c r="E93" s="33">
        <v>46268.33333333333</v>
      </c>
      <c r="F93" s="33">
        <v>46285.24407951389</v>
      </c>
      <c r="G93" s="67">
        <f>IF($A93="","",SUMPRODUCT((AttendanceLog!$E$2:$E$5000=$A93)*(AttendanceLog!$C$2:$C$5000&gt;=MAX($E93,Settings!$B$3))*((AttendanceLog!$I$2:$I$5000="")+(IFERROR(SEARCH(","&amp;$C93&amp;",",","&amp;AttendanceLog!$I$2:$I$5000&amp;","),0)&gt;0))))</f>
        <v>1</v>
      </c>
      <c r="H93" s="21">
        <f>IF($A93="","",SUMPRODUCT((EventLog!$C$2:$C$5000&gt;=MAX($E93,Settings!$B$3))*(EventLog!$C$2:$C$5000&lt;=TODAY())*((EventLog!$F$2:$F$5000="")+(IFERROR(SEARCH(","&amp;$C93&amp;",",","&amp;EventLog!$F$2:$F$5000&amp;","),0)&gt;0))))</f>
        <v>3</v>
      </c>
      <c r="I93" s="26">
        <f t="shared" si="1"/>
        <v>0.3333333333</v>
      </c>
      <c r="J93" s="20">
        <f>IFERROR(__xludf.DUMMYFUNCTION("IFERROR(MAX(FILTER(AttendanceLog!$C:$C,AttendanceLog!$E:$E=$A93,(AttendanceLog!$I:$I="""")+(IFERROR(SEARCH("",""&amp;$C93&amp;"","","",""&amp;AttendanceLog!$I:$I&amp;"",""),0)&gt;0))),"""")"),46303.33333333333)</f>
        <v>46303.33333</v>
      </c>
    </row>
    <row r="94" ht="15.75" customHeight="1">
      <c r="A94" s="19" t="s">
        <v>271</v>
      </c>
      <c r="B94" s="21"/>
      <c r="C94" s="19" t="s">
        <v>44</v>
      </c>
      <c r="D94" s="19" t="s">
        <v>61</v>
      </c>
      <c r="E94" s="33">
        <v>46264.33333333333</v>
      </c>
      <c r="F94" s="33">
        <v>46293.239008495366</v>
      </c>
      <c r="G94" s="67">
        <f>IF($A94="","",SUMPRODUCT((AttendanceLog!$E$2:$E$5000=$A94)*(AttendanceLog!$C$2:$C$5000&gt;=MAX($E94,Settings!$B$3))*((AttendanceLog!$I$2:$I$5000="")+(IFERROR(SEARCH(","&amp;$C94&amp;",",","&amp;AttendanceLog!$I$2:$I$5000&amp;","),0)&gt;0))))</f>
        <v>2</v>
      </c>
      <c r="H94" s="21">
        <f>IF($A94="","",SUMPRODUCT((EventLog!$C$2:$C$5000&gt;=MAX($E94,Settings!$B$3))*(EventLog!$C$2:$C$5000&lt;=TODAY())*((EventLog!$F$2:$F$5000="")+(IFERROR(SEARCH(","&amp;$C94&amp;",",","&amp;EventLog!$F$2:$F$5000&amp;","),0)&gt;0))))</f>
        <v>3</v>
      </c>
      <c r="I94" s="26">
        <f t="shared" si="1"/>
        <v>0.6666666667</v>
      </c>
      <c r="J94" s="20">
        <f>IFERROR(__xludf.DUMMYFUNCTION("IFERROR(MAX(FILTER(AttendanceLog!$C:$C,AttendanceLog!$E:$E=$A94,(AttendanceLog!$I:$I="""")+(IFERROR(SEARCH("",""&amp;$C94&amp;"","","",""&amp;AttendanceLog!$I:$I&amp;"",""),0)&gt;0))),"""")"),46303.33333333333)</f>
        <v>46303.33333</v>
      </c>
    </row>
    <row r="95" ht="15.75" customHeight="1">
      <c r="A95" s="19" t="s">
        <v>302</v>
      </c>
      <c r="B95" s="21"/>
      <c r="C95" s="19" t="s">
        <v>44</v>
      </c>
      <c r="D95" s="19" t="s">
        <v>61</v>
      </c>
      <c r="E95" s="33">
        <v>46264.33333333333</v>
      </c>
      <c r="F95" s="33">
        <v>46293.239008495366</v>
      </c>
      <c r="G95" s="67">
        <f>IF($A95="","",SUMPRODUCT((AttendanceLog!$E$2:$E$5000=$A95)*(AttendanceLog!$C$2:$C$5000&gt;=MAX($E95,Settings!$B$3))*((AttendanceLog!$I$2:$I$5000="")+(IFERROR(SEARCH(","&amp;$C95&amp;",",","&amp;AttendanceLog!$I$2:$I$5000&amp;","),0)&gt;0))))</f>
        <v>2</v>
      </c>
      <c r="H95" s="21">
        <f>IF($A95="","",SUMPRODUCT((EventLog!$C$2:$C$5000&gt;=MAX($E95,Settings!$B$3))*(EventLog!$C$2:$C$5000&lt;=TODAY())*((EventLog!$F$2:$F$5000="")+(IFERROR(SEARCH(","&amp;$C95&amp;",",","&amp;EventLog!$F$2:$F$5000&amp;","),0)&gt;0))))</f>
        <v>3</v>
      </c>
      <c r="I95" s="26">
        <f t="shared" si="1"/>
        <v>0.6666666667</v>
      </c>
      <c r="J95" s="20">
        <f>IFERROR(__xludf.DUMMYFUNCTION("IFERROR(MAX(FILTER(AttendanceLog!$C:$C,AttendanceLog!$E:$E=$A95,(AttendanceLog!$I:$I="""")+(IFERROR(SEARCH("",""&amp;$C95&amp;"","","",""&amp;AttendanceLog!$I:$I&amp;"",""),0)&gt;0))),"""")"),46303.33333333333)</f>
        <v>46303.33333</v>
      </c>
    </row>
    <row r="96" ht="15.75" customHeight="1">
      <c r="A96" s="19" t="s">
        <v>288</v>
      </c>
      <c r="B96" s="21"/>
      <c r="C96" s="19" t="s">
        <v>44</v>
      </c>
      <c r="D96" s="19" t="s">
        <v>61</v>
      </c>
      <c r="E96" s="33">
        <v>46264.33333333333</v>
      </c>
      <c r="F96" s="33">
        <v>46293.239008495366</v>
      </c>
      <c r="G96" s="67">
        <f>IF($A96="","",SUMPRODUCT((AttendanceLog!$E$2:$E$5000=$A96)*(AttendanceLog!$C$2:$C$5000&gt;=MAX($E96,Settings!$B$3))*((AttendanceLog!$I$2:$I$5000="")+(IFERROR(SEARCH(","&amp;$C96&amp;",",","&amp;AttendanceLog!$I$2:$I$5000&amp;","),0)&gt;0))))</f>
        <v>3</v>
      </c>
      <c r="H96" s="21">
        <f>IF($A96="","",SUMPRODUCT((EventLog!$C$2:$C$5000&gt;=MAX($E96,Settings!$B$3))*(EventLog!$C$2:$C$5000&lt;=TODAY())*((EventLog!$F$2:$F$5000="")+(IFERROR(SEARCH(","&amp;$C96&amp;",",","&amp;EventLog!$F$2:$F$5000&amp;","),0)&gt;0))))</f>
        <v>3</v>
      </c>
      <c r="I96" s="26">
        <f t="shared" si="1"/>
        <v>1</v>
      </c>
      <c r="J96" s="20">
        <f>IFERROR(__xludf.DUMMYFUNCTION("IFERROR(MAX(FILTER(AttendanceLog!$C:$C,AttendanceLog!$E:$E=$A96,(AttendanceLog!$I:$I="""")+(IFERROR(SEARCH("",""&amp;$C96&amp;"","","",""&amp;AttendanceLog!$I:$I&amp;"",""),0)&gt;0))),"""")"),46305.33333333333)</f>
        <v>46305.33333</v>
      </c>
    </row>
    <row r="97" ht="15.75" customHeight="1">
      <c r="A97" s="19" t="s">
        <v>274</v>
      </c>
      <c r="C97" s="19" t="s">
        <v>44</v>
      </c>
      <c r="D97" s="19" t="s">
        <v>61</v>
      </c>
      <c r="E97" s="33">
        <v>46264.33333333333</v>
      </c>
      <c r="F97" s="33">
        <v>46293.239008495366</v>
      </c>
      <c r="G97" s="68">
        <f>IF($A97="","",SUMPRODUCT((AttendanceLog!$E$2:$E$5000=$A97)*(AttendanceLog!$C$2:$C$5000&gt;=MAX($E97,Settings!$B$3))*((AttendanceLog!$I$2:$I$5000="")+(IFERROR(SEARCH(","&amp;$C97&amp;",",","&amp;AttendanceLog!$I$2:$I$5000&amp;","),0)&gt;0))))</f>
        <v>1</v>
      </c>
      <c r="H97" s="64">
        <f>IF($A97="","",SUMPRODUCT((EventLog!$C$2:$C$5000&gt;=MAX($E97,Settings!$B$3))*(EventLog!$C$2:$C$5000&lt;=TODAY())*((EventLog!$F$2:$F$5000="")+(IFERROR(SEARCH(","&amp;$C97&amp;",",","&amp;EventLog!$F$2:$F$5000&amp;","),0)&gt;0))))</f>
        <v>3</v>
      </c>
      <c r="I97" s="26">
        <f t="shared" si="1"/>
        <v>0.3333333333</v>
      </c>
      <c r="J97" s="20">
        <f>IFERROR(__xludf.DUMMYFUNCTION("IFERROR(MAX(FILTER(AttendanceLog!$C:$C,AttendanceLog!$E:$E=$A97,(AttendanceLog!$I:$I="""")+(IFERROR(SEARCH("",""&amp;$C97&amp;"","","",""&amp;AttendanceLog!$I:$I&amp;"",""),0)&gt;0))),"""")"),46303.33333333333)</f>
        <v>46303.33333</v>
      </c>
    </row>
    <row r="98" ht="15.75" customHeight="1">
      <c r="A98" s="19" t="s">
        <v>289</v>
      </c>
      <c r="C98" s="19" t="s">
        <v>44</v>
      </c>
      <c r="D98" s="19" t="s">
        <v>61</v>
      </c>
      <c r="E98" s="33">
        <v>46264.33333333333</v>
      </c>
      <c r="F98" s="33">
        <v>46293.239008495366</v>
      </c>
      <c r="G98" s="68">
        <f>IF($A98="","",SUMPRODUCT((AttendanceLog!$E$2:$E$5000=$A98)*(AttendanceLog!$C$2:$C$5000&gt;=MAX($E98,Settings!$B$3))*((AttendanceLog!$I$2:$I$5000="")+(IFERROR(SEARCH(","&amp;$C98&amp;",",","&amp;AttendanceLog!$I$2:$I$5000&amp;","),0)&gt;0))))</f>
        <v>3</v>
      </c>
      <c r="H98" s="64">
        <f>IF($A98="","",SUMPRODUCT((EventLog!$C$2:$C$5000&gt;=MAX($E98,Settings!$B$3))*(EventLog!$C$2:$C$5000&lt;=TODAY())*((EventLog!$F$2:$F$5000="")+(IFERROR(SEARCH(","&amp;$C98&amp;",",","&amp;EventLog!$F$2:$F$5000&amp;","),0)&gt;0))))</f>
        <v>3</v>
      </c>
      <c r="I98" s="26">
        <f t="shared" si="1"/>
        <v>1</v>
      </c>
      <c r="J98" s="20">
        <f>IFERROR(__xludf.DUMMYFUNCTION("IFERROR(MAX(FILTER(AttendanceLog!$C:$C,AttendanceLog!$E:$E=$A98,(AttendanceLog!$I:$I="""")+(IFERROR(SEARCH("",""&amp;$C98&amp;"","","",""&amp;AttendanceLog!$I:$I&amp;"",""),0)&gt;0))),"""")"),46305.33333333333)</f>
        <v>46305.33333</v>
      </c>
    </row>
    <row r="99" ht="15.75" customHeight="1">
      <c r="A99" s="19" t="s">
        <v>276</v>
      </c>
      <c r="C99" s="19" t="s">
        <v>44</v>
      </c>
      <c r="D99" s="19" t="s">
        <v>61</v>
      </c>
      <c r="E99" s="33">
        <v>46264.33333333333</v>
      </c>
      <c r="F99" s="33">
        <v>46293.239008495366</v>
      </c>
      <c r="G99" s="68">
        <f>IF($A99="","",SUMPRODUCT((AttendanceLog!$E$2:$E$5000=$A99)*(AttendanceLog!$C$2:$C$5000&gt;=MAX($E99,Settings!$B$3))*((AttendanceLog!$I$2:$I$5000="")+(IFERROR(SEARCH(","&amp;$C99&amp;",",","&amp;AttendanceLog!$I$2:$I$5000&amp;","),0)&gt;0))))</f>
        <v>1</v>
      </c>
      <c r="H99" s="64">
        <f>IF($A99="","",SUMPRODUCT((EventLog!$C$2:$C$5000&gt;=MAX($E99,Settings!$B$3))*(EventLog!$C$2:$C$5000&lt;=TODAY())*((EventLog!$F$2:$F$5000="")+(IFERROR(SEARCH(","&amp;$C99&amp;",",","&amp;EventLog!$F$2:$F$5000&amp;","),0)&gt;0))))</f>
        <v>3</v>
      </c>
      <c r="I99" s="26">
        <f t="shared" si="1"/>
        <v>0.3333333333</v>
      </c>
      <c r="J99" s="20">
        <f>IFERROR(__xludf.DUMMYFUNCTION("IFERROR(MAX(FILTER(AttendanceLog!$C:$C,AttendanceLog!$E:$E=$A99,(AttendanceLog!$I:$I="""")+(IFERROR(SEARCH("",""&amp;$C99&amp;"","","",""&amp;AttendanceLog!$I:$I&amp;"",""),0)&gt;0))),"""")"),46303.33333333333)</f>
        <v>46303.33333</v>
      </c>
    </row>
    <row r="100" ht="15.75" customHeight="1">
      <c r="A100" s="19" t="s">
        <v>284</v>
      </c>
      <c r="C100" s="19" t="s">
        <v>44</v>
      </c>
      <c r="D100" s="19" t="s">
        <v>61</v>
      </c>
      <c r="E100" s="33">
        <v>46264.33333333333</v>
      </c>
      <c r="F100" s="33">
        <v>46293.239008495366</v>
      </c>
      <c r="G100" s="68">
        <f>IF($A100="","",SUMPRODUCT((AttendanceLog!$E$2:$E$5000=$A100)*(AttendanceLog!$C$2:$C$5000&gt;=MAX($E100,Settings!$B$3))*((AttendanceLog!$I$2:$I$5000="")+(IFERROR(SEARCH(","&amp;$C100&amp;",",","&amp;AttendanceLog!$I$2:$I$5000&amp;","),0)&gt;0))))</f>
        <v>3</v>
      </c>
      <c r="H100" s="64">
        <f>IF($A100="","",SUMPRODUCT((EventLog!$C$2:$C$5000&gt;=MAX($E100,Settings!$B$3))*(EventLog!$C$2:$C$5000&lt;=TODAY())*((EventLog!$F$2:$F$5000="")+(IFERROR(SEARCH(","&amp;$C100&amp;",",","&amp;EventLog!$F$2:$F$5000&amp;","),0)&gt;0))))</f>
        <v>3</v>
      </c>
      <c r="I100" s="26">
        <f t="shared" si="1"/>
        <v>1</v>
      </c>
      <c r="J100" s="20">
        <f>IFERROR(__xludf.DUMMYFUNCTION("IFERROR(MAX(FILTER(AttendanceLog!$C:$C,AttendanceLog!$E:$E=$A100,(AttendanceLog!$I:$I="""")+(IFERROR(SEARCH("",""&amp;$C100&amp;"","","",""&amp;AttendanceLog!$I:$I&amp;"",""),0)&gt;0))),"""")"),46305.33333333333)</f>
        <v>46305.33333</v>
      </c>
    </row>
    <row r="101" ht="15.75" customHeight="1">
      <c r="A101" s="19" t="s">
        <v>291</v>
      </c>
      <c r="C101" s="19" t="s">
        <v>44</v>
      </c>
      <c r="D101" s="19" t="s">
        <v>61</v>
      </c>
      <c r="E101" s="33">
        <v>46264.33333333333</v>
      </c>
      <c r="F101" s="33">
        <v>46293.239008495366</v>
      </c>
      <c r="G101" s="68">
        <f>IF($A101="","",SUMPRODUCT((AttendanceLog!$E$2:$E$5000=$A101)*(AttendanceLog!$C$2:$C$5000&gt;=MAX($E101,Settings!$B$3))*((AttendanceLog!$I$2:$I$5000="")+(IFERROR(SEARCH(","&amp;$C101&amp;",",","&amp;AttendanceLog!$I$2:$I$5000&amp;","),0)&gt;0))))</f>
        <v>2</v>
      </c>
      <c r="H101" s="64">
        <f>IF($A101="","",SUMPRODUCT((EventLog!$C$2:$C$5000&gt;=MAX($E101,Settings!$B$3))*(EventLog!$C$2:$C$5000&lt;=TODAY())*((EventLog!$F$2:$F$5000="")+(IFERROR(SEARCH(","&amp;$C101&amp;",",","&amp;EventLog!$F$2:$F$5000&amp;","),0)&gt;0))))</f>
        <v>3</v>
      </c>
      <c r="I101" s="26">
        <f t="shared" si="1"/>
        <v>0.6666666667</v>
      </c>
      <c r="J101" s="20">
        <f>IFERROR(__xludf.DUMMYFUNCTION("IFERROR(MAX(FILTER(AttendanceLog!$C:$C,AttendanceLog!$E:$E=$A101,(AttendanceLog!$I:$I="""")+(IFERROR(SEARCH("",""&amp;$C101&amp;"","","",""&amp;AttendanceLog!$I:$I&amp;"",""),0)&gt;0))),"""")"),46303.33333333333)</f>
        <v>46303.33333</v>
      </c>
    </row>
    <row r="102" ht="15.75" customHeight="1">
      <c r="A102" s="19" t="s">
        <v>286</v>
      </c>
      <c r="C102" s="19" t="s">
        <v>44</v>
      </c>
      <c r="D102" s="19" t="s">
        <v>61</v>
      </c>
      <c r="E102" s="33">
        <v>46264.33333333333</v>
      </c>
      <c r="F102" s="33">
        <v>46293.239008495366</v>
      </c>
      <c r="G102" s="68">
        <f>IF($A102="","",SUMPRODUCT((AttendanceLog!$E$2:$E$5000=$A102)*(AttendanceLog!$C$2:$C$5000&gt;=MAX($E102,Settings!$B$3))*((AttendanceLog!$I$2:$I$5000="")+(IFERROR(SEARCH(","&amp;$C102&amp;",",","&amp;AttendanceLog!$I$2:$I$5000&amp;","),0)&gt;0))))</f>
        <v>3</v>
      </c>
      <c r="H102" s="64">
        <f>IF($A102="","",SUMPRODUCT((EventLog!$C$2:$C$5000&gt;=MAX($E102,Settings!$B$3))*(EventLog!$C$2:$C$5000&lt;=TODAY())*((EventLog!$F$2:$F$5000="")+(IFERROR(SEARCH(","&amp;$C102&amp;",",","&amp;EventLog!$F$2:$F$5000&amp;","),0)&gt;0))))</f>
        <v>3</v>
      </c>
      <c r="I102" s="26">
        <f t="shared" si="1"/>
        <v>1</v>
      </c>
      <c r="J102" s="20">
        <f>IFERROR(__xludf.DUMMYFUNCTION("IFERROR(MAX(FILTER(AttendanceLog!$C:$C,AttendanceLog!$E:$E=$A102,(AttendanceLog!$I:$I="""")+(IFERROR(SEARCH("",""&amp;$C102&amp;"","","",""&amp;AttendanceLog!$I:$I&amp;"",""),0)&gt;0))),"""")"),46305.33333333333)</f>
        <v>46305.33333</v>
      </c>
    </row>
    <row r="103" ht="15.75" customHeight="1">
      <c r="A103" s="19" t="s">
        <v>278</v>
      </c>
      <c r="C103" s="19" t="s">
        <v>44</v>
      </c>
      <c r="D103" s="19" t="s">
        <v>61</v>
      </c>
      <c r="E103" s="33">
        <v>46264.33333333333</v>
      </c>
      <c r="F103" s="33">
        <v>46293.239008495366</v>
      </c>
      <c r="G103" s="68">
        <f>IF($A103="","",SUMPRODUCT((AttendanceLog!$E$2:$E$5000=$A103)*(AttendanceLog!$C$2:$C$5000&gt;=MAX($E103,Settings!$B$3))*((AttendanceLog!$I$2:$I$5000="")+(IFERROR(SEARCH(","&amp;$C103&amp;",",","&amp;AttendanceLog!$I$2:$I$5000&amp;","),0)&gt;0))))</f>
        <v>2</v>
      </c>
      <c r="H103" s="64">
        <f>IF($A103="","",SUMPRODUCT((EventLog!$C$2:$C$5000&gt;=MAX($E103,Settings!$B$3))*(EventLog!$C$2:$C$5000&lt;=TODAY())*((EventLog!$F$2:$F$5000="")+(IFERROR(SEARCH(","&amp;$C103&amp;",",","&amp;EventLog!$F$2:$F$5000&amp;","),0)&gt;0))))</f>
        <v>3</v>
      </c>
      <c r="I103" s="26">
        <f t="shared" si="1"/>
        <v>0.6666666667</v>
      </c>
      <c r="J103" s="20">
        <f>IFERROR(__xludf.DUMMYFUNCTION("IFERROR(MAX(FILTER(AttendanceLog!$C:$C,AttendanceLog!$E:$E=$A103,(AttendanceLog!$I:$I="""")+(IFERROR(SEARCH("",""&amp;$C103&amp;"","","",""&amp;AttendanceLog!$I:$I&amp;"",""),0)&gt;0))),"""")"),46303.33333333333)</f>
        <v>46303.33333</v>
      </c>
    </row>
    <row r="104" ht="15.75" customHeight="1">
      <c r="A104" s="19" t="s">
        <v>290</v>
      </c>
      <c r="C104" s="19" t="s">
        <v>44</v>
      </c>
      <c r="D104" s="19" t="s">
        <v>61</v>
      </c>
      <c r="E104" s="33">
        <v>46264.33333333333</v>
      </c>
      <c r="F104" s="33">
        <v>46293.239008495366</v>
      </c>
      <c r="G104" s="68">
        <f>IF($A104="","",SUMPRODUCT((AttendanceLog!$E$2:$E$5000=$A104)*(AttendanceLog!$C$2:$C$5000&gt;=MAX($E104,Settings!$B$3))*((AttendanceLog!$I$2:$I$5000="")+(IFERROR(SEARCH(","&amp;$C104&amp;",",","&amp;AttendanceLog!$I$2:$I$5000&amp;","),0)&gt;0))))</f>
        <v>2</v>
      </c>
      <c r="H104" s="64">
        <f>IF($A104="","",SUMPRODUCT((EventLog!$C$2:$C$5000&gt;=MAX($E104,Settings!$B$3))*(EventLog!$C$2:$C$5000&lt;=TODAY())*((EventLog!$F$2:$F$5000="")+(IFERROR(SEARCH(","&amp;$C104&amp;",",","&amp;EventLog!$F$2:$F$5000&amp;","),0)&gt;0))))</f>
        <v>3</v>
      </c>
      <c r="I104" s="26">
        <f t="shared" si="1"/>
        <v>0.6666666667</v>
      </c>
      <c r="J104" s="20">
        <f>IFERROR(__xludf.DUMMYFUNCTION("IFERROR(MAX(FILTER(AttendanceLog!$C:$C,AttendanceLog!$E:$E=$A104,(AttendanceLog!$I:$I="""")+(IFERROR(SEARCH("",""&amp;$C104&amp;"","","",""&amp;AttendanceLog!$I:$I&amp;"",""),0)&gt;0))),"""")"),46305.33333333333)</f>
        <v>46305.33333</v>
      </c>
    </row>
    <row r="105" ht="15.75" customHeight="1">
      <c r="A105" s="19" t="s">
        <v>295</v>
      </c>
      <c r="C105" s="19" t="s">
        <v>44</v>
      </c>
      <c r="D105" s="19" t="s">
        <v>61</v>
      </c>
      <c r="E105" s="33">
        <v>46264.33333333333</v>
      </c>
      <c r="F105" s="33">
        <v>46293.239008495366</v>
      </c>
      <c r="G105" s="68">
        <f>IF($A105="","",SUMPRODUCT((AttendanceLog!$E$2:$E$5000=$A105)*(AttendanceLog!$C$2:$C$5000&gt;=MAX($E105,Settings!$B$3))*((AttendanceLog!$I$2:$I$5000="")+(IFERROR(SEARCH(","&amp;$C105&amp;",",","&amp;AttendanceLog!$I$2:$I$5000&amp;","),0)&gt;0))))</f>
        <v>2</v>
      </c>
      <c r="H105" s="64">
        <f>IF($A105="","",SUMPRODUCT((EventLog!$C$2:$C$5000&gt;=MAX($E105,Settings!$B$3))*(EventLog!$C$2:$C$5000&lt;=TODAY())*((EventLog!$F$2:$F$5000="")+(IFERROR(SEARCH(","&amp;$C105&amp;",",","&amp;EventLog!$F$2:$F$5000&amp;","),0)&gt;0))))</f>
        <v>3</v>
      </c>
      <c r="I105" s="26">
        <f t="shared" si="1"/>
        <v>0.6666666667</v>
      </c>
      <c r="J105" s="20">
        <f>IFERROR(__xludf.DUMMYFUNCTION("IFERROR(MAX(FILTER(AttendanceLog!$C:$C,AttendanceLog!$E:$E=$A105,(AttendanceLog!$I:$I="""")+(IFERROR(SEARCH("",""&amp;$C105&amp;"","","",""&amp;AttendanceLog!$I:$I&amp;"",""),0)&gt;0))),"""")"),46305.33333333333)</f>
        <v>46305.33333</v>
      </c>
    </row>
    <row r="106" ht="15.75" customHeight="1">
      <c r="A106" s="19" t="s">
        <v>297</v>
      </c>
      <c r="C106" s="19" t="s">
        <v>44</v>
      </c>
      <c r="D106" s="19" t="s">
        <v>61</v>
      </c>
      <c r="E106" s="33">
        <v>46264.33333333333</v>
      </c>
      <c r="F106" s="33">
        <v>46293.239008495366</v>
      </c>
      <c r="G106" s="68">
        <f>IF($A106="","",SUMPRODUCT((AttendanceLog!$E$2:$E$5000=$A106)*(AttendanceLog!$C$2:$C$5000&gt;=MAX($E106,Settings!$B$3))*((AttendanceLog!$I$2:$I$5000="")+(IFERROR(SEARCH(","&amp;$C106&amp;",",","&amp;AttendanceLog!$I$2:$I$5000&amp;","),0)&gt;0))))</f>
        <v>2</v>
      </c>
      <c r="H106" s="64">
        <f>IF($A106="","",SUMPRODUCT((EventLog!$C$2:$C$5000&gt;=MAX($E106,Settings!$B$3))*(EventLog!$C$2:$C$5000&lt;=TODAY())*((EventLog!$F$2:$F$5000="")+(IFERROR(SEARCH(","&amp;$C106&amp;",",","&amp;EventLog!$F$2:$F$5000&amp;","),0)&gt;0))))</f>
        <v>3</v>
      </c>
      <c r="I106" s="26">
        <f t="shared" si="1"/>
        <v>0.6666666667</v>
      </c>
      <c r="J106" s="20">
        <f>IFERROR(__xludf.DUMMYFUNCTION("IFERROR(MAX(FILTER(AttendanceLog!$C:$C,AttendanceLog!$E:$E=$A106,(AttendanceLog!$I:$I="""")+(IFERROR(SEARCH("",""&amp;$C106&amp;"","","",""&amp;AttendanceLog!$I:$I&amp;"",""),0)&gt;0))),"""")"),46303.33333333333)</f>
        <v>46303.33333</v>
      </c>
    </row>
    <row r="107" ht="15.75" customHeight="1">
      <c r="A107" s="19" t="s">
        <v>292</v>
      </c>
      <c r="C107" s="19" t="s">
        <v>44</v>
      </c>
      <c r="D107" s="19" t="s">
        <v>61</v>
      </c>
      <c r="E107" s="33">
        <v>46264.33333333333</v>
      </c>
      <c r="F107" s="33">
        <v>46293.239008495366</v>
      </c>
      <c r="G107" s="68">
        <f>IF($A107="","",SUMPRODUCT((AttendanceLog!$E$2:$E$5000=$A107)*(AttendanceLog!$C$2:$C$5000&gt;=MAX($E107,Settings!$B$3))*((AttendanceLog!$I$2:$I$5000="")+(IFERROR(SEARCH(","&amp;$C107&amp;",",","&amp;AttendanceLog!$I$2:$I$5000&amp;","),0)&gt;0))))</f>
        <v>3</v>
      </c>
      <c r="H107" s="64">
        <f>IF($A107="","",SUMPRODUCT((EventLog!$C$2:$C$5000&gt;=MAX($E107,Settings!$B$3))*(EventLog!$C$2:$C$5000&lt;=TODAY())*((EventLog!$F$2:$F$5000="")+(IFERROR(SEARCH(","&amp;$C107&amp;",",","&amp;EventLog!$F$2:$F$5000&amp;","),0)&gt;0))))</f>
        <v>3</v>
      </c>
      <c r="I107" s="26">
        <f t="shared" si="1"/>
        <v>1</v>
      </c>
      <c r="J107" s="20">
        <f>IFERROR(__xludf.DUMMYFUNCTION("IFERROR(MAX(FILTER(AttendanceLog!$C:$C,AttendanceLog!$E:$E=$A107,(AttendanceLog!$I:$I="""")+(IFERROR(SEARCH("",""&amp;$C107&amp;"","","",""&amp;AttendanceLog!$I:$I&amp;"",""),0)&gt;0))),"""")"),46305.33333333333)</f>
        <v>46305.33333</v>
      </c>
    </row>
    <row r="108" ht="15.75" customHeight="1">
      <c r="A108" s="19" t="s">
        <v>272</v>
      </c>
      <c r="C108" s="19" t="s">
        <v>44</v>
      </c>
      <c r="D108" s="19" t="s">
        <v>61</v>
      </c>
      <c r="E108" s="33">
        <v>46264.33333333333</v>
      </c>
      <c r="F108" s="33">
        <v>46293.239008495366</v>
      </c>
      <c r="G108" s="68">
        <f>IF($A108="","",SUMPRODUCT((AttendanceLog!$E$2:$E$5000=$A108)*(AttendanceLog!$C$2:$C$5000&gt;=MAX($E108,Settings!$B$3))*((AttendanceLog!$I$2:$I$5000="")+(IFERROR(SEARCH(","&amp;$C108&amp;",",","&amp;AttendanceLog!$I$2:$I$5000&amp;","),0)&gt;0))))</f>
        <v>2</v>
      </c>
      <c r="H108" s="64">
        <f>IF($A108="","",SUMPRODUCT((EventLog!$C$2:$C$5000&gt;=MAX($E108,Settings!$B$3))*(EventLog!$C$2:$C$5000&lt;=TODAY())*((EventLog!$F$2:$F$5000="")+(IFERROR(SEARCH(","&amp;$C108&amp;",",","&amp;EventLog!$F$2:$F$5000&amp;","),0)&gt;0))))</f>
        <v>3</v>
      </c>
      <c r="I108" s="26">
        <f t="shared" si="1"/>
        <v>0.6666666667</v>
      </c>
      <c r="J108" s="20">
        <f>IFERROR(__xludf.DUMMYFUNCTION("IFERROR(MAX(FILTER(AttendanceLog!$C:$C,AttendanceLog!$E:$E=$A108,(AttendanceLog!$I:$I="""")+(IFERROR(SEARCH("",""&amp;$C108&amp;"","","",""&amp;AttendanceLog!$I:$I&amp;"",""),0)&gt;0))),"""")"),46303.33333333333)</f>
        <v>46303.33333</v>
      </c>
    </row>
    <row r="109" ht="15.75" customHeight="1">
      <c r="A109" s="19" t="s">
        <v>301</v>
      </c>
      <c r="C109" s="19" t="s">
        <v>44</v>
      </c>
      <c r="D109" s="19" t="s">
        <v>61</v>
      </c>
      <c r="E109" s="33">
        <v>46264.33333333333</v>
      </c>
      <c r="F109" s="33">
        <v>46293.239008495366</v>
      </c>
      <c r="G109" s="68">
        <f>IF($A109="","",SUMPRODUCT((AttendanceLog!$E$2:$E$5000=$A109)*(AttendanceLog!$C$2:$C$5000&gt;=MAX($E109,Settings!$B$3))*((AttendanceLog!$I$2:$I$5000="")+(IFERROR(SEARCH(","&amp;$C109&amp;",",","&amp;AttendanceLog!$I$2:$I$5000&amp;","),0)&gt;0))))</f>
        <v>1</v>
      </c>
      <c r="H109" s="64">
        <f>IF($A109="","",SUMPRODUCT((EventLog!$C$2:$C$5000&gt;=MAX($E109,Settings!$B$3))*(EventLog!$C$2:$C$5000&lt;=TODAY())*((EventLog!$F$2:$F$5000="")+(IFERROR(SEARCH(","&amp;$C109&amp;",",","&amp;EventLog!$F$2:$F$5000&amp;","),0)&gt;0))))</f>
        <v>3</v>
      </c>
      <c r="I109" s="26">
        <f t="shared" si="1"/>
        <v>0.3333333333</v>
      </c>
      <c r="J109" s="20">
        <f>IFERROR(__xludf.DUMMYFUNCTION("IFERROR(MAX(FILTER(AttendanceLog!$C:$C,AttendanceLog!$E:$E=$A109,(AttendanceLog!$I:$I="""")+(IFERROR(SEARCH("",""&amp;$C109&amp;"","","",""&amp;AttendanceLog!$I:$I&amp;"",""),0)&gt;0))),"""")"),46303.33333333333)</f>
        <v>46303.33333</v>
      </c>
    </row>
    <row r="110" ht="15.75" customHeight="1">
      <c r="A110" s="19" t="s">
        <v>293</v>
      </c>
      <c r="C110" s="19" t="s">
        <v>44</v>
      </c>
      <c r="D110" s="19" t="s">
        <v>61</v>
      </c>
      <c r="E110" s="33">
        <v>46264.33333333333</v>
      </c>
      <c r="F110" s="33">
        <v>46293.239008495366</v>
      </c>
      <c r="G110" s="68">
        <f>IF($A110="","",SUMPRODUCT((AttendanceLog!$E$2:$E$5000=$A110)*(AttendanceLog!$C$2:$C$5000&gt;=MAX($E110,Settings!$B$3))*((AttendanceLog!$I$2:$I$5000="")+(IFERROR(SEARCH(","&amp;$C110&amp;",",","&amp;AttendanceLog!$I$2:$I$5000&amp;","),0)&gt;0))))</f>
        <v>2</v>
      </c>
      <c r="H110" s="64">
        <f>IF($A110="","",SUMPRODUCT((EventLog!$C$2:$C$5000&gt;=MAX($E110,Settings!$B$3))*(EventLog!$C$2:$C$5000&lt;=TODAY())*((EventLog!$F$2:$F$5000="")+(IFERROR(SEARCH(","&amp;$C110&amp;",",","&amp;EventLog!$F$2:$F$5000&amp;","),0)&gt;0))))</f>
        <v>3</v>
      </c>
      <c r="I110" s="26">
        <f t="shared" si="1"/>
        <v>0.6666666667</v>
      </c>
      <c r="J110" s="20">
        <f>IFERROR(__xludf.DUMMYFUNCTION("IFERROR(MAX(FILTER(AttendanceLog!$C:$C,AttendanceLog!$E:$E=$A110,(AttendanceLog!$I:$I="""")+(IFERROR(SEARCH("",""&amp;$C110&amp;"","","",""&amp;AttendanceLog!$I:$I&amp;"",""),0)&gt;0))),"""")"),46303.33333333333)</f>
        <v>46303.33333</v>
      </c>
    </row>
    <row r="111" ht="15.75" customHeight="1">
      <c r="A111" s="19" t="s">
        <v>294</v>
      </c>
      <c r="C111" s="19" t="s">
        <v>44</v>
      </c>
      <c r="D111" s="19" t="s">
        <v>61</v>
      </c>
      <c r="E111" s="33">
        <v>46264.33333333333</v>
      </c>
      <c r="F111" s="33">
        <v>46293.239008495366</v>
      </c>
      <c r="G111" s="68">
        <f>IF($A111="","",SUMPRODUCT((AttendanceLog!$E$2:$E$5000=$A111)*(AttendanceLog!$C$2:$C$5000&gt;=MAX($E111,Settings!$B$3))*((AttendanceLog!$I$2:$I$5000="")+(IFERROR(SEARCH(","&amp;$C111&amp;",",","&amp;AttendanceLog!$I$2:$I$5000&amp;","),0)&gt;0))))</f>
        <v>3</v>
      </c>
      <c r="H111" s="64">
        <f>IF($A111="","",SUMPRODUCT((EventLog!$C$2:$C$5000&gt;=MAX($E111,Settings!$B$3))*(EventLog!$C$2:$C$5000&lt;=TODAY())*((EventLog!$F$2:$F$5000="")+(IFERROR(SEARCH(","&amp;$C111&amp;",",","&amp;EventLog!$F$2:$F$5000&amp;","),0)&gt;0))))</f>
        <v>3</v>
      </c>
      <c r="I111" s="26">
        <f t="shared" si="1"/>
        <v>1</v>
      </c>
      <c r="J111" s="20">
        <f>IFERROR(__xludf.DUMMYFUNCTION("IFERROR(MAX(FILTER(AttendanceLog!$C:$C,AttendanceLog!$E:$E=$A111,(AttendanceLog!$I:$I="""")+(IFERROR(SEARCH("",""&amp;$C111&amp;"","","",""&amp;AttendanceLog!$I:$I&amp;"",""),0)&gt;0))),"""")"),46305.33333333333)</f>
        <v>46305.33333</v>
      </c>
    </row>
    <row r="112" ht="15.75" customHeight="1">
      <c r="A112" s="19" t="s">
        <v>296</v>
      </c>
      <c r="C112" s="19" t="s">
        <v>44</v>
      </c>
      <c r="D112" s="19" t="s">
        <v>61</v>
      </c>
      <c r="E112" s="33">
        <v>46264.33333333333</v>
      </c>
      <c r="F112" s="33">
        <v>46293.239008495366</v>
      </c>
      <c r="G112" s="68">
        <f>IF($A112="","",SUMPRODUCT((AttendanceLog!$E$2:$E$5000=$A112)*(AttendanceLog!$C$2:$C$5000&gt;=MAX($E112,Settings!$B$3))*((AttendanceLog!$I$2:$I$5000="")+(IFERROR(SEARCH(","&amp;$C112&amp;",",","&amp;AttendanceLog!$I$2:$I$5000&amp;","),0)&gt;0))))</f>
        <v>3</v>
      </c>
      <c r="H112" s="64">
        <f>IF($A112="","",SUMPRODUCT((EventLog!$C$2:$C$5000&gt;=MAX($E112,Settings!$B$3))*(EventLog!$C$2:$C$5000&lt;=TODAY())*((EventLog!$F$2:$F$5000="")+(IFERROR(SEARCH(","&amp;$C112&amp;",",","&amp;EventLog!$F$2:$F$5000&amp;","),0)&gt;0))))</f>
        <v>3</v>
      </c>
      <c r="I112" s="26">
        <f t="shared" si="1"/>
        <v>1</v>
      </c>
      <c r="J112" s="20">
        <f>IFERROR(__xludf.DUMMYFUNCTION("IFERROR(MAX(FILTER(AttendanceLog!$C:$C,AttendanceLog!$E:$E=$A112,(AttendanceLog!$I:$I="""")+(IFERROR(SEARCH("",""&amp;$C112&amp;"","","",""&amp;AttendanceLog!$I:$I&amp;"",""),0)&gt;0))),"""")"),46305.33333333333)</f>
        <v>46305.33333</v>
      </c>
    </row>
    <row r="113" ht="15.75" customHeight="1">
      <c r="A113" s="19" t="s">
        <v>300</v>
      </c>
      <c r="C113" s="19" t="s">
        <v>44</v>
      </c>
      <c r="D113" s="19" t="s">
        <v>61</v>
      </c>
      <c r="E113" s="33">
        <v>46264.33333333333</v>
      </c>
      <c r="F113" s="33">
        <v>46293.239008495366</v>
      </c>
      <c r="G113" s="68">
        <f>IF($A113="","",SUMPRODUCT((AttendanceLog!$E$2:$E$5000=$A113)*(AttendanceLog!$C$2:$C$5000&gt;=MAX($E113,Settings!$B$3))*((AttendanceLog!$I$2:$I$5000="")+(IFERROR(SEARCH(","&amp;$C113&amp;",",","&amp;AttendanceLog!$I$2:$I$5000&amp;","),0)&gt;0))))</f>
        <v>3</v>
      </c>
      <c r="H113" s="64">
        <f>IF($A113="","",SUMPRODUCT((EventLog!$C$2:$C$5000&gt;=MAX($E113,Settings!$B$3))*(EventLog!$C$2:$C$5000&lt;=TODAY())*((EventLog!$F$2:$F$5000="")+(IFERROR(SEARCH(","&amp;$C113&amp;",",","&amp;EventLog!$F$2:$F$5000&amp;","),0)&gt;0))))</f>
        <v>3</v>
      </c>
      <c r="I113" s="26">
        <f t="shared" si="1"/>
        <v>1</v>
      </c>
      <c r="J113" s="20">
        <f>IFERROR(__xludf.DUMMYFUNCTION("IFERROR(MAX(FILTER(AttendanceLog!$C:$C,AttendanceLog!$E:$E=$A113,(AttendanceLog!$I:$I="""")+(IFERROR(SEARCH("",""&amp;$C113&amp;"","","",""&amp;AttendanceLog!$I:$I&amp;"",""),0)&gt;0))),"""")"),46305.33333333333)</f>
        <v>46305.33333</v>
      </c>
    </row>
    <row r="114" ht="15.75" customHeight="1">
      <c r="A114" s="19" t="s">
        <v>273</v>
      </c>
      <c r="C114" s="19" t="s">
        <v>44</v>
      </c>
      <c r="D114" s="19" t="s">
        <v>61</v>
      </c>
      <c r="E114" s="33">
        <v>46264.33333333333</v>
      </c>
      <c r="F114" s="33">
        <v>46293.239008495366</v>
      </c>
      <c r="G114" s="68">
        <f>IF($A114="","",SUMPRODUCT((AttendanceLog!$E$2:$E$5000=$A114)*(AttendanceLog!$C$2:$C$5000&gt;=MAX($E114,Settings!$B$3))*((AttendanceLog!$I$2:$I$5000="")+(IFERROR(SEARCH(","&amp;$C114&amp;",",","&amp;AttendanceLog!$I$2:$I$5000&amp;","),0)&gt;0))))</f>
        <v>0</v>
      </c>
      <c r="H114" s="64">
        <f>IF($A114="","",SUMPRODUCT((EventLog!$C$2:$C$5000&gt;=MAX($E114,Settings!$B$3))*(EventLog!$C$2:$C$5000&lt;=TODAY())*((EventLog!$F$2:$F$5000="")+(IFERROR(SEARCH(","&amp;$C114&amp;",",","&amp;EventLog!$F$2:$F$5000&amp;","),0)&gt;0))))</f>
        <v>3</v>
      </c>
      <c r="I114" s="26">
        <f t="shared" si="1"/>
        <v>0</v>
      </c>
      <c r="J114" s="20" t="str">
        <f>IFERROR(__xludf.DUMMYFUNCTION("IFERROR(MAX(FILTER(AttendanceLog!$C:$C,AttendanceLog!$E:$E=$A114,(AttendanceLog!$I:$I="""")+(IFERROR(SEARCH("",""&amp;$C114&amp;"","","",""&amp;AttendanceLog!$I:$I&amp;"",""),0)&gt;0))),"""")"),"")</f>
        <v/>
      </c>
    </row>
    <row r="115" ht="15.75" customHeight="1">
      <c r="A115" s="19" t="s">
        <v>279</v>
      </c>
      <c r="C115" s="19" t="s">
        <v>44</v>
      </c>
      <c r="D115" s="19" t="s">
        <v>61</v>
      </c>
      <c r="E115" s="33">
        <v>46264.33333333333</v>
      </c>
      <c r="F115" s="33">
        <v>46293.239008495366</v>
      </c>
      <c r="G115" s="68">
        <f>IF($A115="","",SUMPRODUCT((AttendanceLog!$E$2:$E$5000=$A115)*(AttendanceLog!$C$2:$C$5000&gt;=MAX($E115,Settings!$B$3))*((AttendanceLog!$I$2:$I$5000="")+(IFERROR(SEARCH(","&amp;$C115&amp;",",","&amp;AttendanceLog!$I$2:$I$5000&amp;","),0)&gt;0))))</f>
        <v>0</v>
      </c>
      <c r="H115" s="64">
        <f>IF($A115="","",SUMPRODUCT((EventLog!$C$2:$C$5000&gt;=MAX($E115,Settings!$B$3))*(EventLog!$C$2:$C$5000&lt;=TODAY())*((EventLog!$F$2:$F$5000="")+(IFERROR(SEARCH(","&amp;$C115&amp;",",","&amp;EventLog!$F$2:$F$5000&amp;","),0)&gt;0))))</f>
        <v>3</v>
      </c>
      <c r="I115" s="26">
        <f t="shared" si="1"/>
        <v>0</v>
      </c>
      <c r="J115" s="20" t="str">
        <f>IFERROR(__xludf.DUMMYFUNCTION("IFERROR(MAX(FILTER(AttendanceLog!$C:$C,AttendanceLog!$E:$E=$A115,(AttendanceLog!$I:$I="""")+(IFERROR(SEARCH("",""&amp;$C115&amp;"","","",""&amp;AttendanceLog!$I:$I&amp;"",""),0)&gt;0))),"""")"),"")</f>
        <v/>
      </c>
    </row>
    <row r="116" ht="15.75" customHeight="1">
      <c r="A116" s="19" t="s">
        <v>277</v>
      </c>
      <c r="C116" s="19" t="s">
        <v>44</v>
      </c>
      <c r="D116" s="19" t="s">
        <v>61</v>
      </c>
      <c r="E116" s="33">
        <v>46264.33333333333</v>
      </c>
      <c r="F116" s="33">
        <v>46293.239008495366</v>
      </c>
      <c r="G116" s="68">
        <f>IF($A116="","",SUMPRODUCT((AttendanceLog!$E$2:$E$5000=$A116)*(AttendanceLog!$C$2:$C$5000&gt;=MAX($E116,Settings!$B$3))*((AttendanceLog!$I$2:$I$5000="")+(IFERROR(SEARCH(","&amp;$C116&amp;",",","&amp;AttendanceLog!$I$2:$I$5000&amp;","),0)&gt;0))))</f>
        <v>1</v>
      </c>
      <c r="H116" s="64">
        <f>IF($A116="","",SUMPRODUCT((EventLog!$C$2:$C$5000&gt;=MAX($E116,Settings!$B$3))*(EventLog!$C$2:$C$5000&lt;=TODAY())*((EventLog!$F$2:$F$5000="")+(IFERROR(SEARCH(","&amp;$C116&amp;",",","&amp;EventLog!$F$2:$F$5000&amp;","),0)&gt;0))))</f>
        <v>3</v>
      </c>
      <c r="I116" s="26">
        <f t="shared" si="1"/>
        <v>0.3333333333</v>
      </c>
      <c r="J116" s="20">
        <f>IFERROR(__xludf.DUMMYFUNCTION("IFERROR(MAX(FILTER(AttendanceLog!$C:$C,AttendanceLog!$E:$E=$A116,(AttendanceLog!$I:$I="""")+(IFERROR(SEARCH("",""&amp;$C116&amp;"","","",""&amp;AttendanceLog!$I:$I&amp;"",""),0)&gt;0))),"""")"),46303.33333333333)</f>
        <v>46303.33333</v>
      </c>
    </row>
    <row r="117" ht="15.75" customHeight="1">
      <c r="A117" s="19" t="s">
        <v>298</v>
      </c>
      <c r="C117" s="19" t="s">
        <v>44</v>
      </c>
      <c r="D117" s="19" t="s">
        <v>61</v>
      </c>
      <c r="E117" s="33">
        <v>46264.33333333333</v>
      </c>
      <c r="F117" s="33">
        <v>46293.239008495366</v>
      </c>
      <c r="G117" s="68">
        <f>IF($A117="","",SUMPRODUCT((AttendanceLog!$E$2:$E$5000=$A117)*(AttendanceLog!$C$2:$C$5000&gt;=MAX($E117,Settings!$B$3))*((AttendanceLog!$I$2:$I$5000="")+(IFERROR(SEARCH(","&amp;$C117&amp;",",","&amp;AttendanceLog!$I$2:$I$5000&amp;","),0)&gt;0))))</f>
        <v>2</v>
      </c>
      <c r="H117" s="64">
        <f>IF($A117="","",SUMPRODUCT((EventLog!$C$2:$C$5000&gt;=MAX($E117,Settings!$B$3))*(EventLog!$C$2:$C$5000&lt;=TODAY())*((EventLog!$F$2:$F$5000="")+(IFERROR(SEARCH(","&amp;$C117&amp;",",","&amp;EventLog!$F$2:$F$5000&amp;","),0)&gt;0))))</f>
        <v>3</v>
      </c>
      <c r="I117" s="26">
        <f t="shared" si="1"/>
        <v>0.6666666667</v>
      </c>
      <c r="J117" s="20">
        <f>IFERROR(__xludf.DUMMYFUNCTION("IFERROR(MAX(FILTER(AttendanceLog!$C:$C,AttendanceLog!$E:$E=$A117,(AttendanceLog!$I:$I="""")+(IFERROR(SEARCH("",""&amp;$C117&amp;"","","",""&amp;AttendanceLog!$I:$I&amp;"",""),0)&gt;0))),"""")"),46305.33333333333)</f>
        <v>46305.33333</v>
      </c>
    </row>
    <row r="118" ht="15.75" customHeight="1">
      <c r="A118" s="19" t="s">
        <v>282</v>
      </c>
      <c r="C118" s="19" t="s">
        <v>44</v>
      </c>
      <c r="D118" s="19" t="s">
        <v>61</v>
      </c>
      <c r="E118" s="33">
        <v>46264.33333333333</v>
      </c>
      <c r="F118" s="33">
        <v>46293.239008495366</v>
      </c>
      <c r="G118" s="68">
        <f>IF($A118="","",SUMPRODUCT((AttendanceLog!$E$2:$E$5000=$A118)*(AttendanceLog!$C$2:$C$5000&gt;=MAX($E118,Settings!$B$3))*((AttendanceLog!$I$2:$I$5000="")+(IFERROR(SEARCH(","&amp;$C118&amp;",",","&amp;AttendanceLog!$I$2:$I$5000&amp;","),0)&gt;0))))</f>
        <v>3</v>
      </c>
      <c r="H118" s="64">
        <f>IF($A118="","",SUMPRODUCT((EventLog!$C$2:$C$5000&gt;=MAX($E118,Settings!$B$3))*(EventLog!$C$2:$C$5000&lt;=TODAY())*((EventLog!$F$2:$F$5000="")+(IFERROR(SEARCH(","&amp;$C118&amp;",",","&amp;EventLog!$F$2:$F$5000&amp;","),0)&gt;0))))</f>
        <v>3</v>
      </c>
      <c r="I118" s="26">
        <f t="shared" si="1"/>
        <v>1</v>
      </c>
      <c r="J118" s="20">
        <f>IFERROR(__xludf.DUMMYFUNCTION("IFERROR(MAX(FILTER(AttendanceLog!$C:$C,AttendanceLog!$E:$E=$A118,(AttendanceLog!$I:$I="""")+(IFERROR(SEARCH("",""&amp;$C118&amp;"","","",""&amp;AttendanceLog!$I:$I&amp;"",""),0)&gt;0))),"""")"),46305.33333333333)</f>
        <v>46305.33333</v>
      </c>
    </row>
    <row r="119" ht="15.75" customHeight="1">
      <c r="A119" s="19" t="s">
        <v>303</v>
      </c>
      <c r="C119" s="19" t="s">
        <v>44</v>
      </c>
      <c r="D119" s="19" t="s">
        <v>61</v>
      </c>
      <c r="E119" s="33">
        <v>46264.33333333333</v>
      </c>
      <c r="F119" s="33">
        <v>46293.239008495366</v>
      </c>
      <c r="G119" s="68">
        <f>IF($A119="","",SUMPRODUCT((AttendanceLog!$E$2:$E$5000=$A119)*(AttendanceLog!$C$2:$C$5000&gt;=MAX($E119,Settings!$B$3))*((AttendanceLog!$I$2:$I$5000="")+(IFERROR(SEARCH(","&amp;$C119&amp;",",","&amp;AttendanceLog!$I$2:$I$5000&amp;","),0)&gt;0))))</f>
        <v>3</v>
      </c>
      <c r="H119" s="64">
        <f>IF($A119="","",SUMPRODUCT((EventLog!$C$2:$C$5000&gt;=MAX($E119,Settings!$B$3))*(EventLog!$C$2:$C$5000&lt;=TODAY())*((EventLog!$F$2:$F$5000="")+(IFERROR(SEARCH(","&amp;$C119&amp;",",","&amp;EventLog!$F$2:$F$5000&amp;","),0)&gt;0))))</f>
        <v>3</v>
      </c>
      <c r="I119" s="26">
        <f t="shared" si="1"/>
        <v>1</v>
      </c>
      <c r="J119" s="20">
        <f>IFERROR(__xludf.DUMMYFUNCTION("IFERROR(MAX(FILTER(AttendanceLog!$C:$C,AttendanceLog!$E:$E=$A119,(AttendanceLog!$I:$I="""")+(IFERROR(SEARCH("",""&amp;$C119&amp;"","","",""&amp;AttendanceLog!$I:$I&amp;"",""),0)&gt;0))),"""")"),46305.33333333333)</f>
        <v>46305.33333</v>
      </c>
    </row>
    <row r="120" ht="15.75" customHeight="1">
      <c r="A120" s="19" t="s">
        <v>281</v>
      </c>
      <c r="C120" s="19" t="s">
        <v>44</v>
      </c>
      <c r="D120" s="19" t="s">
        <v>61</v>
      </c>
      <c r="E120" s="33">
        <v>46264.33333333333</v>
      </c>
      <c r="F120" s="33">
        <v>46293.239008495366</v>
      </c>
      <c r="G120" s="68">
        <f>IF($A120="","",SUMPRODUCT((AttendanceLog!$E$2:$E$5000=$A120)*(AttendanceLog!$C$2:$C$5000&gt;=MAX($E120,Settings!$B$3))*((AttendanceLog!$I$2:$I$5000="")+(IFERROR(SEARCH(","&amp;$C120&amp;",",","&amp;AttendanceLog!$I$2:$I$5000&amp;","),0)&gt;0))))</f>
        <v>1</v>
      </c>
      <c r="H120" s="64">
        <f>IF($A120="","",SUMPRODUCT((EventLog!$C$2:$C$5000&gt;=MAX($E120,Settings!$B$3))*(EventLog!$C$2:$C$5000&lt;=TODAY())*((EventLog!$F$2:$F$5000="")+(IFERROR(SEARCH(","&amp;$C120&amp;",",","&amp;EventLog!$F$2:$F$5000&amp;","),0)&gt;0))))</f>
        <v>3</v>
      </c>
      <c r="I120" s="26">
        <f t="shared" si="1"/>
        <v>0.3333333333</v>
      </c>
      <c r="J120" s="20">
        <f>IFERROR(__xludf.DUMMYFUNCTION("IFERROR(MAX(FILTER(AttendanceLog!$C:$C,AttendanceLog!$E:$E=$A120,(AttendanceLog!$I:$I="""")+(IFERROR(SEARCH("",""&amp;$C120&amp;"","","",""&amp;AttendanceLog!$I:$I&amp;"",""),0)&gt;0))),"""")"),46305.33333333333)</f>
        <v>46305.33333</v>
      </c>
    </row>
    <row r="121" ht="15.75" customHeight="1">
      <c r="A121" s="19" t="s">
        <v>287</v>
      </c>
      <c r="C121" s="19" t="s">
        <v>44</v>
      </c>
      <c r="D121" s="19" t="s">
        <v>61</v>
      </c>
      <c r="E121" s="33">
        <v>46264.33333333333</v>
      </c>
      <c r="F121" s="33">
        <v>46293.239008495366</v>
      </c>
      <c r="G121" s="68">
        <f>IF($A121="","",SUMPRODUCT((AttendanceLog!$E$2:$E$5000=$A121)*(AttendanceLog!$C$2:$C$5000&gt;=MAX($E121,Settings!$B$3))*((AttendanceLog!$I$2:$I$5000="")+(IFERROR(SEARCH(","&amp;$C121&amp;",",","&amp;AttendanceLog!$I$2:$I$5000&amp;","),0)&gt;0))))</f>
        <v>2</v>
      </c>
      <c r="H121" s="64">
        <f>IF($A121="","",SUMPRODUCT((EventLog!$C$2:$C$5000&gt;=MAX($E121,Settings!$B$3))*(EventLog!$C$2:$C$5000&lt;=TODAY())*((EventLog!$F$2:$F$5000="")+(IFERROR(SEARCH(","&amp;$C121&amp;",",","&amp;EventLog!$F$2:$F$5000&amp;","),0)&gt;0))))</f>
        <v>3</v>
      </c>
      <c r="I121" s="26">
        <f t="shared" si="1"/>
        <v>0.6666666667</v>
      </c>
      <c r="J121" s="20">
        <f>IFERROR(__xludf.DUMMYFUNCTION("IFERROR(MAX(FILTER(AttendanceLog!$C:$C,AttendanceLog!$E:$E=$A121,(AttendanceLog!$I:$I="""")+(IFERROR(SEARCH("",""&amp;$C121&amp;"","","",""&amp;AttendanceLog!$I:$I&amp;"",""),0)&gt;0))),"""")"),46305.33333333333)</f>
        <v>46305.33333</v>
      </c>
    </row>
    <row r="122" ht="15.75" customHeight="1">
      <c r="A122" s="19" t="s">
        <v>299</v>
      </c>
      <c r="C122" s="19" t="s">
        <v>44</v>
      </c>
      <c r="D122" s="19" t="s">
        <v>61</v>
      </c>
      <c r="E122" s="33">
        <v>46264.33333333333</v>
      </c>
      <c r="F122" s="33">
        <v>46293.239008495366</v>
      </c>
      <c r="G122" s="68">
        <f>IF($A122="","",SUMPRODUCT((AttendanceLog!$E$2:$E$5000=$A122)*(AttendanceLog!$C$2:$C$5000&gt;=MAX($E122,Settings!$B$3))*((AttendanceLog!$I$2:$I$5000="")+(IFERROR(SEARCH(","&amp;$C122&amp;",",","&amp;AttendanceLog!$I$2:$I$5000&amp;","),0)&gt;0))))</f>
        <v>3</v>
      </c>
      <c r="H122" s="64">
        <f>IF($A122="","",SUMPRODUCT((EventLog!$C$2:$C$5000&gt;=MAX($E122,Settings!$B$3))*(EventLog!$C$2:$C$5000&lt;=TODAY())*((EventLog!$F$2:$F$5000="")+(IFERROR(SEARCH(","&amp;$C122&amp;",",","&amp;EventLog!$F$2:$F$5000&amp;","),0)&gt;0))))</f>
        <v>3</v>
      </c>
      <c r="I122" s="26">
        <f t="shared" si="1"/>
        <v>1</v>
      </c>
      <c r="J122" s="20">
        <f>IFERROR(__xludf.DUMMYFUNCTION("IFERROR(MAX(FILTER(AttendanceLog!$C:$C,AttendanceLog!$E:$E=$A122,(AttendanceLog!$I:$I="""")+(IFERROR(SEARCH("",""&amp;$C122&amp;"","","",""&amp;AttendanceLog!$I:$I&amp;"",""),0)&gt;0))),"""")"),46305.33333333333)</f>
        <v>46305.33333</v>
      </c>
    </row>
    <row r="123" ht="15.75" customHeight="1">
      <c r="A123" s="19" t="s">
        <v>285</v>
      </c>
      <c r="C123" s="19" t="s">
        <v>44</v>
      </c>
      <c r="D123" s="19" t="s">
        <v>61</v>
      </c>
      <c r="E123" s="33">
        <v>46264.33333333333</v>
      </c>
      <c r="F123" s="33">
        <v>46293.239008495366</v>
      </c>
      <c r="G123" s="68">
        <f>IF($A123="","",SUMPRODUCT((AttendanceLog!$E$2:$E$5000=$A123)*(AttendanceLog!$C$2:$C$5000&gt;=MAX($E123,Settings!$B$3))*((AttendanceLog!$I$2:$I$5000="")+(IFERROR(SEARCH(","&amp;$C123&amp;",",","&amp;AttendanceLog!$I$2:$I$5000&amp;","),0)&gt;0))))</f>
        <v>1</v>
      </c>
      <c r="H123" s="64">
        <f>IF($A123="","",SUMPRODUCT((EventLog!$C$2:$C$5000&gt;=MAX($E123,Settings!$B$3))*(EventLog!$C$2:$C$5000&lt;=TODAY())*((EventLog!$F$2:$F$5000="")+(IFERROR(SEARCH(","&amp;$C123&amp;",",","&amp;EventLog!$F$2:$F$5000&amp;","),0)&gt;0))))</f>
        <v>3</v>
      </c>
      <c r="I123" s="26">
        <f t="shared" si="1"/>
        <v>0.3333333333</v>
      </c>
      <c r="J123" s="20">
        <f>IFERROR(__xludf.DUMMYFUNCTION("IFERROR(MAX(FILTER(AttendanceLog!$C:$C,AttendanceLog!$E:$E=$A123,(AttendanceLog!$I:$I="""")+(IFERROR(SEARCH("",""&amp;$C123&amp;"","","",""&amp;AttendanceLog!$I:$I&amp;"",""),0)&gt;0))),"""")"),46303.33333333333)</f>
        <v>46303.33333</v>
      </c>
    </row>
    <row r="124" ht="15.75" customHeight="1">
      <c r="A124" s="19" t="s">
        <v>283</v>
      </c>
      <c r="C124" s="19" t="s">
        <v>44</v>
      </c>
      <c r="D124" s="19" t="s">
        <v>61</v>
      </c>
      <c r="E124" s="33">
        <v>46264.33333333333</v>
      </c>
      <c r="F124" s="33">
        <v>46293.239008495366</v>
      </c>
      <c r="G124" s="68">
        <f>IF($A124="","",SUMPRODUCT((AttendanceLog!$E$2:$E$5000=$A124)*(AttendanceLog!$C$2:$C$5000&gt;=MAX($E124,Settings!$B$3))*((AttendanceLog!$I$2:$I$5000="")+(IFERROR(SEARCH(","&amp;$C124&amp;",",","&amp;AttendanceLog!$I$2:$I$5000&amp;","),0)&gt;0))))</f>
        <v>2</v>
      </c>
      <c r="H124" s="64">
        <f>IF($A124="","",SUMPRODUCT((EventLog!$C$2:$C$5000&gt;=MAX($E124,Settings!$B$3))*(EventLog!$C$2:$C$5000&lt;=TODAY())*((EventLog!$F$2:$F$5000="")+(IFERROR(SEARCH(","&amp;$C124&amp;",",","&amp;EventLog!$F$2:$F$5000&amp;","),0)&gt;0))))</f>
        <v>3</v>
      </c>
      <c r="I124" s="26">
        <f t="shared" si="1"/>
        <v>0.6666666667</v>
      </c>
      <c r="J124" s="20">
        <f>IFERROR(__xludf.DUMMYFUNCTION("IFERROR(MAX(FILTER(AttendanceLog!$C:$C,AttendanceLog!$E:$E=$A124,(AttendanceLog!$I:$I="""")+(IFERROR(SEARCH("",""&amp;$C124&amp;"","","",""&amp;AttendanceLog!$I:$I&amp;"",""),0)&gt;0))),"""")"),46305.33333333333)</f>
        <v>46305.33333</v>
      </c>
    </row>
    <row r="125" ht="15.75" customHeight="1">
      <c r="A125" s="19" t="s">
        <v>280</v>
      </c>
      <c r="C125" s="19" t="s">
        <v>44</v>
      </c>
      <c r="D125" s="19" t="s">
        <v>61</v>
      </c>
      <c r="E125" s="33">
        <v>46264.33333333333</v>
      </c>
      <c r="F125" s="33">
        <v>46293.239008495366</v>
      </c>
      <c r="G125" s="68">
        <f>IF($A125="","",SUMPRODUCT((AttendanceLog!$E$2:$E$5000=$A125)*(AttendanceLog!$C$2:$C$5000&gt;=MAX($E125,Settings!$B$3))*((AttendanceLog!$I$2:$I$5000="")+(IFERROR(SEARCH(","&amp;$C125&amp;",",","&amp;AttendanceLog!$I$2:$I$5000&amp;","),0)&gt;0))))</f>
        <v>3</v>
      </c>
      <c r="H125" s="64">
        <f>IF($A125="","",SUMPRODUCT((EventLog!$C$2:$C$5000&gt;=MAX($E125,Settings!$B$3))*(EventLog!$C$2:$C$5000&lt;=TODAY())*((EventLog!$F$2:$F$5000="")+(IFERROR(SEARCH(","&amp;$C125&amp;",",","&amp;EventLog!$F$2:$F$5000&amp;","),0)&gt;0))))</f>
        <v>3</v>
      </c>
      <c r="I125" s="26">
        <f t="shared" si="1"/>
        <v>1</v>
      </c>
      <c r="J125" s="20">
        <f>IFERROR(__xludf.DUMMYFUNCTION("IFERROR(MAX(FILTER(AttendanceLog!$C:$C,AttendanceLog!$E:$E=$A125,(AttendanceLog!$I:$I="""")+(IFERROR(SEARCH("",""&amp;$C125&amp;"","","",""&amp;AttendanceLog!$I:$I&amp;"",""),0)&gt;0))),"""")"),46305.33333333333)</f>
        <v>46305.33333</v>
      </c>
    </row>
    <row r="126" ht="15.75" customHeight="1">
      <c r="A126" s="19" t="s">
        <v>275</v>
      </c>
      <c r="C126" s="19" t="s">
        <v>44</v>
      </c>
      <c r="D126" s="19" t="s">
        <v>61</v>
      </c>
      <c r="E126" s="33">
        <v>46264.33333333333</v>
      </c>
      <c r="F126" s="33">
        <v>46293.239008495366</v>
      </c>
      <c r="G126" s="68">
        <f>IF($A126="","",SUMPRODUCT((AttendanceLog!$E$2:$E$5000=$A126)*(AttendanceLog!$C$2:$C$5000&gt;=MAX($E126,Settings!$B$3))*((AttendanceLog!$I$2:$I$5000="")+(IFERROR(SEARCH(","&amp;$C126&amp;",",","&amp;AttendanceLog!$I$2:$I$5000&amp;","),0)&gt;0))))</f>
        <v>2</v>
      </c>
      <c r="H126" s="64">
        <f>IF($A126="","",SUMPRODUCT((EventLog!$C$2:$C$5000&gt;=MAX($E126,Settings!$B$3))*(EventLog!$C$2:$C$5000&lt;=TODAY())*((EventLog!$F$2:$F$5000="")+(IFERROR(SEARCH(","&amp;$C126&amp;",",","&amp;EventLog!$F$2:$F$5000&amp;","),0)&gt;0))))</f>
        <v>3</v>
      </c>
      <c r="I126" s="26">
        <f t="shared" si="1"/>
        <v>0.6666666667</v>
      </c>
      <c r="J126" s="20">
        <f>IFERROR(__xludf.DUMMYFUNCTION("IFERROR(MAX(FILTER(AttendanceLog!$C:$C,AttendanceLog!$E:$E=$A126,(AttendanceLog!$I:$I="""")+(IFERROR(SEARCH("",""&amp;$C126&amp;"","","",""&amp;AttendanceLog!$I:$I&amp;"",""),0)&gt;0))),"""")"),46303.33333333333)</f>
        <v>46303.33333</v>
      </c>
    </row>
    <row r="127" ht="15.75" customHeight="1">
      <c r="A127" s="19" t="s">
        <v>135</v>
      </c>
      <c r="C127" s="19" t="s">
        <v>41</v>
      </c>
      <c r="D127" s="19" t="s">
        <v>61</v>
      </c>
      <c r="E127" s="33">
        <v>46265.33333333333</v>
      </c>
      <c r="F127" s="33">
        <v>46296.974966967595</v>
      </c>
      <c r="G127" s="68">
        <f>IF($A127="","",SUMPRODUCT((AttendanceLog!$E$2:$E$5000=$A127)*(AttendanceLog!$C$2:$C$5000&gt;=MAX($E127,Settings!$B$3))*((AttendanceLog!$I$2:$I$5000="")+(IFERROR(SEARCH(","&amp;$C127&amp;",",","&amp;AttendanceLog!$I$2:$I$5000&amp;","),0)&gt;0))))</f>
        <v>3</v>
      </c>
      <c r="H127" s="64">
        <f>IF($A127="","",SUMPRODUCT((EventLog!$C$2:$C$5000&gt;=MAX($E127,Settings!$B$3))*(EventLog!$C$2:$C$5000&lt;=TODAY())*((EventLog!$F$2:$F$5000="")+(IFERROR(SEARCH(","&amp;$C127&amp;",",","&amp;EventLog!$F$2:$F$5000&amp;","),0)&gt;0))))</f>
        <v>3</v>
      </c>
      <c r="I127" s="26">
        <f t="shared" si="1"/>
        <v>1</v>
      </c>
      <c r="J127" s="20">
        <f>IFERROR(__xludf.DUMMYFUNCTION("IFERROR(MAX(FILTER(AttendanceLog!$C:$C,AttendanceLog!$E:$E=$A127,(AttendanceLog!$I:$I="""")+(IFERROR(SEARCH("",""&amp;$C127&amp;"","","",""&amp;AttendanceLog!$I:$I&amp;"",""),0)&gt;0))),"""")"),46305.33333333333)</f>
        <v>46305.33333</v>
      </c>
    </row>
    <row r="128" ht="15.75" customHeight="1">
      <c r="A128" s="19" t="s">
        <v>142</v>
      </c>
      <c r="C128" s="19" t="s">
        <v>41</v>
      </c>
      <c r="D128" s="19" t="s">
        <v>61</v>
      </c>
      <c r="E128" s="33">
        <v>46265.33333333333</v>
      </c>
      <c r="F128" s="33">
        <v>46296.974966967595</v>
      </c>
      <c r="G128" s="68">
        <f>IF($A128="","",SUMPRODUCT((AttendanceLog!$E$2:$E$5000=$A128)*(AttendanceLog!$C$2:$C$5000&gt;=MAX($E128,Settings!$B$3))*((AttendanceLog!$I$2:$I$5000="")+(IFERROR(SEARCH(","&amp;$C128&amp;",",","&amp;AttendanceLog!$I$2:$I$5000&amp;","),0)&gt;0))))</f>
        <v>2</v>
      </c>
      <c r="H128" s="64">
        <f>IF($A128="","",SUMPRODUCT((EventLog!$C$2:$C$5000&gt;=MAX($E128,Settings!$B$3))*(EventLog!$C$2:$C$5000&lt;=TODAY())*((EventLog!$F$2:$F$5000="")+(IFERROR(SEARCH(","&amp;$C128&amp;",",","&amp;EventLog!$F$2:$F$5000&amp;","),0)&gt;0))))</f>
        <v>3</v>
      </c>
      <c r="I128" s="26">
        <f t="shared" si="1"/>
        <v>0.6666666667</v>
      </c>
      <c r="J128" s="20">
        <f>IFERROR(__xludf.DUMMYFUNCTION("IFERROR(MAX(FILTER(AttendanceLog!$C:$C,AttendanceLog!$E:$E=$A128,(AttendanceLog!$I:$I="""")+(IFERROR(SEARCH("",""&amp;$C128&amp;"","","",""&amp;AttendanceLog!$I:$I&amp;"",""),0)&gt;0))),"""")"),46305.33333333333)</f>
        <v>46305.33333</v>
      </c>
    </row>
    <row r="129" ht="15.75" customHeight="1">
      <c r="A129" s="19" t="s">
        <v>144</v>
      </c>
      <c r="C129" s="19" t="s">
        <v>41</v>
      </c>
      <c r="D129" s="19" t="s">
        <v>61</v>
      </c>
      <c r="E129" s="33">
        <v>46265.33333333333</v>
      </c>
      <c r="F129" s="33">
        <v>46296.974966967595</v>
      </c>
      <c r="G129" s="68">
        <f>IF($A129="","",SUMPRODUCT((AttendanceLog!$E$2:$E$5000=$A129)*(AttendanceLog!$C$2:$C$5000&gt;=MAX($E129,Settings!$B$3))*((AttendanceLog!$I$2:$I$5000="")+(IFERROR(SEARCH(","&amp;$C129&amp;",",","&amp;AttendanceLog!$I$2:$I$5000&amp;","),0)&gt;0))))</f>
        <v>3</v>
      </c>
      <c r="H129" s="64">
        <f>IF($A129="","",SUMPRODUCT((EventLog!$C$2:$C$5000&gt;=MAX($E129,Settings!$B$3))*(EventLog!$C$2:$C$5000&lt;=TODAY())*((EventLog!$F$2:$F$5000="")+(IFERROR(SEARCH(","&amp;$C129&amp;",",","&amp;EventLog!$F$2:$F$5000&amp;","),0)&gt;0))))</f>
        <v>3</v>
      </c>
      <c r="I129" s="26">
        <f t="shared" si="1"/>
        <v>1</v>
      </c>
      <c r="J129" s="20">
        <f>IFERROR(__xludf.DUMMYFUNCTION("IFERROR(MAX(FILTER(AttendanceLog!$C:$C,AttendanceLog!$E:$E=$A129,(AttendanceLog!$I:$I="""")+(IFERROR(SEARCH("",""&amp;$C129&amp;"","","",""&amp;AttendanceLog!$I:$I&amp;"",""),0)&gt;0))),"""")"),46305.33333333333)</f>
        <v>46305.33333</v>
      </c>
    </row>
    <row r="130" ht="15.75" customHeight="1">
      <c r="A130" s="19" t="s">
        <v>159</v>
      </c>
      <c r="C130" s="19" t="s">
        <v>41</v>
      </c>
      <c r="D130" s="19" t="s">
        <v>61</v>
      </c>
      <c r="E130" s="33">
        <v>46265.33333333333</v>
      </c>
      <c r="F130" s="33">
        <v>46296.974966967595</v>
      </c>
      <c r="G130" s="68">
        <f>IF($A130="","",SUMPRODUCT((AttendanceLog!$E$2:$E$5000=$A130)*(AttendanceLog!$C$2:$C$5000&gt;=MAX($E130,Settings!$B$3))*((AttendanceLog!$I$2:$I$5000="")+(IFERROR(SEARCH(","&amp;$C130&amp;",",","&amp;AttendanceLog!$I$2:$I$5000&amp;","),0)&gt;0))))</f>
        <v>2</v>
      </c>
      <c r="H130" s="64">
        <f>IF($A130="","",SUMPRODUCT((EventLog!$C$2:$C$5000&gt;=MAX($E130,Settings!$B$3))*(EventLog!$C$2:$C$5000&lt;=TODAY())*((EventLog!$F$2:$F$5000="")+(IFERROR(SEARCH(","&amp;$C130&amp;",",","&amp;EventLog!$F$2:$F$5000&amp;","),0)&gt;0))))</f>
        <v>3</v>
      </c>
      <c r="I130" s="26">
        <f t="shared" si="1"/>
        <v>0.6666666667</v>
      </c>
      <c r="J130" s="20">
        <f>IFERROR(__xludf.DUMMYFUNCTION("IFERROR(MAX(FILTER(AttendanceLog!$C:$C,AttendanceLog!$E:$E=$A130,(AttendanceLog!$I:$I="""")+(IFERROR(SEARCH("",""&amp;$C130&amp;"","","",""&amp;AttendanceLog!$I:$I&amp;"",""),0)&gt;0))),"""")"),46305.33333333333)</f>
        <v>46305.33333</v>
      </c>
    </row>
    <row r="131" ht="15.75" customHeight="1">
      <c r="A131" s="19" t="s">
        <v>143</v>
      </c>
      <c r="C131" s="19" t="s">
        <v>41</v>
      </c>
      <c r="D131" s="19" t="s">
        <v>61</v>
      </c>
      <c r="E131" s="33">
        <v>46265.33333333333</v>
      </c>
      <c r="F131" s="33">
        <v>46296.974966967595</v>
      </c>
      <c r="G131" s="68">
        <f>IF($A131="","",SUMPRODUCT((AttendanceLog!$E$2:$E$5000=$A131)*(AttendanceLog!$C$2:$C$5000&gt;=MAX($E131,Settings!$B$3))*((AttendanceLog!$I$2:$I$5000="")+(IFERROR(SEARCH(","&amp;$C131&amp;",",","&amp;AttendanceLog!$I$2:$I$5000&amp;","),0)&gt;0))))</f>
        <v>2</v>
      </c>
      <c r="H131" s="64">
        <f>IF($A131="","",SUMPRODUCT((EventLog!$C$2:$C$5000&gt;=MAX($E131,Settings!$B$3))*(EventLog!$C$2:$C$5000&lt;=TODAY())*((EventLog!$F$2:$F$5000="")+(IFERROR(SEARCH(","&amp;$C131&amp;",",","&amp;EventLog!$F$2:$F$5000&amp;","),0)&gt;0))))</f>
        <v>3</v>
      </c>
      <c r="I131" s="26">
        <f t="shared" si="1"/>
        <v>0.6666666667</v>
      </c>
      <c r="J131" s="20">
        <f>IFERROR(__xludf.DUMMYFUNCTION("IFERROR(MAX(FILTER(AttendanceLog!$C:$C,AttendanceLog!$E:$E=$A131,(AttendanceLog!$I:$I="""")+(IFERROR(SEARCH("",""&amp;$C131&amp;"","","",""&amp;AttendanceLog!$I:$I&amp;"",""),0)&gt;0))),"""")"),46289.33333333333)</f>
        <v>46289.33333</v>
      </c>
    </row>
    <row r="132" ht="15.75" customHeight="1">
      <c r="A132" s="19" t="s">
        <v>125</v>
      </c>
      <c r="C132" s="19" t="s">
        <v>41</v>
      </c>
      <c r="D132" s="19" t="s">
        <v>61</v>
      </c>
      <c r="E132" s="33">
        <v>46265.33333333333</v>
      </c>
      <c r="F132" s="33">
        <v>46296.974966967595</v>
      </c>
      <c r="G132" s="68">
        <f>IF($A132="","",SUMPRODUCT((AttendanceLog!$E$2:$E$5000=$A132)*(AttendanceLog!$C$2:$C$5000&gt;=MAX($E132,Settings!$B$3))*((AttendanceLog!$I$2:$I$5000="")+(IFERROR(SEARCH(","&amp;$C132&amp;",",","&amp;AttendanceLog!$I$2:$I$5000&amp;","),0)&gt;0))))</f>
        <v>0</v>
      </c>
      <c r="H132" s="64">
        <f>IF($A132="","",SUMPRODUCT((EventLog!$C$2:$C$5000&gt;=MAX($E132,Settings!$B$3))*(EventLog!$C$2:$C$5000&lt;=TODAY())*((EventLog!$F$2:$F$5000="")+(IFERROR(SEARCH(","&amp;$C132&amp;",",","&amp;EventLog!$F$2:$F$5000&amp;","),0)&gt;0))))</f>
        <v>3</v>
      </c>
      <c r="I132" s="26">
        <f t="shared" si="1"/>
        <v>0</v>
      </c>
      <c r="J132" s="20" t="str">
        <f>IFERROR(__xludf.DUMMYFUNCTION("IFERROR(MAX(FILTER(AttendanceLog!$C:$C,AttendanceLog!$E:$E=$A132,(AttendanceLog!$I:$I="""")+(IFERROR(SEARCH("",""&amp;$C132&amp;"","","",""&amp;AttendanceLog!$I:$I&amp;"",""),0)&gt;0))),"""")"),"")</f>
        <v/>
      </c>
    </row>
    <row r="133" ht="15.75" customHeight="1">
      <c r="A133" s="19" t="s">
        <v>111</v>
      </c>
      <c r="C133" s="19" t="s">
        <v>41</v>
      </c>
      <c r="D133" s="19" t="s">
        <v>61</v>
      </c>
      <c r="E133" s="33">
        <v>46265.33333333333</v>
      </c>
      <c r="F133" s="33">
        <v>46296.974966967595</v>
      </c>
      <c r="G133" s="68">
        <f>IF($A133="","",SUMPRODUCT((AttendanceLog!$E$2:$E$5000=$A133)*(AttendanceLog!$C$2:$C$5000&gt;=MAX($E133,Settings!$B$3))*((AttendanceLog!$I$2:$I$5000="")+(IFERROR(SEARCH(","&amp;$C133&amp;",",","&amp;AttendanceLog!$I$2:$I$5000&amp;","),0)&gt;0))))</f>
        <v>0</v>
      </c>
      <c r="H133" s="64">
        <f>IF($A133="","",SUMPRODUCT((EventLog!$C$2:$C$5000&gt;=MAX($E133,Settings!$B$3))*(EventLog!$C$2:$C$5000&lt;=TODAY())*((EventLog!$F$2:$F$5000="")+(IFERROR(SEARCH(","&amp;$C133&amp;",",","&amp;EventLog!$F$2:$F$5000&amp;","),0)&gt;0))))</f>
        <v>3</v>
      </c>
      <c r="I133" s="26">
        <f t="shared" si="1"/>
        <v>0</v>
      </c>
      <c r="J133" s="20" t="str">
        <f>IFERROR(__xludf.DUMMYFUNCTION("IFERROR(MAX(FILTER(AttendanceLog!$C:$C,AttendanceLog!$E:$E=$A133,(AttendanceLog!$I:$I="""")+(IFERROR(SEARCH("",""&amp;$C133&amp;"","","",""&amp;AttendanceLog!$I:$I&amp;"",""),0)&gt;0))),"""")"),"")</f>
        <v/>
      </c>
    </row>
    <row r="134" ht="15.75" customHeight="1">
      <c r="A134" s="19" t="s">
        <v>155</v>
      </c>
      <c r="C134" s="19" t="s">
        <v>41</v>
      </c>
      <c r="D134" s="19" t="s">
        <v>61</v>
      </c>
      <c r="E134" s="33">
        <v>46265.33333333333</v>
      </c>
      <c r="F134" s="33">
        <v>46296.974966967595</v>
      </c>
      <c r="G134" s="68">
        <f>IF($A134="","",SUMPRODUCT((AttendanceLog!$E$2:$E$5000=$A134)*(AttendanceLog!$C$2:$C$5000&gt;=MAX($E134,Settings!$B$3))*((AttendanceLog!$I$2:$I$5000="")+(IFERROR(SEARCH(","&amp;$C134&amp;",",","&amp;AttendanceLog!$I$2:$I$5000&amp;","),0)&gt;0))))</f>
        <v>2</v>
      </c>
      <c r="H134" s="64">
        <f>IF($A134="","",SUMPRODUCT((EventLog!$C$2:$C$5000&gt;=MAX($E134,Settings!$B$3))*(EventLog!$C$2:$C$5000&lt;=TODAY())*((EventLog!$F$2:$F$5000="")+(IFERROR(SEARCH(","&amp;$C134&amp;",",","&amp;EventLog!$F$2:$F$5000&amp;","),0)&gt;0))))</f>
        <v>3</v>
      </c>
      <c r="I134" s="26">
        <f t="shared" si="1"/>
        <v>0.6666666667</v>
      </c>
      <c r="J134" s="20">
        <f>IFERROR(__xludf.DUMMYFUNCTION("IFERROR(MAX(FILTER(AttendanceLog!$C:$C,AttendanceLog!$E:$E=$A134,(AttendanceLog!$I:$I="""")+(IFERROR(SEARCH("",""&amp;$C134&amp;"","","",""&amp;AttendanceLog!$I:$I&amp;"",""),0)&gt;0))),"""")"),46305.33333333333)</f>
        <v>46305.33333</v>
      </c>
    </row>
    <row r="135" ht="15.75" customHeight="1">
      <c r="A135" s="19" t="s">
        <v>132</v>
      </c>
      <c r="C135" s="19" t="s">
        <v>41</v>
      </c>
      <c r="D135" s="19" t="s">
        <v>61</v>
      </c>
      <c r="E135" s="33">
        <v>46265.33333333333</v>
      </c>
      <c r="F135" s="33">
        <v>46296.974966967595</v>
      </c>
      <c r="G135" s="68">
        <f>IF($A135="","",SUMPRODUCT((AttendanceLog!$E$2:$E$5000=$A135)*(AttendanceLog!$C$2:$C$5000&gt;=MAX($E135,Settings!$B$3))*((AttendanceLog!$I$2:$I$5000="")+(IFERROR(SEARCH(","&amp;$C135&amp;",",","&amp;AttendanceLog!$I$2:$I$5000&amp;","),0)&gt;0))))</f>
        <v>1</v>
      </c>
      <c r="H135" s="64">
        <f>IF($A135="","",SUMPRODUCT((EventLog!$C$2:$C$5000&gt;=MAX($E135,Settings!$B$3))*(EventLog!$C$2:$C$5000&lt;=TODAY())*((EventLog!$F$2:$F$5000="")+(IFERROR(SEARCH(","&amp;$C135&amp;",",","&amp;EventLog!$F$2:$F$5000&amp;","),0)&gt;0))))</f>
        <v>3</v>
      </c>
      <c r="I135" s="26">
        <f t="shared" si="1"/>
        <v>0.3333333333</v>
      </c>
      <c r="J135" s="20">
        <f>IFERROR(__xludf.DUMMYFUNCTION("IFERROR(MAX(FILTER(AttendanceLog!$C:$C,AttendanceLog!$E:$E=$A135,(AttendanceLog!$I:$I="""")+(IFERROR(SEARCH("",""&amp;$C135&amp;"","","",""&amp;AttendanceLog!$I:$I&amp;"",""),0)&gt;0))),"""")"),46305.33333333333)</f>
        <v>46305.33333</v>
      </c>
    </row>
    <row r="136" ht="15.75" customHeight="1">
      <c r="A136" s="19" t="s">
        <v>160</v>
      </c>
      <c r="C136" s="19" t="s">
        <v>41</v>
      </c>
      <c r="D136" s="19" t="s">
        <v>61</v>
      </c>
      <c r="E136" s="33">
        <v>46265.33333333333</v>
      </c>
      <c r="F136" s="33">
        <v>46296.974966967595</v>
      </c>
      <c r="G136" s="68">
        <f>IF($A136="","",SUMPRODUCT((AttendanceLog!$E$2:$E$5000=$A136)*(AttendanceLog!$C$2:$C$5000&gt;=MAX($E136,Settings!$B$3))*((AttendanceLog!$I$2:$I$5000="")+(IFERROR(SEARCH(","&amp;$C136&amp;",",","&amp;AttendanceLog!$I$2:$I$5000&amp;","),0)&gt;0))))</f>
        <v>2</v>
      </c>
      <c r="H136" s="64">
        <f>IF($A136="","",SUMPRODUCT((EventLog!$C$2:$C$5000&gt;=MAX($E136,Settings!$B$3))*(EventLog!$C$2:$C$5000&lt;=TODAY())*((EventLog!$F$2:$F$5000="")+(IFERROR(SEARCH(","&amp;$C136&amp;",",","&amp;EventLog!$F$2:$F$5000&amp;","),0)&gt;0))))</f>
        <v>3</v>
      </c>
      <c r="I136" s="26">
        <f t="shared" si="1"/>
        <v>0.6666666667</v>
      </c>
      <c r="J136" s="20">
        <f>IFERROR(__xludf.DUMMYFUNCTION("IFERROR(MAX(FILTER(AttendanceLog!$C:$C,AttendanceLog!$E:$E=$A136,(AttendanceLog!$I:$I="""")+(IFERROR(SEARCH("",""&amp;$C136&amp;"","","",""&amp;AttendanceLog!$I:$I&amp;"",""),0)&gt;0))),"""")"),46305.33333333333)</f>
        <v>46305.33333</v>
      </c>
    </row>
    <row r="137" ht="15.75" customHeight="1">
      <c r="A137" s="19" t="s">
        <v>127</v>
      </c>
      <c r="C137" s="19" t="s">
        <v>41</v>
      </c>
      <c r="D137" s="19" t="s">
        <v>61</v>
      </c>
      <c r="E137" s="33">
        <v>46265.33333333333</v>
      </c>
      <c r="F137" s="33">
        <v>46296.974966967595</v>
      </c>
      <c r="G137" s="68">
        <f>IF($A137="","",SUMPRODUCT((AttendanceLog!$E$2:$E$5000=$A137)*(AttendanceLog!$C$2:$C$5000&gt;=MAX($E137,Settings!$B$3))*((AttendanceLog!$I$2:$I$5000="")+(IFERROR(SEARCH(","&amp;$C137&amp;",",","&amp;AttendanceLog!$I$2:$I$5000&amp;","),0)&gt;0))))</f>
        <v>2</v>
      </c>
      <c r="H137" s="64">
        <f>IF($A137="","",SUMPRODUCT((EventLog!$C$2:$C$5000&gt;=MAX($E137,Settings!$B$3))*(EventLog!$C$2:$C$5000&lt;=TODAY())*((EventLog!$F$2:$F$5000="")+(IFERROR(SEARCH(","&amp;$C137&amp;",",","&amp;EventLog!$F$2:$F$5000&amp;","),0)&gt;0))))</f>
        <v>3</v>
      </c>
      <c r="I137" s="26">
        <f t="shared" si="1"/>
        <v>0.6666666667</v>
      </c>
      <c r="J137" s="20">
        <f>IFERROR(__xludf.DUMMYFUNCTION("IFERROR(MAX(FILTER(AttendanceLog!$C:$C,AttendanceLog!$E:$E=$A137,(AttendanceLog!$I:$I="""")+(IFERROR(SEARCH("",""&amp;$C137&amp;"","","",""&amp;AttendanceLog!$I:$I&amp;"",""),0)&gt;0))),"""")"),46305.33333333333)</f>
        <v>46305.33333</v>
      </c>
    </row>
    <row r="138" ht="15.75" customHeight="1">
      <c r="A138" s="19" t="s">
        <v>105</v>
      </c>
      <c r="C138" s="19" t="s">
        <v>41</v>
      </c>
      <c r="D138" s="19" t="s">
        <v>61</v>
      </c>
      <c r="E138" s="33">
        <v>46265.33333333333</v>
      </c>
      <c r="F138" s="33">
        <v>46296.974966967595</v>
      </c>
      <c r="G138" s="68">
        <f>IF($A138="","",SUMPRODUCT((AttendanceLog!$E$2:$E$5000=$A138)*(AttendanceLog!$C$2:$C$5000&gt;=MAX($E138,Settings!$B$3))*((AttendanceLog!$I$2:$I$5000="")+(IFERROR(SEARCH(","&amp;$C138&amp;",",","&amp;AttendanceLog!$I$2:$I$5000&amp;","),0)&gt;0))))</f>
        <v>2</v>
      </c>
      <c r="H138" s="64">
        <f>IF($A138="","",SUMPRODUCT((EventLog!$C$2:$C$5000&gt;=MAX($E138,Settings!$B$3))*(EventLog!$C$2:$C$5000&lt;=TODAY())*((EventLog!$F$2:$F$5000="")+(IFERROR(SEARCH(","&amp;$C138&amp;",",","&amp;EventLog!$F$2:$F$5000&amp;","),0)&gt;0))))</f>
        <v>3</v>
      </c>
      <c r="I138" s="26">
        <f t="shared" si="1"/>
        <v>0.6666666667</v>
      </c>
      <c r="J138" s="20">
        <f>IFERROR(__xludf.DUMMYFUNCTION("IFERROR(MAX(FILTER(AttendanceLog!$C:$C,AttendanceLog!$E:$E=$A138,(AttendanceLog!$I:$I="""")+(IFERROR(SEARCH("",""&amp;$C138&amp;"","","",""&amp;AttendanceLog!$I:$I&amp;"",""),0)&gt;0))),"""")"),46289.33333333333)</f>
        <v>46289.33333</v>
      </c>
    </row>
    <row r="139" ht="15.75" customHeight="1">
      <c r="A139" s="19" t="s">
        <v>156</v>
      </c>
      <c r="C139" s="19" t="s">
        <v>41</v>
      </c>
      <c r="D139" s="19" t="s">
        <v>61</v>
      </c>
      <c r="E139" s="33">
        <v>46265.33333333333</v>
      </c>
      <c r="F139" s="33">
        <v>46296.974966967595</v>
      </c>
      <c r="G139" s="68">
        <f>IF($A139="","",SUMPRODUCT((AttendanceLog!$E$2:$E$5000=$A139)*(AttendanceLog!$C$2:$C$5000&gt;=MAX($E139,Settings!$B$3))*((AttendanceLog!$I$2:$I$5000="")+(IFERROR(SEARCH(","&amp;$C139&amp;",",","&amp;AttendanceLog!$I$2:$I$5000&amp;","),0)&gt;0))))</f>
        <v>2</v>
      </c>
      <c r="H139" s="64">
        <f>IF($A139="","",SUMPRODUCT((EventLog!$C$2:$C$5000&gt;=MAX($E139,Settings!$B$3))*(EventLog!$C$2:$C$5000&lt;=TODAY())*((EventLog!$F$2:$F$5000="")+(IFERROR(SEARCH(","&amp;$C139&amp;",",","&amp;EventLog!$F$2:$F$5000&amp;","),0)&gt;0))))</f>
        <v>3</v>
      </c>
      <c r="I139" s="26">
        <f t="shared" si="1"/>
        <v>0.6666666667</v>
      </c>
      <c r="J139" s="20">
        <f>IFERROR(__xludf.DUMMYFUNCTION("IFERROR(MAX(FILTER(AttendanceLog!$C:$C,AttendanceLog!$E:$E=$A139,(AttendanceLog!$I:$I="""")+(IFERROR(SEARCH("",""&amp;$C139&amp;"","","",""&amp;AttendanceLog!$I:$I&amp;"",""),0)&gt;0))),"""")"),46305.33333333333)</f>
        <v>46305.33333</v>
      </c>
    </row>
    <row r="140" ht="15.75" customHeight="1">
      <c r="A140" s="19" t="s">
        <v>133</v>
      </c>
      <c r="C140" s="19" t="s">
        <v>41</v>
      </c>
      <c r="D140" s="19" t="s">
        <v>61</v>
      </c>
      <c r="E140" s="33">
        <v>46265.33333333333</v>
      </c>
      <c r="F140" s="33">
        <v>46296.974966967595</v>
      </c>
      <c r="G140" s="68">
        <f>IF($A140="","",SUMPRODUCT((AttendanceLog!$E$2:$E$5000=$A140)*(AttendanceLog!$C$2:$C$5000&gt;=MAX($E140,Settings!$B$3))*((AttendanceLog!$I$2:$I$5000="")+(IFERROR(SEARCH(","&amp;$C140&amp;",",","&amp;AttendanceLog!$I$2:$I$5000&amp;","),0)&gt;0))))</f>
        <v>3</v>
      </c>
      <c r="H140" s="64">
        <f>IF($A140="","",SUMPRODUCT((EventLog!$C$2:$C$5000&gt;=MAX($E140,Settings!$B$3))*(EventLog!$C$2:$C$5000&lt;=TODAY())*((EventLog!$F$2:$F$5000="")+(IFERROR(SEARCH(","&amp;$C140&amp;",",","&amp;EventLog!$F$2:$F$5000&amp;","),0)&gt;0))))</f>
        <v>3</v>
      </c>
      <c r="I140" s="26">
        <f t="shared" si="1"/>
        <v>1</v>
      </c>
      <c r="J140" s="20">
        <f>IFERROR(__xludf.DUMMYFUNCTION("IFERROR(MAX(FILTER(AttendanceLog!$C:$C,AttendanceLog!$E:$E=$A140,(AttendanceLog!$I:$I="""")+(IFERROR(SEARCH("",""&amp;$C140&amp;"","","",""&amp;AttendanceLog!$I:$I&amp;"",""),0)&gt;0))),"""")"),46305.33333333333)</f>
        <v>46305.33333</v>
      </c>
    </row>
    <row r="141" ht="15.75" customHeight="1">
      <c r="A141" s="19" t="s">
        <v>124</v>
      </c>
      <c r="C141" s="19" t="s">
        <v>41</v>
      </c>
      <c r="D141" s="19" t="s">
        <v>61</v>
      </c>
      <c r="E141" s="33">
        <v>46265.33333333333</v>
      </c>
      <c r="F141" s="33">
        <v>46296.974966967595</v>
      </c>
      <c r="G141" s="68">
        <f>IF($A141="","",SUMPRODUCT((AttendanceLog!$E$2:$E$5000=$A141)*(AttendanceLog!$C$2:$C$5000&gt;=MAX($E141,Settings!$B$3))*((AttendanceLog!$I$2:$I$5000="")+(IFERROR(SEARCH(","&amp;$C141&amp;",",","&amp;AttendanceLog!$I$2:$I$5000&amp;","),0)&gt;0))))</f>
        <v>1</v>
      </c>
      <c r="H141" s="64">
        <f>IF($A141="","",SUMPRODUCT((EventLog!$C$2:$C$5000&gt;=MAX($E141,Settings!$B$3))*(EventLog!$C$2:$C$5000&lt;=TODAY())*((EventLog!$F$2:$F$5000="")+(IFERROR(SEARCH(","&amp;$C141&amp;",",","&amp;EventLog!$F$2:$F$5000&amp;","),0)&gt;0))))</f>
        <v>3</v>
      </c>
      <c r="I141" s="26">
        <f t="shared" si="1"/>
        <v>0.3333333333</v>
      </c>
      <c r="J141" s="20">
        <f>IFERROR(__xludf.DUMMYFUNCTION("IFERROR(MAX(FILTER(AttendanceLog!$C:$C,AttendanceLog!$E:$E=$A141,(AttendanceLog!$I:$I="""")+(IFERROR(SEARCH("",""&amp;$C141&amp;"","","",""&amp;AttendanceLog!$I:$I&amp;"",""),0)&gt;0))),"""")"),46275.0)</f>
        <v>46275</v>
      </c>
    </row>
    <row r="142" ht="15.75" customHeight="1">
      <c r="A142" s="19" t="s">
        <v>137</v>
      </c>
      <c r="C142" s="19" t="s">
        <v>41</v>
      </c>
      <c r="D142" s="19" t="s">
        <v>61</v>
      </c>
      <c r="E142" s="33">
        <v>46265.33333333333</v>
      </c>
      <c r="F142" s="33">
        <v>46296.974966967595</v>
      </c>
      <c r="G142" s="68">
        <f>IF($A142="","",SUMPRODUCT((AttendanceLog!$E$2:$E$5000=$A142)*(AttendanceLog!$C$2:$C$5000&gt;=MAX($E142,Settings!$B$3))*((AttendanceLog!$I$2:$I$5000="")+(IFERROR(SEARCH(","&amp;$C142&amp;",",","&amp;AttendanceLog!$I$2:$I$5000&amp;","),0)&gt;0))))</f>
        <v>2</v>
      </c>
      <c r="H142" s="64">
        <f>IF($A142="","",SUMPRODUCT((EventLog!$C$2:$C$5000&gt;=MAX($E142,Settings!$B$3))*(EventLog!$C$2:$C$5000&lt;=TODAY())*((EventLog!$F$2:$F$5000="")+(IFERROR(SEARCH(","&amp;$C142&amp;",",","&amp;EventLog!$F$2:$F$5000&amp;","),0)&gt;0))))</f>
        <v>3</v>
      </c>
      <c r="I142" s="26">
        <f t="shared" si="1"/>
        <v>0.6666666667</v>
      </c>
      <c r="J142" s="20">
        <f>IFERROR(__xludf.DUMMYFUNCTION("IFERROR(MAX(FILTER(AttendanceLog!$C:$C,AttendanceLog!$E:$E=$A142,(AttendanceLog!$I:$I="""")+(IFERROR(SEARCH("",""&amp;$C142&amp;"","","",""&amp;AttendanceLog!$I:$I&amp;"",""),0)&gt;0))),"""")"),46305.33333333333)</f>
        <v>46305.33333</v>
      </c>
    </row>
    <row r="143" ht="15.75" customHeight="1">
      <c r="A143" s="19" t="s">
        <v>136</v>
      </c>
      <c r="C143" s="19" t="s">
        <v>41</v>
      </c>
      <c r="D143" s="19" t="s">
        <v>61</v>
      </c>
      <c r="E143" s="33">
        <v>46265.33333333333</v>
      </c>
      <c r="F143" s="33">
        <v>46296.974966967595</v>
      </c>
      <c r="G143" s="68">
        <f>IF($A143="","",SUMPRODUCT((AttendanceLog!$E$2:$E$5000=$A143)*(AttendanceLog!$C$2:$C$5000&gt;=MAX($E143,Settings!$B$3))*((AttendanceLog!$I$2:$I$5000="")+(IFERROR(SEARCH(","&amp;$C143&amp;",",","&amp;AttendanceLog!$I$2:$I$5000&amp;","),0)&gt;0))))</f>
        <v>0</v>
      </c>
      <c r="H143" s="64">
        <f>IF($A143="","",SUMPRODUCT((EventLog!$C$2:$C$5000&gt;=MAX($E143,Settings!$B$3))*(EventLog!$C$2:$C$5000&lt;=TODAY())*((EventLog!$F$2:$F$5000="")+(IFERROR(SEARCH(","&amp;$C143&amp;",",","&amp;EventLog!$F$2:$F$5000&amp;","),0)&gt;0))))</f>
        <v>3</v>
      </c>
      <c r="I143" s="26">
        <f t="shared" si="1"/>
        <v>0</v>
      </c>
      <c r="J143" s="20" t="str">
        <f>IFERROR(__xludf.DUMMYFUNCTION("IFERROR(MAX(FILTER(AttendanceLog!$C:$C,AttendanceLog!$E:$E=$A143,(AttendanceLog!$I:$I="""")+(IFERROR(SEARCH("",""&amp;$C143&amp;"","","",""&amp;AttendanceLog!$I:$I&amp;"",""),0)&gt;0))),"""")"),"")</f>
        <v/>
      </c>
    </row>
    <row r="144" ht="15.75" customHeight="1">
      <c r="A144" s="19" t="s">
        <v>138</v>
      </c>
      <c r="C144" s="19" t="s">
        <v>41</v>
      </c>
      <c r="D144" s="19" t="s">
        <v>61</v>
      </c>
      <c r="E144" s="33">
        <v>46265.33333333333</v>
      </c>
      <c r="F144" s="33">
        <v>46296.974966967595</v>
      </c>
      <c r="G144" s="68">
        <f>IF($A144="","",SUMPRODUCT((AttendanceLog!$E$2:$E$5000=$A144)*(AttendanceLog!$C$2:$C$5000&gt;=MAX($E144,Settings!$B$3))*((AttendanceLog!$I$2:$I$5000="")+(IFERROR(SEARCH(","&amp;$C144&amp;",",","&amp;AttendanceLog!$I$2:$I$5000&amp;","),0)&gt;0))))</f>
        <v>2</v>
      </c>
      <c r="H144" s="64">
        <f>IF($A144="","",SUMPRODUCT((EventLog!$C$2:$C$5000&gt;=MAX($E144,Settings!$B$3))*(EventLog!$C$2:$C$5000&lt;=TODAY())*((EventLog!$F$2:$F$5000="")+(IFERROR(SEARCH(","&amp;$C144&amp;",",","&amp;EventLog!$F$2:$F$5000&amp;","),0)&gt;0))))</f>
        <v>3</v>
      </c>
      <c r="I144" s="26">
        <f t="shared" si="1"/>
        <v>0.6666666667</v>
      </c>
      <c r="J144" s="20">
        <f>IFERROR(__xludf.DUMMYFUNCTION("IFERROR(MAX(FILTER(AttendanceLog!$C:$C,AttendanceLog!$E:$E=$A144,(AttendanceLog!$I:$I="""")+(IFERROR(SEARCH("",""&amp;$C144&amp;"","","",""&amp;AttendanceLog!$I:$I&amp;"",""),0)&gt;0))),"""")"),46305.33333333333)</f>
        <v>46305.33333</v>
      </c>
    </row>
    <row r="145" ht="15.75" customHeight="1">
      <c r="A145" s="19" t="s">
        <v>117</v>
      </c>
      <c r="C145" s="19" t="s">
        <v>41</v>
      </c>
      <c r="D145" s="19" t="s">
        <v>61</v>
      </c>
      <c r="E145" s="33">
        <v>46265.33333333333</v>
      </c>
      <c r="F145" s="33">
        <v>46296.974966967595</v>
      </c>
      <c r="G145" s="68">
        <f>IF($A145="","",SUMPRODUCT((AttendanceLog!$E$2:$E$5000=$A145)*(AttendanceLog!$C$2:$C$5000&gt;=MAX($E145,Settings!$B$3))*((AttendanceLog!$I$2:$I$5000="")+(IFERROR(SEARCH(","&amp;$C145&amp;",",","&amp;AttendanceLog!$I$2:$I$5000&amp;","),0)&gt;0))))</f>
        <v>0</v>
      </c>
      <c r="H145" s="64">
        <f>IF($A145="","",SUMPRODUCT((EventLog!$C$2:$C$5000&gt;=MAX($E145,Settings!$B$3))*(EventLog!$C$2:$C$5000&lt;=TODAY())*((EventLog!$F$2:$F$5000="")+(IFERROR(SEARCH(","&amp;$C145&amp;",",","&amp;EventLog!$F$2:$F$5000&amp;","),0)&gt;0))))</f>
        <v>3</v>
      </c>
      <c r="I145" s="26">
        <f t="shared" si="1"/>
        <v>0</v>
      </c>
      <c r="J145" s="20" t="str">
        <f>IFERROR(__xludf.DUMMYFUNCTION("IFERROR(MAX(FILTER(AttendanceLog!$C:$C,AttendanceLog!$E:$E=$A145,(AttendanceLog!$I:$I="""")+(IFERROR(SEARCH("",""&amp;$C145&amp;"","","",""&amp;AttendanceLog!$I:$I&amp;"",""),0)&gt;0))),"""")"),"")</f>
        <v/>
      </c>
    </row>
    <row r="146" ht="15.75" customHeight="1">
      <c r="A146" s="19" t="s">
        <v>118</v>
      </c>
      <c r="C146" s="19" t="s">
        <v>41</v>
      </c>
      <c r="D146" s="19" t="s">
        <v>61</v>
      </c>
      <c r="E146" s="33">
        <v>46265.33333333333</v>
      </c>
      <c r="F146" s="33">
        <v>46296.974966967595</v>
      </c>
      <c r="G146" s="68">
        <f>IF($A146="","",SUMPRODUCT((AttendanceLog!$E$2:$E$5000=$A146)*(AttendanceLog!$C$2:$C$5000&gt;=MAX($E146,Settings!$B$3))*((AttendanceLog!$I$2:$I$5000="")+(IFERROR(SEARCH(","&amp;$C146&amp;",",","&amp;AttendanceLog!$I$2:$I$5000&amp;","),0)&gt;0))))</f>
        <v>0</v>
      </c>
      <c r="H146" s="64">
        <f>IF($A146="","",SUMPRODUCT((EventLog!$C$2:$C$5000&gt;=MAX($E146,Settings!$B$3))*(EventLog!$C$2:$C$5000&lt;=TODAY())*((EventLog!$F$2:$F$5000="")+(IFERROR(SEARCH(","&amp;$C146&amp;",",","&amp;EventLog!$F$2:$F$5000&amp;","),0)&gt;0))))</f>
        <v>3</v>
      </c>
      <c r="I146" s="26">
        <f t="shared" si="1"/>
        <v>0</v>
      </c>
      <c r="J146" s="20" t="str">
        <f>IFERROR(__xludf.DUMMYFUNCTION("IFERROR(MAX(FILTER(AttendanceLog!$C:$C,AttendanceLog!$E:$E=$A146,(AttendanceLog!$I:$I="""")+(IFERROR(SEARCH("",""&amp;$C146&amp;"","","",""&amp;AttendanceLog!$I:$I&amp;"",""),0)&gt;0))),"""")"),"")</f>
        <v/>
      </c>
    </row>
    <row r="147" ht="15.75" customHeight="1">
      <c r="A147" s="19" t="s">
        <v>109</v>
      </c>
      <c r="C147" s="19" t="s">
        <v>41</v>
      </c>
      <c r="D147" s="19" t="s">
        <v>61</v>
      </c>
      <c r="E147" s="33">
        <v>46265.33333333333</v>
      </c>
      <c r="F147" s="33">
        <v>46296.974966967595</v>
      </c>
      <c r="G147" s="68">
        <f>IF($A147="","",SUMPRODUCT((AttendanceLog!$E$2:$E$5000=$A147)*(AttendanceLog!$C$2:$C$5000&gt;=MAX($E147,Settings!$B$3))*((AttendanceLog!$I$2:$I$5000="")+(IFERROR(SEARCH(","&amp;$C147&amp;",",","&amp;AttendanceLog!$I$2:$I$5000&amp;","),0)&gt;0))))</f>
        <v>0</v>
      </c>
      <c r="H147" s="64">
        <f>IF($A147="","",SUMPRODUCT((EventLog!$C$2:$C$5000&gt;=MAX($E147,Settings!$B$3))*(EventLog!$C$2:$C$5000&lt;=TODAY())*((EventLog!$F$2:$F$5000="")+(IFERROR(SEARCH(","&amp;$C147&amp;",",","&amp;EventLog!$F$2:$F$5000&amp;","),0)&gt;0))))</f>
        <v>3</v>
      </c>
      <c r="I147" s="26">
        <f t="shared" si="1"/>
        <v>0</v>
      </c>
      <c r="J147" s="20" t="str">
        <f>IFERROR(__xludf.DUMMYFUNCTION("IFERROR(MAX(FILTER(AttendanceLog!$C:$C,AttendanceLog!$E:$E=$A147,(AttendanceLog!$I:$I="""")+(IFERROR(SEARCH("",""&amp;$C147&amp;"","","",""&amp;AttendanceLog!$I:$I&amp;"",""),0)&gt;0))),"""")"),"")</f>
        <v/>
      </c>
    </row>
    <row r="148" ht="15.75" customHeight="1">
      <c r="A148" s="19" t="s">
        <v>106</v>
      </c>
      <c r="C148" s="19" t="s">
        <v>41</v>
      </c>
      <c r="D148" s="19" t="s">
        <v>61</v>
      </c>
      <c r="E148" s="33">
        <v>46265.33333333333</v>
      </c>
      <c r="F148" s="33">
        <v>46296.974966967595</v>
      </c>
      <c r="G148" s="68">
        <f>IF($A148="","",SUMPRODUCT((AttendanceLog!$E$2:$E$5000=$A148)*(AttendanceLog!$C$2:$C$5000&gt;=MAX($E148,Settings!$B$3))*((AttendanceLog!$I$2:$I$5000="")+(IFERROR(SEARCH(","&amp;$C148&amp;",",","&amp;AttendanceLog!$I$2:$I$5000&amp;","),0)&gt;0))))</f>
        <v>2</v>
      </c>
      <c r="H148" s="64">
        <f>IF($A148="","",SUMPRODUCT((EventLog!$C$2:$C$5000&gt;=MAX($E148,Settings!$B$3))*(EventLog!$C$2:$C$5000&lt;=TODAY())*((EventLog!$F$2:$F$5000="")+(IFERROR(SEARCH(","&amp;$C148&amp;",",","&amp;EventLog!$F$2:$F$5000&amp;","),0)&gt;0))))</f>
        <v>3</v>
      </c>
      <c r="I148" s="26">
        <f t="shared" si="1"/>
        <v>0.6666666667</v>
      </c>
      <c r="J148" s="20">
        <f>IFERROR(__xludf.DUMMYFUNCTION("IFERROR(MAX(FILTER(AttendanceLog!$C:$C,AttendanceLog!$E:$E=$A148,(AttendanceLog!$I:$I="""")+(IFERROR(SEARCH("",""&amp;$C148&amp;"","","",""&amp;AttendanceLog!$I:$I&amp;"",""),0)&gt;0))),"""")"),46289.33333333333)</f>
        <v>46289.33333</v>
      </c>
    </row>
    <row r="149" ht="15.75" customHeight="1">
      <c r="A149" s="19" t="s">
        <v>115</v>
      </c>
      <c r="C149" s="19" t="s">
        <v>41</v>
      </c>
      <c r="D149" s="19" t="s">
        <v>61</v>
      </c>
      <c r="E149" s="33">
        <v>46265.33333333333</v>
      </c>
      <c r="F149" s="33">
        <v>46296.974966967595</v>
      </c>
      <c r="G149" s="68">
        <f>IF($A149="","",SUMPRODUCT((AttendanceLog!$E$2:$E$5000=$A149)*(AttendanceLog!$C$2:$C$5000&gt;=MAX($E149,Settings!$B$3))*((AttendanceLog!$I$2:$I$5000="")+(IFERROR(SEARCH(","&amp;$C149&amp;",",","&amp;AttendanceLog!$I$2:$I$5000&amp;","),0)&gt;0))))</f>
        <v>0</v>
      </c>
      <c r="H149" s="64">
        <f>IF($A149="","",SUMPRODUCT((EventLog!$C$2:$C$5000&gt;=MAX($E149,Settings!$B$3))*(EventLog!$C$2:$C$5000&lt;=TODAY())*((EventLog!$F$2:$F$5000="")+(IFERROR(SEARCH(","&amp;$C149&amp;",",","&amp;EventLog!$F$2:$F$5000&amp;","),0)&gt;0))))</f>
        <v>3</v>
      </c>
      <c r="I149" s="26">
        <f t="shared" si="1"/>
        <v>0</v>
      </c>
      <c r="J149" s="20" t="str">
        <f>IFERROR(__xludf.DUMMYFUNCTION("IFERROR(MAX(FILTER(AttendanceLog!$C:$C,AttendanceLog!$E:$E=$A149,(AttendanceLog!$I:$I="""")+(IFERROR(SEARCH("",""&amp;$C149&amp;"","","",""&amp;AttendanceLog!$I:$I&amp;"",""),0)&gt;0))),"""")"),"")</f>
        <v/>
      </c>
    </row>
    <row r="150" ht="15.75" customHeight="1">
      <c r="A150" s="19" t="s">
        <v>167</v>
      </c>
      <c r="C150" s="19" t="s">
        <v>41</v>
      </c>
      <c r="D150" s="19" t="s">
        <v>61</v>
      </c>
      <c r="E150" s="33">
        <v>46265.33333333333</v>
      </c>
      <c r="F150" s="33">
        <v>46296.974966967595</v>
      </c>
      <c r="G150" s="68">
        <f>IF($A150="","",SUMPRODUCT((AttendanceLog!$E$2:$E$5000=$A150)*(AttendanceLog!$C$2:$C$5000&gt;=MAX($E150,Settings!$B$3))*((AttendanceLog!$I$2:$I$5000="")+(IFERROR(SEARCH(","&amp;$C150&amp;",",","&amp;AttendanceLog!$I$2:$I$5000&amp;","),0)&gt;0))))</f>
        <v>2</v>
      </c>
      <c r="H150" s="64">
        <f>IF($A150="","",SUMPRODUCT((EventLog!$C$2:$C$5000&gt;=MAX($E150,Settings!$B$3))*(EventLog!$C$2:$C$5000&lt;=TODAY())*((EventLog!$F$2:$F$5000="")+(IFERROR(SEARCH(","&amp;$C150&amp;",",","&amp;EventLog!$F$2:$F$5000&amp;","),0)&gt;0))))</f>
        <v>3</v>
      </c>
      <c r="I150" s="26">
        <f t="shared" si="1"/>
        <v>0.6666666667</v>
      </c>
      <c r="J150" s="20">
        <f>IFERROR(__xludf.DUMMYFUNCTION("IFERROR(MAX(FILTER(AttendanceLog!$C:$C,AttendanceLog!$E:$E=$A150,(AttendanceLog!$I:$I="""")+(IFERROR(SEARCH("",""&amp;$C150&amp;"","","",""&amp;AttendanceLog!$I:$I&amp;"",""),0)&gt;0))),"""")"),46305.33333333333)</f>
        <v>46305.33333</v>
      </c>
    </row>
    <row r="151" ht="15.75" customHeight="1">
      <c r="A151" s="19" t="s">
        <v>113</v>
      </c>
      <c r="C151" s="19" t="s">
        <v>41</v>
      </c>
      <c r="D151" s="19" t="s">
        <v>61</v>
      </c>
      <c r="E151" s="33">
        <v>46265.33333333333</v>
      </c>
      <c r="F151" s="33">
        <v>46296.974966967595</v>
      </c>
      <c r="G151" s="68">
        <f>IF($A151="","",SUMPRODUCT((AttendanceLog!$E$2:$E$5000=$A151)*(AttendanceLog!$C$2:$C$5000&gt;=MAX($E151,Settings!$B$3))*((AttendanceLog!$I$2:$I$5000="")+(IFERROR(SEARCH(","&amp;$C151&amp;",",","&amp;AttendanceLog!$I$2:$I$5000&amp;","),0)&gt;0))))</f>
        <v>0</v>
      </c>
      <c r="H151" s="64">
        <f>IF($A151="","",SUMPRODUCT((EventLog!$C$2:$C$5000&gt;=MAX($E151,Settings!$B$3))*(EventLog!$C$2:$C$5000&lt;=TODAY())*((EventLog!$F$2:$F$5000="")+(IFERROR(SEARCH(","&amp;$C151&amp;",",","&amp;EventLog!$F$2:$F$5000&amp;","),0)&gt;0))))</f>
        <v>3</v>
      </c>
      <c r="I151" s="26">
        <f t="shared" si="1"/>
        <v>0</v>
      </c>
      <c r="J151" s="20" t="str">
        <f>IFERROR(__xludf.DUMMYFUNCTION("IFERROR(MAX(FILTER(AttendanceLog!$C:$C,AttendanceLog!$E:$E=$A151,(AttendanceLog!$I:$I="""")+(IFERROR(SEARCH("",""&amp;$C151&amp;"","","",""&amp;AttendanceLog!$I:$I&amp;"",""),0)&gt;0))),"""")"),"")</f>
        <v/>
      </c>
    </row>
    <row r="152" ht="15.75" customHeight="1">
      <c r="A152" s="19" t="s">
        <v>157</v>
      </c>
      <c r="C152" s="19" t="s">
        <v>41</v>
      </c>
      <c r="D152" s="19" t="s">
        <v>61</v>
      </c>
      <c r="E152" s="33">
        <v>46265.33333333333</v>
      </c>
      <c r="F152" s="33">
        <v>46296.974966967595</v>
      </c>
      <c r="G152" s="68">
        <f>IF($A152="","",SUMPRODUCT((AttendanceLog!$E$2:$E$5000=$A152)*(AttendanceLog!$C$2:$C$5000&gt;=MAX($E152,Settings!$B$3))*((AttendanceLog!$I$2:$I$5000="")+(IFERROR(SEARCH(","&amp;$C152&amp;",",","&amp;AttendanceLog!$I$2:$I$5000&amp;","),0)&gt;0))))</f>
        <v>2</v>
      </c>
      <c r="H152" s="64">
        <f>IF($A152="","",SUMPRODUCT((EventLog!$C$2:$C$5000&gt;=MAX($E152,Settings!$B$3))*(EventLog!$C$2:$C$5000&lt;=TODAY())*((EventLog!$F$2:$F$5000="")+(IFERROR(SEARCH(","&amp;$C152&amp;",",","&amp;EventLog!$F$2:$F$5000&amp;","),0)&gt;0))))</f>
        <v>3</v>
      </c>
      <c r="I152" s="26">
        <f t="shared" si="1"/>
        <v>0.6666666667</v>
      </c>
      <c r="J152" s="20">
        <f>IFERROR(__xludf.DUMMYFUNCTION("IFERROR(MAX(FILTER(AttendanceLog!$C:$C,AttendanceLog!$E:$E=$A152,(AttendanceLog!$I:$I="""")+(IFERROR(SEARCH("",""&amp;$C152&amp;"","","",""&amp;AttendanceLog!$I:$I&amp;"",""),0)&gt;0))),"""")"),46305.33333333333)</f>
        <v>46305.33333</v>
      </c>
    </row>
    <row r="153" ht="15.75" customHeight="1">
      <c r="A153" s="19" t="s">
        <v>140</v>
      </c>
      <c r="C153" s="19" t="s">
        <v>41</v>
      </c>
      <c r="D153" s="19" t="s">
        <v>61</v>
      </c>
      <c r="E153" s="33">
        <v>46265.33333333333</v>
      </c>
      <c r="F153" s="33">
        <v>46296.974966967595</v>
      </c>
      <c r="G153" s="68">
        <f>IF($A153="","",SUMPRODUCT((AttendanceLog!$E$2:$E$5000=$A153)*(AttendanceLog!$C$2:$C$5000&gt;=MAX($E153,Settings!$B$3))*((AttendanceLog!$I$2:$I$5000="")+(IFERROR(SEARCH(","&amp;$C153&amp;",",","&amp;AttendanceLog!$I$2:$I$5000&amp;","),0)&gt;0))))</f>
        <v>1</v>
      </c>
      <c r="H153" s="64">
        <f>IF($A153="","",SUMPRODUCT((EventLog!$C$2:$C$5000&gt;=MAX($E153,Settings!$B$3))*(EventLog!$C$2:$C$5000&lt;=TODAY())*((EventLog!$F$2:$F$5000="")+(IFERROR(SEARCH(","&amp;$C153&amp;",",","&amp;EventLog!$F$2:$F$5000&amp;","),0)&gt;0))))</f>
        <v>3</v>
      </c>
      <c r="I153" s="26">
        <f t="shared" si="1"/>
        <v>0.3333333333</v>
      </c>
      <c r="J153" s="20">
        <f>IFERROR(__xludf.DUMMYFUNCTION("IFERROR(MAX(FILTER(AttendanceLog!$C:$C,AttendanceLog!$E:$E=$A153,(AttendanceLog!$I:$I="""")+(IFERROR(SEARCH("",""&amp;$C153&amp;"","","",""&amp;AttendanceLog!$I:$I&amp;"",""),0)&gt;0))),"""")"),46305.33333333333)</f>
        <v>46305.33333</v>
      </c>
    </row>
    <row r="154" ht="15.75" customHeight="1">
      <c r="A154" s="19" t="s">
        <v>128</v>
      </c>
      <c r="C154" s="19" t="s">
        <v>41</v>
      </c>
      <c r="D154" s="19" t="s">
        <v>61</v>
      </c>
      <c r="E154" s="33">
        <v>46265.33333333333</v>
      </c>
      <c r="F154" s="33">
        <v>46296.974966967595</v>
      </c>
      <c r="G154" s="68">
        <f>IF($A154="","",SUMPRODUCT((AttendanceLog!$E$2:$E$5000=$A154)*(AttendanceLog!$C$2:$C$5000&gt;=MAX($E154,Settings!$B$3))*((AttendanceLog!$I$2:$I$5000="")+(IFERROR(SEARCH(","&amp;$C154&amp;",",","&amp;AttendanceLog!$I$2:$I$5000&amp;","),0)&gt;0))))</f>
        <v>0</v>
      </c>
      <c r="H154" s="64">
        <f>IF($A154="","",SUMPRODUCT((EventLog!$C$2:$C$5000&gt;=MAX($E154,Settings!$B$3))*(EventLog!$C$2:$C$5000&lt;=TODAY())*((EventLog!$F$2:$F$5000="")+(IFERROR(SEARCH(","&amp;$C154&amp;",",","&amp;EventLog!$F$2:$F$5000&amp;","),0)&gt;0))))</f>
        <v>3</v>
      </c>
      <c r="I154" s="26">
        <f t="shared" si="1"/>
        <v>0</v>
      </c>
      <c r="J154" s="20" t="str">
        <f>IFERROR(__xludf.DUMMYFUNCTION("IFERROR(MAX(FILTER(AttendanceLog!$C:$C,AttendanceLog!$E:$E=$A154,(AttendanceLog!$I:$I="""")+(IFERROR(SEARCH("",""&amp;$C154&amp;"","","",""&amp;AttendanceLog!$I:$I&amp;"",""),0)&gt;0))),"""")"),"")</f>
        <v/>
      </c>
    </row>
    <row r="155" ht="15.75" customHeight="1">
      <c r="A155" s="19" t="s">
        <v>130</v>
      </c>
      <c r="C155" s="19" t="s">
        <v>41</v>
      </c>
      <c r="D155" s="19" t="s">
        <v>61</v>
      </c>
      <c r="E155" s="33">
        <v>46265.33333333333</v>
      </c>
      <c r="F155" s="33">
        <v>46296.974966967595</v>
      </c>
      <c r="G155" s="68">
        <f>IF($A155="","",SUMPRODUCT((AttendanceLog!$E$2:$E$5000=$A155)*(AttendanceLog!$C$2:$C$5000&gt;=MAX($E155,Settings!$B$3))*((AttendanceLog!$I$2:$I$5000="")+(IFERROR(SEARCH(","&amp;$C155&amp;",",","&amp;AttendanceLog!$I$2:$I$5000&amp;","),0)&gt;0))))</f>
        <v>1</v>
      </c>
      <c r="H155" s="64">
        <f>IF($A155="","",SUMPRODUCT((EventLog!$C$2:$C$5000&gt;=MAX($E155,Settings!$B$3))*(EventLog!$C$2:$C$5000&lt;=TODAY())*((EventLog!$F$2:$F$5000="")+(IFERROR(SEARCH(","&amp;$C155&amp;",",","&amp;EventLog!$F$2:$F$5000&amp;","),0)&gt;0))))</f>
        <v>3</v>
      </c>
      <c r="I155" s="26">
        <f t="shared" si="1"/>
        <v>0.3333333333</v>
      </c>
      <c r="J155" s="20">
        <f>IFERROR(__xludf.DUMMYFUNCTION("IFERROR(MAX(FILTER(AttendanceLog!$C:$C,AttendanceLog!$E:$E=$A155,(AttendanceLog!$I:$I="""")+(IFERROR(SEARCH("",""&amp;$C155&amp;"","","",""&amp;AttendanceLog!$I:$I&amp;"",""),0)&gt;0))),"""")"),46305.33333333333)</f>
        <v>46305.33333</v>
      </c>
    </row>
    <row r="156" ht="15.75" customHeight="1">
      <c r="A156" s="19" t="s">
        <v>134</v>
      </c>
      <c r="C156" s="19" t="s">
        <v>41</v>
      </c>
      <c r="D156" s="19" t="s">
        <v>61</v>
      </c>
      <c r="E156" s="33">
        <v>46265.33333333333</v>
      </c>
      <c r="F156" s="33">
        <v>46296.974966967595</v>
      </c>
      <c r="G156" s="68">
        <f>IF($A156="","",SUMPRODUCT((AttendanceLog!$E$2:$E$5000=$A156)*(AttendanceLog!$C$2:$C$5000&gt;=MAX($E156,Settings!$B$3))*((AttendanceLog!$I$2:$I$5000="")+(IFERROR(SEARCH(","&amp;$C156&amp;",",","&amp;AttendanceLog!$I$2:$I$5000&amp;","),0)&gt;0))))</f>
        <v>1</v>
      </c>
      <c r="H156" s="64">
        <f>IF($A156="","",SUMPRODUCT((EventLog!$C$2:$C$5000&gt;=MAX($E156,Settings!$B$3))*(EventLog!$C$2:$C$5000&lt;=TODAY())*((EventLog!$F$2:$F$5000="")+(IFERROR(SEARCH(","&amp;$C156&amp;",",","&amp;EventLog!$F$2:$F$5000&amp;","),0)&gt;0))))</f>
        <v>3</v>
      </c>
      <c r="I156" s="26">
        <f t="shared" si="1"/>
        <v>0.3333333333</v>
      </c>
      <c r="J156" s="20">
        <f>IFERROR(__xludf.DUMMYFUNCTION("IFERROR(MAX(FILTER(AttendanceLog!$C:$C,AttendanceLog!$E:$E=$A156,(AttendanceLog!$I:$I="""")+(IFERROR(SEARCH("",""&amp;$C156&amp;"","","",""&amp;AttendanceLog!$I:$I&amp;"",""),0)&gt;0))),"""")"),46305.33333333333)</f>
        <v>46305.33333</v>
      </c>
    </row>
    <row r="157" ht="15.75" customHeight="1">
      <c r="A157" s="19" t="s">
        <v>112</v>
      </c>
      <c r="C157" s="19" t="s">
        <v>41</v>
      </c>
      <c r="D157" s="19" t="s">
        <v>61</v>
      </c>
      <c r="E157" s="33">
        <v>46265.33333333333</v>
      </c>
      <c r="F157" s="33">
        <v>46296.974966967595</v>
      </c>
      <c r="G157" s="68">
        <f>IF($A157="","",SUMPRODUCT((AttendanceLog!$E$2:$E$5000=$A157)*(AttendanceLog!$C$2:$C$5000&gt;=MAX($E157,Settings!$B$3))*((AttendanceLog!$I$2:$I$5000="")+(IFERROR(SEARCH(","&amp;$C157&amp;",",","&amp;AttendanceLog!$I$2:$I$5000&amp;","),0)&gt;0))))</f>
        <v>0</v>
      </c>
      <c r="H157" s="64">
        <f>IF($A157="","",SUMPRODUCT((EventLog!$C$2:$C$5000&gt;=MAX($E157,Settings!$B$3))*(EventLog!$C$2:$C$5000&lt;=TODAY())*((EventLog!$F$2:$F$5000="")+(IFERROR(SEARCH(","&amp;$C157&amp;",",","&amp;EventLog!$F$2:$F$5000&amp;","),0)&gt;0))))</f>
        <v>3</v>
      </c>
      <c r="I157" s="26">
        <f t="shared" si="1"/>
        <v>0</v>
      </c>
      <c r="J157" s="20" t="str">
        <f>IFERROR(__xludf.DUMMYFUNCTION("IFERROR(MAX(FILTER(AttendanceLog!$C:$C,AttendanceLog!$E:$E=$A157,(AttendanceLog!$I:$I="""")+(IFERROR(SEARCH("",""&amp;$C157&amp;"","","",""&amp;AttendanceLog!$I:$I&amp;"",""),0)&gt;0))),"""")"),"")</f>
        <v/>
      </c>
    </row>
    <row r="158" ht="15.75" customHeight="1">
      <c r="A158" s="19" t="s">
        <v>168</v>
      </c>
      <c r="C158" s="19" t="s">
        <v>41</v>
      </c>
      <c r="D158" s="19" t="s">
        <v>61</v>
      </c>
      <c r="E158" s="33">
        <v>46265.33333333333</v>
      </c>
      <c r="F158" s="33">
        <v>46296.974966967595</v>
      </c>
      <c r="G158" s="68">
        <f>IF($A158="","",SUMPRODUCT((AttendanceLog!$E$2:$E$5000=$A158)*(AttendanceLog!$C$2:$C$5000&gt;=MAX($E158,Settings!$B$3))*((AttendanceLog!$I$2:$I$5000="")+(IFERROR(SEARCH(","&amp;$C158&amp;",",","&amp;AttendanceLog!$I$2:$I$5000&amp;","),0)&gt;0))))</f>
        <v>1</v>
      </c>
      <c r="H158" s="64">
        <f>IF($A158="","",SUMPRODUCT((EventLog!$C$2:$C$5000&gt;=MAX($E158,Settings!$B$3))*(EventLog!$C$2:$C$5000&lt;=TODAY())*((EventLog!$F$2:$F$5000="")+(IFERROR(SEARCH(","&amp;$C158&amp;",",","&amp;EventLog!$F$2:$F$5000&amp;","),0)&gt;0))))</f>
        <v>3</v>
      </c>
      <c r="I158" s="26">
        <f t="shared" si="1"/>
        <v>0.3333333333</v>
      </c>
      <c r="J158" s="20">
        <f>IFERROR(__xludf.DUMMYFUNCTION("IFERROR(MAX(FILTER(AttendanceLog!$C:$C,AttendanceLog!$E:$E=$A158,(AttendanceLog!$I:$I="""")+(IFERROR(SEARCH("",""&amp;$C158&amp;"","","",""&amp;AttendanceLog!$I:$I&amp;"",""),0)&gt;0))),"""")"),46305.33333333333)</f>
        <v>46305.33333</v>
      </c>
    </row>
    <row r="159" ht="15.75" customHeight="1">
      <c r="A159" s="19" t="s">
        <v>114</v>
      </c>
      <c r="C159" s="19" t="s">
        <v>41</v>
      </c>
      <c r="D159" s="19" t="s">
        <v>61</v>
      </c>
      <c r="E159" s="33">
        <v>46265.33333333333</v>
      </c>
      <c r="F159" s="33">
        <v>46296.974966967595</v>
      </c>
      <c r="G159" s="68">
        <f>IF($A159="","",SUMPRODUCT((AttendanceLog!$E$2:$E$5000=$A159)*(AttendanceLog!$C$2:$C$5000&gt;=MAX($E159,Settings!$B$3))*((AttendanceLog!$I$2:$I$5000="")+(IFERROR(SEARCH(","&amp;$C159&amp;",",","&amp;AttendanceLog!$I$2:$I$5000&amp;","),0)&gt;0))))</f>
        <v>0</v>
      </c>
      <c r="H159" s="64">
        <f>IF($A159="","",SUMPRODUCT((EventLog!$C$2:$C$5000&gt;=MAX($E159,Settings!$B$3))*(EventLog!$C$2:$C$5000&lt;=TODAY())*((EventLog!$F$2:$F$5000="")+(IFERROR(SEARCH(","&amp;$C159&amp;",",","&amp;EventLog!$F$2:$F$5000&amp;","),0)&gt;0))))</f>
        <v>3</v>
      </c>
      <c r="I159" s="26">
        <f t="shared" si="1"/>
        <v>0</v>
      </c>
      <c r="J159" s="20" t="str">
        <f>IFERROR(__xludf.DUMMYFUNCTION("IFERROR(MAX(FILTER(AttendanceLog!$C:$C,AttendanceLog!$E:$E=$A159,(AttendanceLog!$I:$I="""")+(IFERROR(SEARCH("",""&amp;$C159&amp;"","","",""&amp;AttendanceLog!$I:$I&amp;"",""),0)&gt;0))),"""")"),"")</f>
        <v/>
      </c>
    </row>
    <row r="160" ht="15.75" customHeight="1">
      <c r="A160" s="19" t="s">
        <v>151</v>
      </c>
      <c r="C160" s="19" t="s">
        <v>41</v>
      </c>
      <c r="D160" s="19" t="s">
        <v>61</v>
      </c>
      <c r="E160" s="33">
        <v>46265.33333333333</v>
      </c>
      <c r="F160" s="33">
        <v>46296.974966967595</v>
      </c>
      <c r="G160" s="68">
        <f>IF($A160="","",SUMPRODUCT((AttendanceLog!$E$2:$E$5000=$A160)*(AttendanceLog!$C$2:$C$5000&gt;=MAX($E160,Settings!$B$3))*((AttendanceLog!$I$2:$I$5000="")+(IFERROR(SEARCH(","&amp;$C160&amp;",",","&amp;AttendanceLog!$I$2:$I$5000&amp;","),0)&gt;0))))</f>
        <v>2</v>
      </c>
      <c r="H160" s="64">
        <f>IF($A160="","",SUMPRODUCT((EventLog!$C$2:$C$5000&gt;=MAX($E160,Settings!$B$3))*(EventLog!$C$2:$C$5000&lt;=TODAY())*((EventLog!$F$2:$F$5000="")+(IFERROR(SEARCH(","&amp;$C160&amp;",",","&amp;EventLog!$F$2:$F$5000&amp;","),0)&gt;0))))</f>
        <v>3</v>
      </c>
      <c r="I160" s="26">
        <f t="shared" si="1"/>
        <v>0.6666666667</v>
      </c>
      <c r="J160" s="20">
        <f>IFERROR(__xludf.DUMMYFUNCTION("IFERROR(MAX(FILTER(AttendanceLog!$C:$C,AttendanceLog!$E:$E=$A160,(AttendanceLog!$I:$I="""")+(IFERROR(SEARCH("",""&amp;$C160&amp;"","","",""&amp;AttendanceLog!$I:$I&amp;"",""),0)&gt;0))),"""")"),46305.33333333333)</f>
        <v>46305.33333</v>
      </c>
    </row>
    <row r="161" ht="15.75" customHeight="1">
      <c r="A161" s="19" t="s">
        <v>163</v>
      </c>
      <c r="C161" s="19" t="s">
        <v>41</v>
      </c>
      <c r="D161" s="19" t="s">
        <v>61</v>
      </c>
      <c r="E161" s="33">
        <v>46265.33333333333</v>
      </c>
      <c r="F161" s="33">
        <v>46296.974966967595</v>
      </c>
      <c r="G161" s="68">
        <f>IF($A161="","",SUMPRODUCT((AttendanceLog!$E$2:$E$5000=$A161)*(AttendanceLog!$C$2:$C$5000&gt;=MAX($E161,Settings!$B$3))*((AttendanceLog!$I$2:$I$5000="")+(IFERROR(SEARCH(","&amp;$C161&amp;",",","&amp;AttendanceLog!$I$2:$I$5000&amp;","),0)&gt;0))))</f>
        <v>2</v>
      </c>
      <c r="H161" s="64">
        <f>IF($A161="","",SUMPRODUCT((EventLog!$C$2:$C$5000&gt;=MAX($E161,Settings!$B$3))*(EventLog!$C$2:$C$5000&lt;=TODAY())*((EventLog!$F$2:$F$5000="")+(IFERROR(SEARCH(","&amp;$C161&amp;",",","&amp;EventLog!$F$2:$F$5000&amp;","),0)&gt;0))))</f>
        <v>3</v>
      </c>
      <c r="I161" s="26">
        <f t="shared" si="1"/>
        <v>0.6666666667</v>
      </c>
      <c r="J161" s="20">
        <f>IFERROR(__xludf.DUMMYFUNCTION("IFERROR(MAX(FILTER(AttendanceLog!$C:$C,AttendanceLog!$E:$E=$A161,(AttendanceLog!$I:$I="""")+(IFERROR(SEARCH("",""&amp;$C161&amp;"","","",""&amp;AttendanceLog!$I:$I&amp;"",""),0)&gt;0))),"""")"),46305.33333333333)</f>
        <v>46305.33333</v>
      </c>
    </row>
    <row r="162" ht="15.75" customHeight="1">
      <c r="A162" s="19" t="s">
        <v>165</v>
      </c>
      <c r="C162" s="19" t="s">
        <v>41</v>
      </c>
      <c r="D162" s="19" t="s">
        <v>61</v>
      </c>
      <c r="E162" s="33">
        <v>46265.33333333333</v>
      </c>
      <c r="F162" s="33">
        <v>46296.974966967595</v>
      </c>
      <c r="G162" s="68">
        <f>IF($A162="","",SUMPRODUCT((AttendanceLog!$E$2:$E$5000=$A162)*(AttendanceLog!$C$2:$C$5000&gt;=MAX($E162,Settings!$B$3))*((AttendanceLog!$I$2:$I$5000="")+(IFERROR(SEARCH(","&amp;$C162&amp;",",","&amp;AttendanceLog!$I$2:$I$5000&amp;","),0)&gt;0))))</f>
        <v>1</v>
      </c>
      <c r="H162" s="64">
        <f>IF($A162="","",SUMPRODUCT((EventLog!$C$2:$C$5000&gt;=MAX($E162,Settings!$B$3))*(EventLog!$C$2:$C$5000&lt;=TODAY())*((EventLog!$F$2:$F$5000="")+(IFERROR(SEARCH(","&amp;$C162&amp;",",","&amp;EventLog!$F$2:$F$5000&amp;","),0)&gt;0))))</f>
        <v>3</v>
      </c>
      <c r="I162" s="26">
        <f t="shared" si="1"/>
        <v>0.3333333333</v>
      </c>
      <c r="J162" s="20">
        <f>IFERROR(__xludf.DUMMYFUNCTION("IFERROR(MAX(FILTER(AttendanceLog!$C:$C,AttendanceLog!$E:$E=$A162,(AttendanceLog!$I:$I="""")+(IFERROR(SEARCH("",""&amp;$C162&amp;"","","",""&amp;AttendanceLog!$I:$I&amp;"",""),0)&gt;0))),"""")"),46305.33333333333)</f>
        <v>46305.33333</v>
      </c>
    </row>
    <row r="163" ht="15.75" customHeight="1">
      <c r="A163" s="19" t="s">
        <v>119</v>
      </c>
      <c r="C163" s="19" t="s">
        <v>41</v>
      </c>
      <c r="D163" s="19" t="s">
        <v>61</v>
      </c>
      <c r="E163" s="33">
        <v>46265.33333333333</v>
      </c>
      <c r="F163" s="33">
        <v>46296.974966967595</v>
      </c>
      <c r="G163" s="68">
        <f>IF($A163="","",SUMPRODUCT((AttendanceLog!$E$2:$E$5000=$A163)*(AttendanceLog!$C$2:$C$5000&gt;=MAX($E163,Settings!$B$3))*((AttendanceLog!$I$2:$I$5000="")+(IFERROR(SEARCH(","&amp;$C163&amp;",",","&amp;AttendanceLog!$I$2:$I$5000&amp;","),0)&gt;0))))</f>
        <v>0</v>
      </c>
      <c r="H163" s="64">
        <f>IF($A163="","",SUMPRODUCT((EventLog!$C$2:$C$5000&gt;=MAX($E163,Settings!$B$3))*(EventLog!$C$2:$C$5000&lt;=TODAY())*((EventLog!$F$2:$F$5000="")+(IFERROR(SEARCH(","&amp;$C163&amp;",",","&amp;EventLog!$F$2:$F$5000&amp;","),0)&gt;0))))</f>
        <v>3</v>
      </c>
      <c r="I163" s="26">
        <f t="shared" si="1"/>
        <v>0</v>
      </c>
      <c r="J163" s="20" t="str">
        <f>IFERROR(__xludf.DUMMYFUNCTION("IFERROR(MAX(FILTER(AttendanceLog!$C:$C,AttendanceLog!$E:$E=$A163,(AttendanceLog!$I:$I="""")+(IFERROR(SEARCH("",""&amp;$C163&amp;"","","",""&amp;AttendanceLog!$I:$I&amp;"",""),0)&gt;0))),"""")"),"")</f>
        <v/>
      </c>
    </row>
    <row r="164" ht="15.75" customHeight="1">
      <c r="A164" s="19" t="s">
        <v>166</v>
      </c>
      <c r="C164" s="19" t="s">
        <v>41</v>
      </c>
      <c r="D164" s="19" t="s">
        <v>61</v>
      </c>
      <c r="E164" s="33">
        <v>46265.33333333333</v>
      </c>
      <c r="F164" s="33">
        <v>46296.974966967595</v>
      </c>
      <c r="G164" s="68">
        <f>IF($A164="","",SUMPRODUCT((AttendanceLog!$E$2:$E$5000=$A164)*(AttendanceLog!$C$2:$C$5000&gt;=MAX($E164,Settings!$B$3))*((AttendanceLog!$I$2:$I$5000="")+(IFERROR(SEARCH(","&amp;$C164&amp;",",","&amp;AttendanceLog!$I$2:$I$5000&amp;","),0)&gt;0))))</f>
        <v>2</v>
      </c>
      <c r="H164" s="64">
        <f>IF($A164="","",SUMPRODUCT((EventLog!$C$2:$C$5000&gt;=MAX($E164,Settings!$B$3))*(EventLog!$C$2:$C$5000&lt;=TODAY())*((EventLog!$F$2:$F$5000="")+(IFERROR(SEARCH(","&amp;$C164&amp;",",","&amp;EventLog!$F$2:$F$5000&amp;","),0)&gt;0))))</f>
        <v>3</v>
      </c>
      <c r="I164" s="26">
        <f t="shared" si="1"/>
        <v>0.6666666667</v>
      </c>
      <c r="J164" s="20">
        <f>IFERROR(__xludf.DUMMYFUNCTION("IFERROR(MAX(FILTER(AttendanceLog!$C:$C,AttendanceLog!$E:$E=$A164,(AttendanceLog!$I:$I="""")+(IFERROR(SEARCH("",""&amp;$C164&amp;"","","",""&amp;AttendanceLog!$I:$I&amp;"",""),0)&gt;0))),"""")"),46305.33333333333)</f>
        <v>46305.33333</v>
      </c>
    </row>
    <row r="165" ht="15.75" customHeight="1">
      <c r="A165" s="19" t="s">
        <v>161</v>
      </c>
      <c r="C165" s="19" t="s">
        <v>41</v>
      </c>
      <c r="D165" s="19" t="s">
        <v>61</v>
      </c>
      <c r="E165" s="33">
        <v>46265.33333333333</v>
      </c>
      <c r="F165" s="33">
        <v>46296.974966967595</v>
      </c>
      <c r="G165" s="68">
        <f>IF($A165="","",SUMPRODUCT((AttendanceLog!$E$2:$E$5000=$A165)*(AttendanceLog!$C$2:$C$5000&gt;=MAX($E165,Settings!$B$3))*((AttendanceLog!$I$2:$I$5000="")+(IFERROR(SEARCH(","&amp;$C165&amp;",",","&amp;AttendanceLog!$I$2:$I$5000&amp;","),0)&gt;0))))</f>
        <v>3</v>
      </c>
      <c r="H165" s="64">
        <f>IF($A165="","",SUMPRODUCT((EventLog!$C$2:$C$5000&gt;=MAX($E165,Settings!$B$3))*(EventLog!$C$2:$C$5000&lt;=TODAY())*((EventLog!$F$2:$F$5000="")+(IFERROR(SEARCH(","&amp;$C165&amp;",",","&amp;EventLog!$F$2:$F$5000&amp;","),0)&gt;0))))</f>
        <v>3</v>
      </c>
      <c r="I165" s="26">
        <f t="shared" si="1"/>
        <v>1</v>
      </c>
      <c r="J165" s="20">
        <f>IFERROR(__xludf.DUMMYFUNCTION("IFERROR(MAX(FILTER(AttendanceLog!$C:$C,AttendanceLog!$E:$E=$A165,(AttendanceLog!$I:$I="""")+(IFERROR(SEARCH("",""&amp;$C165&amp;"","","",""&amp;AttendanceLog!$I:$I&amp;"",""),0)&gt;0))),"""")"),46305.33333333333)</f>
        <v>46305.33333</v>
      </c>
    </row>
    <row r="166" ht="15.75" customHeight="1">
      <c r="A166" s="19" t="s">
        <v>131</v>
      </c>
      <c r="C166" s="19" t="s">
        <v>41</v>
      </c>
      <c r="D166" s="19" t="s">
        <v>61</v>
      </c>
      <c r="E166" s="33">
        <v>46265.33333333333</v>
      </c>
      <c r="F166" s="33">
        <v>46296.974966967595</v>
      </c>
      <c r="G166" s="68">
        <f>IF($A166="","",SUMPRODUCT((AttendanceLog!$E$2:$E$5000=$A166)*(AttendanceLog!$C$2:$C$5000&gt;=MAX($E166,Settings!$B$3))*((AttendanceLog!$I$2:$I$5000="")+(IFERROR(SEARCH(","&amp;$C166&amp;",",","&amp;AttendanceLog!$I$2:$I$5000&amp;","),0)&gt;0))))</f>
        <v>0</v>
      </c>
      <c r="H166" s="64">
        <f>IF($A166="","",SUMPRODUCT((EventLog!$C$2:$C$5000&gt;=MAX($E166,Settings!$B$3))*(EventLog!$C$2:$C$5000&lt;=TODAY())*((EventLog!$F$2:$F$5000="")+(IFERROR(SEARCH(","&amp;$C166&amp;",",","&amp;EventLog!$F$2:$F$5000&amp;","),0)&gt;0))))</f>
        <v>3</v>
      </c>
      <c r="I166" s="26">
        <f t="shared" si="1"/>
        <v>0</v>
      </c>
      <c r="J166" s="20" t="str">
        <f>IFERROR(__xludf.DUMMYFUNCTION("IFERROR(MAX(FILTER(AttendanceLog!$C:$C,AttendanceLog!$E:$E=$A166,(AttendanceLog!$I:$I="""")+(IFERROR(SEARCH("",""&amp;$C166&amp;"","","",""&amp;AttendanceLog!$I:$I&amp;"",""),0)&gt;0))),"""")"),"")</f>
        <v/>
      </c>
    </row>
    <row r="167" ht="15.75" customHeight="1">
      <c r="A167" s="19" t="s">
        <v>126</v>
      </c>
      <c r="C167" s="19" t="s">
        <v>41</v>
      </c>
      <c r="D167" s="19" t="s">
        <v>61</v>
      </c>
      <c r="E167" s="33">
        <v>46265.33333333333</v>
      </c>
      <c r="F167" s="33">
        <v>46296.974966967595</v>
      </c>
      <c r="G167" s="68">
        <f>IF($A167="","",SUMPRODUCT((AttendanceLog!$E$2:$E$5000=$A167)*(AttendanceLog!$C$2:$C$5000&gt;=MAX($E167,Settings!$B$3))*((AttendanceLog!$I$2:$I$5000="")+(IFERROR(SEARCH(","&amp;$C167&amp;",",","&amp;AttendanceLog!$I$2:$I$5000&amp;","),0)&gt;0))))</f>
        <v>2</v>
      </c>
      <c r="H167" s="64">
        <f>IF($A167="","",SUMPRODUCT((EventLog!$C$2:$C$5000&gt;=MAX($E167,Settings!$B$3))*(EventLog!$C$2:$C$5000&lt;=TODAY())*((EventLog!$F$2:$F$5000="")+(IFERROR(SEARCH(","&amp;$C167&amp;",",","&amp;EventLog!$F$2:$F$5000&amp;","),0)&gt;0))))</f>
        <v>3</v>
      </c>
      <c r="I167" s="26">
        <f t="shared" si="1"/>
        <v>0.6666666667</v>
      </c>
      <c r="J167" s="20">
        <f>IFERROR(__xludf.DUMMYFUNCTION("IFERROR(MAX(FILTER(AttendanceLog!$C:$C,AttendanceLog!$E:$E=$A167,(AttendanceLog!$I:$I="""")+(IFERROR(SEARCH("",""&amp;$C167&amp;"","","",""&amp;AttendanceLog!$I:$I&amp;"",""),0)&gt;0))),"""")"),46305.33333333333)</f>
        <v>46305.33333</v>
      </c>
    </row>
    <row r="168" ht="15.75" customHeight="1">
      <c r="A168" s="19" t="s">
        <v>150</v>
      </c>
      <c r="C168" s="19" t="s">
        <v>41</v>
      </c>
      <c r="D168" s="19" t="s">
        <v>61</v>
      </c>
      <c r="E168" s="33">
        <v>46265.33333333333</v>
      </c>
      <c r="F168" s="33">
        <v>46296.974966967595</v>
      </c>
      <c r="G168" s="68">
        <f>IF($A168="","",SUMPRODUCT((AttendanceLog!$E$2:$E$5000=$A168)*(AttendanceLog!$C$2:$C$5000&gt;=MAX($E168,Settings!$B$3))*((AttendanceLog!$I$2:$I$5000="")+(IFERROR(SEARCH(","&amp;$C168&amp;",",","&amp;AttendanceLog!$I$2:$I$5000&amp;","),0)&gt;0))))</f>
        <v>0</v>
      </c>
      <c r="H168" s="64">
        <f>IF($A168="","",SUMPRODUCT((EventLog!$C$2:$C$5000&gt;=MAX($E168,Settings!$B$3))*(EventLog!$C$2:$C$5000&lt;=TODAY())*((EventLog!$F$2:$F$5000="")+(IFERROR(SEARCH(","&amp;$C168&amp;",",","&amp;EventLog!$F$2:$F$5000&amp;","),0)&gt;0))))</f>
        <v>3</v>
      </c>
      <c r="I168" s="26">
        <f t="shared" si="1"/>
        <v>0</v>
      </c>
      <c r="J168" s="20" t="str">
        <f>IFERROR(__xludf.DUMMYFUNCTION("IFERROR(MAX(FILTER(AttendanceLog!$C:$C,AttendanceLog!$E:$E=$A168,(AttendanceLog!$I:$I="""")+(IFERROR(SEARCH("",""&amp;$C168&amp;"","","",""&amp;AttendanceLog!$I:$I&amp;"",""),0)&gt;0))),"""")"),"")</f>
        <v/>
      </c>
    </row>
    <row r="169" ht="15.75" customHeight="1">
      <c r="A169" s="19" t="s">
        <v>121</v>
      </c>
      <c r="C169" s="19" t="s">
        <v>41</v>
      </c>
      <c r="D169" s="19" t="s">
        <v>61</v>
      </c>
      <c r="E169" s="33">
        <v>46265.33333333333</v>
      </c>
      <c r="F169" s="33">
        <v>46296.974966967595</v>
      </c>
      <c r="G169" s="68">
        <f>IF($A169="","",SUMPRODUCT((AttendanceLog!$E$2:$E$5000=$A169)*(AttendanceLog!$C$2:$C$5000&gt;=MAX($E169,Settings!$B$3))*((AttendanceLog!$I$2:$I$5000="")+(IFERROR(SEARCH(","&amp;$C169&amp;",",","&amp;AttendanceLog!$I$2:$I$5000&amp;","),0)&gt;0))))</f>
        <v>0</v>
      </c>
      <c r="H169" s="64">
        <f>IF($A169="","",SUMPRODUCT((EventLog!$C$2:$C$5000&gt;=MAX($E169,Settings!$B$3))*(EventLog!$C$2:$C$5000&lt;=TODAY())*((EventLog!$F$2:$F$5000="")+(IFERROR(SEARCH(","&amp;$C169&amp;",",","&amp;EventLog!$F$2:$F$5000&amp;","),0)&gt;0))))</f>
        <v>3</v>
      </c>
      <c r="I169" s="26">
        <f t="shared" si="1"/>
        <v>0</v>
      </c>
      <c r="J169" s="20" t="str">
        <f>IFERROR(__xludf.DUMMYFUNCTION("IFERROR(MAX(FILTER(AttendanceLog!$C:$C,AttendanceLog!$E:$E=$A169,(AttendanceLog!$I:$I="""")+(IFERROR(SEARCH("",""&amp;$C169&amp;"","","",""&amp;AttendanceLog!$I:$I&amp;"",""),0)&gt;0))),"""")"),"")</f>
        <v/>
      </c>
    </row>
    <row r="170" ht="15.75" customHeight="1">
      <c r="A170" s="19" t="s">
        <v>116</v>
      </c>
      <c r="C170" s="19" t="s">
        <v>41</v>
      </c>
      <c r="D170" s="19" t="s">
        <v>61</v>
      </c>
      <c r="E170" s="33">
        <v>46265.33333333333</v>
      </c>
      <c r="F170" s="33">
        <v>46296.974966967595</v>
      </c>
      <c r="G170" s="68">
        <f>IF($A170="","",SUMPRODUCT((AttendanceLog!$E$2:$E$5000=$A170)*(AttendanceLog!$C$2:$C$5000&gt;=MAX($E170,Settings!$B$3))*((AttendanceLog!$I$2:$I$5000="")+(IFERROR(SEARCH(","&amp;$C170&amp;",",","&amp;AttendanceLog!$I$2:$I$5000&amp;","),0)&gt;0))))</f>
        <v>0</v>
      </c>
      <c r="H170" s="64">
        <f>IF($A170="","",SUMPRODUCT((EventLog!$C$2:$C$5000&gt;=MAX($E170,Settings!$B$3))*(EventLog!$C$2:$C$5000&lt;=TODAY())*((EventLog!$F$2:$F$5000="")+(IFERROR(SEARCH(","&amp;$C170&amp;",",","&amp;EventLog!$F$2:$F$5000&amp;","),0)&gt;0))))</f>
        <v>3</v>
      </c>
      <c r="I170" s="26">
        <f t="shared" si="1"/>
        <v>0</v>
      </c>
      <c r="J170" s="20" t="str">
        <f>IFERROR(__xludf.DUMMYFUNCTION("IFERROR(MAX(FILTER(AttendanceLog!$C:$C,AttendanceLog!$E:$E=$A170,(AttendanceLog!$I:$I="""")+(IFERROR(SEARCH("",""&amp;$C170&amp;"","","",""&amp;AttendanceLog!$I:$I&amp;"",""),0)&gt;0))),"""")"),"")</f>
        <v/>
      </c>
    </row>
    <row r="171" ht="15.75" customHeight="1">
      <c r="A171" s="19" t="s">
        <v>162</v>
      </c>
      <c r="C171" s="19" t="s">
        <v>41</v>
      </c>
      <c r="D171" s="19" t="s">
        <v>61</v>
      </c>
      <c r="E171" s="33">
        <v>46265.33333333333</v>
      </c>
      <c r="F171" s="33">
        <v>46296.974966967595</v>
      </c>
      <c r="G171" s="68">
        <f>IF($A171="","",SUMPRODUCT((AttendanceLog!$E$2:$E$5000=$A171)*(AttendanceLog!$C$2:$C$5000&gt;=MAX($E171,Settings!$B$3))*((AttendanceLog!$I$2:$I$5000="")+(IFERROR(SEARCH(","&amp;$C171&amp;",",","&amp;AttendanceLog!$I$2:$I$5000&amp;","),0)&gt;0))))</f>
        <v>2</v>
      </c>
      <c r="H171" s="64">
        <f>IF($A171="","",SUMPRODUCT((EventLog!$C$2:$C$5000&gt;=MAX($E171,Settings!$B$3))*(EventLog!$C$2:$C$5000&lt;=TODAY())*((EventLog!$F$2:$F$5000="")+(IFERROR(SEARCH(","&amp;$C171&amp;",",","&amp;EventLog!$F$2:$F$5000&amp;","),0)&gt;0))))</f>
        <v>3</v>
      </c>
      <c r="I171" s="26">
        <f t="shared" si="1"/>
        <v>0.6666666667</v>
      </c>
      <c r="J171" s="20">
        <f>IFERROR(__xludf.DUMMYFUNCTION("IFERROR(MAX(FILTER(AttendanceLog!$C:$C,AttendanceLog!$E:$E=$A171,(AttendanceLog!$I:$I="""")+(IFERROR(SEARCH("",""&amp;$C171&amp;"","","",""&amp;AttendanceLog!$I:$I&amp;"",""),0)&gt;0))),"""")"),46305.33333333333)</f>
        <v>46305.33333</v>
      </c>
    </row>
    <row r="172" ht="15.75" customHeight="1">
      <c r="A172" s="19" t="s">
        <v>158</v>
      </c>
      <c r="C172" s="19" t="s">
        <v>41</v>
      </c>
      <c r="D172" s="19" t="s">
        <v>61</v>
      </c>
      <c r="E172" s="33">
        <v>46265.33333333333</v>
      </c>
      <c r="F172" s="33">
        <v>46296.974966967595</v>
      </c>
      <c r="G172" s="68">
        <f>IF($A172="","",SUMPRODUCT((AttendanceLog!$E$2:$E$5000=$A172)*(AttendanceLog!$C$2:$C$5000&gt;=MAX($E172,Settings!$B$3))*((AttendanceLog!$I$2:$I$5000="")+(IFERROR(SEARCH(","&amp;$C172&amp;",",","&amp;AttendanceLog!$I$2:$I$5000&amp;","),0)&gt;0))))</f>
        <v>3</v>
      </c>
      <c r="H172" s="64">
        <f>IF($A172="","",SUMPRODUCT((EventLog!$C$2:$C$5000&gt;=MAX($E172,Settings!$B$3))*(EventLog!$C$2:$C$5000&lt;=TODAY())*((EventLog!$F$2:$F$5000="")+(IFERROR(SEARCH(","&amp;$C172&amp;",",","&amp;EventLog!$F$2:$F$5000&amp;","),0)&gt;0))))</f>
        <v>3</v>
      </c>
      <c r="I172" s="26">
        <f t="shared" si="1"/>
        <v>1</v>
      </c>
      <c r="J172" s="20">
        <f>IFERROR(__xludf.DUMMYFUNCTION("IFERROR(MAX(FILTER(AttendanceLog!$C:$C,AttendanceLog!$E:$E=$A172,(AttendanceLog!$I:$I="""")+(IFERROR(SEARCH("",""&amp;$C172&amp;"","","",""&amp;AttendanceLog!$I:$I&amp;"",""),0)&gt;0))),"""")"),46305.33333333333)</f>
        <v>46305.33333</v>
      </c>
    </row>
    <row r="173" ht="15.75" customHeight="1">
      <c r="A173" s="19" t="s">
        <v>122</v>
      </c>
      <c r="C173" s="19" t="s">
        <v>41</v>
      </c>
      <c r="D173" s="19" t="s">
        <v>61</v>
      </c>
      <c r="E173" s="33">
        <v>46265.33333333333</v>
      </c>
      <c r="F173" s="33">
        <v>46296.974966967595</v>
      </c>
      <c r="G173" s="68">
        <f>IF($A173="","",SUMPRODUCT((AttendanceLog!$E$2:$E$5000=$A173)*(AttendanceLog!$C$2:$C$5000&gt;=MAX($E173,Settings!$B$3))*((AttendanceLog!$I$2:$I$5000="")+(IFERROR(SEARCH(","&amp;$C173&amp;",",","&amp;AttendanceLog!$I$2:$I$5000&amp;","),0)&gt;0))))</f>
        <v>0</v>
      </c>
      <c r="H173" s="64">
        <f>IF($A173="","",SUMPRODUCT((EventLog!$C$2:$C$5000&gt;=MAX($E173,Settings!$B$3))*(EventLog!$C$2:$C$5000&lt;=TODAY())*((EventLog!$F$2:$F$5000="")+(IFERROR(SEARCH(","&amp;$C173&amp;",",","&amp;EventLog!$F$2:$F$5000&amp;","),0)&gt;0))))</f>
        <v>3</v>
      </c>
      <c r="I173" s="26">
        <f t="shared" si="1"/>
        <v>0</v>
      </c>
      <c r="J173" s="20" t="str">
        <f>IFERROR(__xludf.DUMMYFUNCTION("IFERROR(MAX(FILTER(AttendanceLog!$C:$C,AttendanceLog!$E:$E=$A173,(AttendanceLog!$I:$I="""")+(IFERROR(SEARCH("",""&amp;$C173&amp;"","","",""&amp;AttendanceLog!$I:$I&amp;"",""),0)&gt;0))),"""")"),"")</f>
        <v/>
      </c>
    </row>
    <row r="174" ht="15.75" customHeight="1">
      <c r="A174" s="19" t="s">
        <v>147</v>
      </c>
      <c r="C174" s="19" t="s">
        <v>41</v>
      </c>
      <c r="D174" s="19" t="s">
        <v>61</v>
      </c>
      <c r="E174" s="33">
        <v>46265.33333333333</v>
      </c>
      <c r="F174" s="33">
        <v>46296.974966967595</v>
      </c>
      <c r="G174" s="68">
        <f>IF($A174="","",SUMPRODUCT((AttendanceLog!$E$2:$E$5000=$A174)*(AttendanceLog!$C$2:$C$5000&gt;=MAX($E174,Settings!$B$3))*((AttendanceLog!$I$2:$I$5000="")+(IFERROR(SEARCH(","&amp;$C174&amp;",",","&amp;AttendanceLog!$I$2:$I$5000&amp;","),0)&gt;0))))</f>
        <v>1</v>
      </c>
      <c r="H174" s="64">
        <f>IF($A174="","",SUMPRODUCT((EventLog!$C$2:$C$5000&gt;=MAX($E174,Settings!$B$3))*(EventLog!$C$2:$C$5000&lt;=TODAY())*((EventLog!$F$2:$F$5000="")+(IFERROR(SEARCH(","&amp;$C174&amp;",",","&amp;EventLog!$F$2:$F$5000&amp;","),0)&gt;0))))</f>
        <v>3</v>
      </c>
      <c r="I174" s="26">
        <f t="shared" si="1"/>
        <v>0.3333333333</v>
      </c>
      <c r="J174" s="20">
        <f>IFERROR(__xludf.DUMMYFUNCTION("IFERROR(MAX(FILTER(AttendanceLog!$C:$C,AttendanceLog!$E:$E=$A174,(AttendanceLog!$I:$I="""")+(IFERROR(SEARCH("",""&amp;$C174&amp;"","","",""&amp;AttendanceLog!$I:$I&amp;"",""),0)&gt;0))),"""")"),46275.0)</f>
        <v>46275</v>
      </c>
    </row>
    <row r="175" ht="15.75" customHeight="1">
      <c r="A175" s="19" t="s">
        <v>141</v>
      </c>
      <c r="C175" s="19" t="s">
        <v>41</v>
      </c>
      <c r="D175" s="19" t="s">
        <v>61</v>
      </c>
      <c r="E175" s="33">
        <v>46265.33333333333</v>
      </c>
      <c r="F175" s="33">
        <v>46296.974966967595</v>
      </c>
      <c r="G175" s="68">
        <f>IF($A175="","",SUMPRODUCT((AttendanceLog!$E$2:$E$5000=$A175)*(AttendanceLog!$C$2:$C$5000&gt;=MAX($E175,Settings!$B$3))*((AttendanceLog!$I$2:$I$5000="")+(IFERROR(SEARCH(","&amp;$C175&amp;",",","&amp;AttendanceLog!$I$2:$I$5000&amp;","),0)&gt;0))))</f>
        <v>1</v>
      </c>
      <c r="H175" s="64">
        <f>IF($A175="","",SUMPRODUCT((EventLog!$C$2:$C$5000&gt;=MAX($E175,Settings!$B$3))*(EventLog!$C$2:$C$5000&lt;=TODAY())*((EventLog!$F$2:$F$5000="")+(IFERROR(SEARCH(","&amp;$C175&amp;",",","&amp;EventLog!$F$2:$F$5000&amp;","),0)&gt;0))))</f>
        <v>3</v>
      </c>
      <c r="I175" s="26">
        <f t="shared" si="1"/>
        <v>0.3333333333</v>
      </c>
      <c r="J175" s="20">
        <f>IFERROR(__xludf.DUMMYFUNCTION("IFERROR(MAX(FILTER(AttendanceLog!$C:$C,AttendanceLog!$E:$E=$A175,(AttendanceLog!$I:$I="""")+(IFERROR(SEARCH("",""&amp;$C175&amp;"","","",""&amp;AttendanceLog!$I:$I&amp;"",""),0)&gt;0))),"""")"),46275.0)</f>
        <v>46275</v>
      </c>
    </row>
    <row r="176" ht="15.75" customHeight="1">
      <c r="A176" s="19" t="s">
        <v>108</v>
      </c>
      <c r="C176" s="19" t="s">
        <v>41</v>
      </c>
      <c r="D176" s="19" t="s">
        <v>61</v>
      </c>
      <c r="E176" s="33">
        <v>46265.33333333333</v>
      </c>
      <c r="F176" s="33">
        <v>46296.974966967595</v>
      </c>
      <c r="G176" s="68">
        <f>IF($A176="","",SUMPRODUCT((AttendanceLog!$E$2:$E$5000=$A176)*(AttendanceLog!$C$2:$C$5000&gt;=MAX($E176,Settings!$B$3))*((AttendanceLog!$I$2:$I$5000="")+(IFERROR(SEARCH(","&amp;$C176&amp;",",","&amp;AttendanceLog!$I$2:$I$5000&amp;","),0)&gt;0))))</f>
        <v>2</v>
      </c>
      <c r="H176" s="64">
        <f>IF($A176="","",SUMPRODUCT((EventLog!$C$2:$C$5000&gt;=MAX($E176,Settings!$B$3))*(EventLog!$C$2:$C$5000&lt;=TODAY())*((EventLog!$F$2:$F$5000="")+(IFERROR(SEARCH(","&amp;$C176&amp;",",","&amp;EventLog!$F$2:$F$5000&amp;","),0)&gt;0))))</f>
        <v>3</v>
      </c>
      <c r="I176" s="26">
        <f t="shared" si="1"/>
        <v>0.6666666667</v>
      </c>
      <c r="J176" s="20">
        <f>IFERROR(__xludf.DUMMYFUNCTION("IFERROR(MAX(FILTER(AttendanceLog!$C:$C,AttendanceLog!$E:$E=$A176,(AttendanceLog!$I:$I="""")+(IFERROR(SEARCH("",""&amp;$C176&amp;"","","",""&amp;AttendanceLog!$I:$I&amp;"",""),0)&gt;0))),"""")"),46289.33333333333)</f>
        <v>46289.33333</v>
      </c>
    </row>
    <row r="177" ht="15.75" customHeight="1">
      <c r="A177" s="19" t="s">
        <v>139</v>
      </c>
      <c r="C177" s="19" t="s">
        <v>41</v>
      </c>
      <c r="D177" s="19" t="s">
        <v>61</v>
      </c>
      <c r="E177" s="33">
        <v>46265.33333333333</v>
      </c>
      <c r="F177" s="33">
        <v>46296.974966967595</v>
      </c>
      <c r="G177" s="68">
        <f>IF($A177="","",SUMPRODUCT((AttendanceLog!$E$2:$E$5000=$A177)*(AttendanceLog!$C$2:$C$5000&gt;=MAX($E177,Settings!$B$3))*((AttendanceLog!$I$2:$I$5000="")+(IFERROR(SEARCH(","&amp;$C177&amp;",",","&amp;AttendanceLog!$I$2:$I$5000&amp;","),0)&gt;0))))</f>
        <v>3</v>
      </c>
      <c r="H177" s="64">
        <f>IF($A177="","",SUMPRODUCT((EventLog!$C$2:$C$5000&gt;=MAX($E177,Settings!$B$3))*(EventLog!$C$2:$C$5000&lt;=TODAY())*((EventLog!$F$2:$F$5000="")+(IFERROR(SEARCH(","&amp;$C177&amp;",",","&amp;EventLog!$F$2:$F$5000&amp;","),0)&gt;0))))</f>
        <v>3</v>
      </c>
      <c r="I177" s="26">
        <f t="shared" si="1"/>
        <v>1</v>
      </c>
      <c r="J177" s="20">
        <f>IFERROR(__xludf.DUMMYFUNCTION("IFERROR(MAX(FILTER(AttendanceLog!$C:$C,AttendanceLog!$E:$E=$A177,(AttendanceLog!$I:$I="""")+(IFERROR(SEARCH("",""&amp;$C177&amp;"","","",""&amp;AttendanceLog!$I:$I&amp;"",""),0)&gt;0))),"""")"),46305.33333333333)</f>
        <v>46305.33333</v>
      </c>
    </row>
    <row r="178" ht="15.75" customHeight="1">
      <c r="A178" s="19" t="s">
        <v>110</v>
      </c>
      <c r="C178" s="19" t="s">
        <v>41</v>
      </c>
      <c r="D178" s="19" t="s">
        <v>61</v>
      </c>
      <c r="E178" s="33">
        <v>46265.33333333333</v>
      </c>
      <c r="F178" s="33">
        <v>46296.974966967595</v>
      </c>
      <c r="G178" s="68">
        <f>IF($A178="","",SUMPRODUCT((AttendanceLog!$E$2:$E$5000=$A178)*(AttendanceLog!$C$2:$C$5000&gt;=MAX($E178,Settings!$B$3))*((AttendanceLog!$I$2:$I$5000="")+(IFERROR(SEARCH(","&amp;$C178&amp;",",","&amp;AttendanceLog!$I$2:$I$5000&amp;","),0)&gt;0))))</f>
        <v>2</v>
      </c>
      <c r="H178" s="64">
        <f>IF($A178="","",SUMPRODUCT((EventLog!$C$2:$C$5000&gt;=MAX($E178,Settings!$B$3))*(EventLog!$C$2:$C$5000&lt;=TODAY())*((EventLog!$F$2:$F$5000="")+(IFERROR(SEARCH(","&amp;$C178&amp;",",","&amp;EventLog!$F$2:$F$5000&amp;","),0)&gt;0))))</f>
        <v>3</v>
      </c>
      <c r="I178" s="26">
        <f t="shared" si="1"/>
        <v>0.6666666667</v>
      </c>
      <c r="J178" s="20">
        <f>IFERROR(__xludf.DUMMYFUNCTION("IFERROR(MAX(FILTER(AttendanceLog!$C:$C,AttendanceLog!$E:$E=$A178,(AttendanceLog!$I:$I="""")+(IFERROR(SEARCH("",""&amp;$C178&amp;"","","",""&amp;AttendanceLog!$I:$I&amp;"",""),0)&gt;0))),"""")"),46289.33333333333)</f>
        <v>46289.33333</v>
      </c>
    </row>
    <row r="179" ht="15.75" customHeight="1">
      <c r="A179" s="19" t="s">
        <v>148</v>
      </c>
      <c r="C179" s="19" t="s">
        <v>41</v>
      </c>
      <c r="D179" s="19" t="s">
        <v>61</v>
      </c>
      <c r="E179" s="33">
        <v>46265.33333333333</v>
      </c>
      <c r="F179" s="33">
        <v>46296.974966967595</v>
      </c>
      <c r="G179" s="68">
        <f>IF($A179="","",SUMPRODUCT((AttendanceLog!$E$2:$E$5000=$A179)*(AttendanceLog!$C$2:$C$5000&gt;=MAX($E179,Settings!$B$3))*((AttendanceLog!$I$2:$I$5000="")+(IFERROR(SEARCH(","&amp;$C179&amp;",",","&amp;AttendanceLog!$I$2:$I$5000&amp;","),0)&gt;0))))</f>
        <v>2</v>
      </c>
      <c r="H179" s="64">
        <f>IF($A179="","",SUMPRODUCT((EventLog!$C$2:$C$5000&gt;=MAX($E179,Settings!$B$3))*(EventLog!$C$2:$C$5000&lt;=TODAY())*((EventLog!$F$2:$F$5000="")+(IFERROR(SEARCH(","&amp;$C179&amp;",",","&amp;EventLog!$F$2:$F$5000&amp;","),0)&gt;0))))</f>
        <v>3</v>
      </c>
      <c r="I179" s="26">
        <f t="shared" si="1"/>
        <v>0.6666666667</v>
      </c>
      <c r="J179" s="20">
        <f>IFERROR(__xludf.DUMMYFUNCTION("IFERROR(MAX(FILTER(AttendanceLog!$C:$C,AttendanceLog!$E:$E=$A179,(AttendanceLog!$I:$I="""")+(IFERROR(SEARCH("",""&amp;$C179&amp;"","","",""&amp;AttendanceLog!$I:$I&amp;"",""),0)&gt;0))),"""")"),46289.33333333333)</f>
        <v>46289.33333</v>
      </c>
    </row>
    <row r="180" ht="15.75" customHeight="1">
      <c r="A180" s="19" t="s">
        <v>123</v>
      </c>
      <c r="C180" s="19" t="s">
        <v>41</v>
      </c>
      <c r="D180" s="19" t="s">
        <v>61</v>
      </c>
      <c r="E180" s="33">
        <v>46265.33333333333</v>
      </c>
      <c r="F180" s="33">
        <v>46296.974966967595</v>
      </c>
      <c r="G180" s="68">
        <f>IF($A180="","",SUMPRODUCT((AttendanceLog!$E$2:$E$5000=$A180)*(AttendanceLog!$C$2:$C$5000&gt;=MAX($E180,Settings!$B$3))*((AttendanceLog!$I$2:$I$5000="")+(IFERROR(SEARCH(","&amp;$C180&amp;",",","&amp;AttendanceLog!$I$2:$I$5000&amp;","),0)&gt;0))))</f>
        <v>2</v>
      </c>
      <c r="H180" s="64">
        <f>IF($A180="","",SUMPRODUCT((EventLog!$C$2:$C$5000&gt;=MAX($E180,Settings!$B$3))*(EventLog!$C$2:$C$5000&lt;=TODAY())*((EventLog!$F$2:$F$5000="")+(IFERROR(SEARCH(","&amp;$C180&amp;",",","&amp;EventLog!$F$2:$F$5000&amp;","),0)&gt;0))))</f>
        <v>3</v>
      </c>
      <c r="I180" s="26">
        <f t="shared" si="1"/>
        <v>0.6666666667</v>
      </c>
      <c r="J180" s="20">
        <f>IFERROR(__xludf.DUMMYFUNCTION("IFERROR(MAX(FILTER(AttendanceLog!$C:$C,AttendanceLog!$E:$E=$A180,(AttendanceLog!$I:$I="""")+(IFERROR(SEARCH("",""&amp;$C180&amp;"","","",""&amp;AttendanceLog!$I:$I&amp;"",""),0)&gt;0))),"""")"),46305.33333333333)</f>
        <v>46305.33333</v>
      </c>
    </row>
    <row r="181" ht="15.75" customHeight="1">
      <c r="A181" s="19" t="s">
        <v>164</v>
      </c>
      <c r="C181" s="19" t="s">
        <v>41</v>
      </c>
      <c r="D181" s="19" t="s">
        <v>61</v>
      </c>
      <c r="E181" s="33">
        <v>46265.33333333333</v>
      </c>
      <c r="F181" s="33">
        <v>46296.974966967595</v>
      </c>
      <c r="G181" s="68">
        <f>IF($A181="","",SUMPRODUCT((AttendanceLog!$E$2:$E$5000=$A181)*(AttendanceLog!$C$2:$C$5000&gt;=MAX($E181,Settings!$B$3))*((AttendanceLog!$I$2:$I$5000="")+(IFERROR(SEARCH(","&amp;$C181&amp;",",","&amp;AttendanceLog!$I$2:$I$5000&amp;","),0)&gt;0))))</f>
        <v>0</v>
      </c>
      <c r="H181" s="64">
        <f>IF($A181="","",SUMPRODUCT((EventLog!$C$2:$C$5000&gt;=MAX($E181,Settings!$B$3))*(EventLog!$C$2:$C$5000&lt;=TODAY())*((EventLog!$F$2:$F$5000="")+(IFERROR(SEARCH(","&amp;$C181&amp;",",","&amp;EventLog!$F$2:$F$5000&amp;","),0)&gt;0))))</f>
        <v>3</v>
      </c>
      <c r="I181" s="26">
        <f t="shared" si="1"/>
        <v>0</v>
      </c>
      <c r="J181" s="20" t="str">
        <f>IFERROR(__xludf.DUMMYFUNCTION("IFERROR(MAX(FILTER(AttendanceLog!$C:$C,AttendanceLog!$E:$E=$A181,(AttendanceLog!$I:$I="""")+(IFERROR(SEARCH("",""&amp;$C181&amp;"","","",""&amp;AttendanceLog!$I:$I&amp;"",""),0)&gt;0))),"""")"),"")</f>
        <v/>
      </c>
    </row>
    <row r="182" ht="15.75" customHeight="1">
      <c r="A182" s="19" t="s">
        <v>129</v>
      </c>
      <c r="C182" s="19" t="s">
        <v>41</v>
      </c>
      <c r="D182" s="19" t="s">
        <v>61</v>
      </c>
      <c r="E182" s="33">
        <v>46265.33333333333</v>
      </c>
      <c r="F182" s="33">
        <v>46296.974966967595</v>
      </c>
      <c r="G182" s="68">
        <f>IF($A182="","",SUMPRODUCT((AttendanceLog!$E$2:$E$5000=$A182)*(AttendanceLog!$C$2:$C$5000&gt;=MAX($E182,Settings!$B$3))*((AttendanceLog!$I$2:$I$5000="")+(IFERROR(SEARCH(","&amp;$C182&amp;",",","&amp;AttendanceLog!$I$2:$I$5000&amp;","),0)&gt;0))))</f>
        <v>0</v>
      </c>
      <c r="H182" s="64">
        <f>IF($A182="","",SUMPRODUCT((EventLog!$C$2:$C$5000&gt;=MAX($E182,Settings!$B$3))*(EventLog!$C$2:$C$5000&lt;=TODAY())*((EventLog!$F$2:$F$5000="")+(IFERROR(SEARCH(","&amp;$C182&amp;",",","&amp;EventLog!$F$2:$F$5000&amp;","),0)&gt;0))))</f>
        <v>3</v>
      </c>
      <c r="I182" s="26">
        <f t="shared" si="1"/>
        <v>0</v>
      </c>
      <c r="J182" s="20" t="str">
        <f>IFERROR(__xludf.DUMMYFUNCTION("IFERROR(MAX(FILTER(AttendanceLog!$C:$C,AttendanceLog!$E:$E=$A182,(AttendanceLog!$I:$I="""")+(IFERROR(SEARCH("",""&amp;$C182&amp;"","","",""&amp;AttendanceLog!$I:$I&amp;"",""),0)&gt;0))),"""")"),"")</f>
        <v/>
      </c>
    </row>
    <row r="183" ht="15.75" customHeight="1">
      <c r="A183" s="19" t="s">
        <v>153</v>
      </c>
      <c r="C183" s="19" t="s">
        <v>41</v>
      </c>
      <c r="D183" s="19" t="s">
        <v>61</v>
      </c>
      <c r="E183" s="33">
        <v>46265.33333333333</v>
      </c>
      <c r="F183" s="33">
        <v>46296.974966967595</v>
      </c>
      <c r="G183" s="68">
        <f>IF($A183="","",SUMPRODUCT((AttendanceLog!$E$2:$E$5000=$A183)*(AttendanceLog!$C$2:$C$5000&gt;=MAX($E183,Settings!$B$3))*((AttendanceLog!$I$2:$I$5000="")+(IFERROR(SEARCH(","&amp;$C183&amp;",",","&amp;AttendanceLog!$I$2:$I$5000&amp;","),0)&gt;0))))</f>
        <v>3</v>
      </c>
      <c r="H183" s="64">
        <f>IF($A183="","",SUMPRODUCT((EventLog!$C$2:$C$5000&gt;=MAX($E183,Settings!$B$3))*(EventLog!$C$2:$C$5000&lt;=TODAY())*((EventLog!$F$2:$F$5000="")+(IFERROR(SEARCH(","&amp;$C183&amp;",",","&amp;EventLog!$F$2:$F$5000&amp;","),0)&gt;0))))</f>
        <v>3</v>
      </c>
      <c r="I183" s="26">
        <f t="shared" si="1"/>
        <v>1</v>
      </c>
      <c r="J183" s="20">
        <f>IFERROR(__xludf.DUMMYFUNCTION("IFERROR(MAX(FILTER(AttendanceLog!$C:$C,AttendanceLog!$E:$E=$A183,(AttendanceLog!$I:$I="""")+(IFERROR(SEARCH("",""&amp;$C183&amp;"","","",""&amp;AttendanceLog!$I:$I&amp;"",""),0)&gt;0))),"""")"),46305.33333333333)</f>
        <v>46305.33333</v>
      </c>
    </row>
    <row r="184" ht="15.75" customHeight="1">
      <c r="A184" s="19" t="s">
        <v>107</v>
      </c>
      <c r="C184" s="19" t="s">
        <v>41</v>
      </c>
      <c r="D184" s="19" t="s">
        <v>61</v>
      </c>
      <c r="E184" s="33">
        <v>46265.33333333333</v>
      </c>
      <c r="F184" s="33">
        <v>46296.974966967595</v>
      </c>
      <c r="G184" s="68">
        <f>IF($A184="","",SUMPRODUCT((AttendanceLog!$E$2:$E$5000=$A184)*(AttendanceLog!$C$2:$C$5000&gt;=MAX($E184,Settings!$B$3))*((AttendanceLog!$I$2:$I$5000="")+(IFERROR(SEARCH(","&amp;$C184&amp;",",","&amp;AttendanceLog!$I$2:$I$5000&amp;","),0)&gt;0))))</f>
        <v>2</v>
      </c>
      <c r="H184" s="64">
        <f>IF($A184="","",SUMPRODUCT((EventLog!$C$2:$C$5000&gt;=MAX($E184,Settings!$B$3))*(EventLog!$C$2:$C$5000&lt;=TODAY())*((EventLog!$F$2:$F$5000="")+(IFERROR(SEARCH(","&amp;$C184&amp;",",","&amp;EventLog!$F$2:$F$5000&amp;","),0)&gt;0))))</f>
        <v>3</v>
      </c>
      <c r="I184" s="26">
        <f t="shared" si="1"/>
        <v>0.6666666667</v>
      </c>
      <c r="J184" s="20">
        <f>IFERROR(__xludf.DUMMYFUNCTION("IFERROR(MAX(FILTER(AttendanceLog!$C:$C,AttendanceLog!$E:$E=$A184,(AttendanceLog!$I:$I="""")+(IFERROR(SEARCH("",""&amp;$C184&amp;"","","",""&amp;AttendanceLog!$I:$I&amp;"",""),0)&gt;0))),"""")"),46289.33333333333)</f>
        <v>46289.33333</v>
      </c>
    </row>
    <row r="185" ht="15.75" customHeight="1">
      <c r="A185" s="19" t="s">
        <v>154</v>
      </c>
      <c r="C185" s="19" t="s">
        <v>41</v>
      </c>
      <c r="D185" s="19" t="s">
        <v>61</v>
      </c>
      <c r="E185" s="33">
        <v>46265.33333333333</v>
      </c>
      <c r="F185" s="33">
        <v>46296.974966967595</v>
      </c>
      <c r="G185" s="68">
        <f>IF($A185="","",SUMPRODUCT((AttendanceLog!$E$2:$E$5000=$A185)*(AttendanceLog!$C$2:$C$5000&gt;=MAX($E185,Settings!$B$3))*((AttendanceLog!$I$2:$I$5000="")+(IFERROR(SEARCH(","&amp;$C185&amp;",",","&amp;AttendanceLog!$I$2:$I$5000&amp;","),0)&gt;0))))</f>
        <v>1</v>
      </c>
      <c r="H185" s="64">
        <f>IF($A185="","",SUMPRODUCT((EventLog!$C$2:$C$5000&gt;=MAX($E185,Settings!$B$3))*(EventLog!$C$2:$C$5000&lt;=TODAY())*((EventLog!$F$2:$F$5000="")+(IFERROR(SEARCH(","&amp;$C185&amp;",",","&amp;EventLog!$F$2:$F$5000&amp;","),0)&gt;0))))</f>
        <v>3</v>
      </c>
      <c r="I185" s="26">
        <f t="shared" si="1"/>
        <v>0.3333333333</v>
      </c>
      <c r="J185" s="20">
        <f>IFERROR(__xludf.DUMMYFUNCTION("IFERROR(MAX(FILTER(AttendanceLog!$C:$C,AttendanceLog!$E:$E=$A185,(AttendanceLog!$I:$I="""")+(IFERROR(SEARCH("",""&amp;$C185&amp;"","","",""&amp;AttendanceLog!$I:$I&amp;"",""),0)&gt;0))),"""")"),46305.33333333333)</f>
        <v>46305.33333</v>
      </c>
    </row>
    <row r="186" ht="15.75" customHeight="1">
      <c r="A186" s="19" t="s">
        <v>146</v>
      </c>
      <c r="C186" s="19" t="s">
        <v>41</v>
      </c>
      <c r="D186" s="19" t="s">
        <v>61</v>
      </c>
      <c r="E186" s="33">
        <v>46265.33333333333</v>
      </c>
      <c r="F186" s="33">
        <v>46296.974966967595</v>
      </c>
      <c r="G186" s="68">
        <f>IF($A186="","",SUMPRODUCT((AttendanceLog!$E$2:$E$5000=$A186)*(AttendanceLog!$C$2:$C$5000&gt;=MAX($E186,Settings!$B$3))*((AttendanceLog!$I$2:$I$5000="")+(IFERROR(SEARCH(","&amp;$C186&amp;",",","&amp;AttendanceLog!$I$2:$I$5000&amp;","),0)&gt;0))))</f>
        <v>2</v>
      </c>
      <c r="H186" s="64">
        <f>IF($A186="","",SUMPRODUCT((EventLog!$C$2:$C$5000&gt;=MAX($E186,Settings!$B$3))*(EventLog!$C$2:$C$5000&lt;=TODAY())*((EventLog!$F$2:$F$5000="")+(IFERROR(SEARCH(","&amp;$C186&amp;",",","&amp;EventLog!$F$2:$F$5000&amp;","),0)&gt;0))))</f>
        <v>3</v>
      </c>
      <c r="I186" s="26">
        <f t="shared" si="1"/>
        <v>0.6666666667</v>
      </c>
      <c r="J186" s="20">
        <f>IFERROR(__xludf.DUMMYFUNCTION("IFERROR(MAX(FILTER(AttendanceLog!$C:$C,AttendanceLog!$E:$E=$A186,(AttendanceLog!$I:$I="""")+(IFERROR(SEARCH("",""&amp;$C186&amp;"","","",""&amp;AttendanceLog!$I:$I&amp;"",""),0)&gt;0))),"""")"),46305.33333333333)</f>
        <v>46305.33333</v>
      </c>
    </row>
    <row r="187" ht="15.75" customHeight="1">
      <c r="A187" s="19" t="s">
        <v>145</v>
      </c>
      <c r="C187" s="19" t="s">
        <v>41</v>
      </c>
      <c r="D187" s="19" t="s">
        <v>61</v>
      </c>
      <c r="E187" s="33">
        <v>46265.33333333333</v>
      </c>
      <c r="F187" s="33">
        <v>46296.974966967595</v>
      </c>
      <c r="G187" s="68">
        <f>IF($A187="","",SUMPRODUCT((AttendanceLog!$E$2:$E$5000=$A187)*(AttendanceLog!$C$2:$C$5000&gt;=MAX($E187,Settings!$B$3))*((AttendanceLog!$I$2:$I$5000="")+(IFERROR(SEARCH(","&amp;$C187&amp;",",","&amp;AttendanceLog!$I$2:$I$5000&amp;","),0)&gt;0))))</f>
        <v>2</v>
      </c>
      <c r="H187" s="64">
        <f>IF($A187="","",SUMPRODUCT((EventLog!$C$2:$C$5000&gt;=MAX($E187,Settings!$B$3))*(EventLog!$C$2:$C$5000&lt;=TODAY())*((EventLog!$F$2:$F$5000="")+(IFERROR(SEARCH(","&amp;$C187&amp;",",","&amp;EventLog!$F$2:$F$5000&amp;","),0)&gt;0))))</f>
        <v>3</v>
      </c>
      <c r="I187" s="26">
        <f t="shared" si="1"/>
        <v>0.6666666667</v>
      </c>
      <c r="J187" s="20">
        <f>IFERROR(__xludf.DUMMYFUNCTION("IFERROR(MAX(FILTER(AttendanceLog!$C:$C,AttendanceLog!$E:$E=$A187,(AttendanceLog!$I:$I="""")+(IFERROR(SEARCH("",""&amp;$C187&amp;"","","",""&amp;AttendanceLog!$I:$I&amp;"",""),0)&gt;0))),"""")"),46305.33333333333)</f>
        <v>46305.33333</v>
      </c>
    </row>
    <row r="188" ht="15.75" customHeight="1">
      <c r="A188" s="19" t="s">
        <v>152</v>
      </c>
      <c r="C188" s="19" t="s">
        <v>41</v>
      </c>
      <c r="D188" s="19" t="s">
        <v>61</v>
      </c>
      <c r="E188" s="33">
        <v>46265.33333333333</v>
      </c>
      <c r="F188" s="33">
        <v>46296.974966967595</v>
      </c>
      <c r="G188" s="68">
        <f>IF($A188="","",SUMPRODUCT((AttendanceLog!$E$2:$E$5000=$A188)*(AttendanceLog!$C$2:$C$5000&gt;=MAX($E188,Settings!$B$3))*((AttendanceLog!$I$2:$I$5000="")+(IFERROR(SEARCH(","&amp;$C188&amp;",",","&amp;AttendanceLog!$I$2:$I$5000&amp;","),0)&gt;0))))</f>
        <v>2</v>
      </c>
      <c r="H188" s="64">
        <f>IF($A188="","",SUMPRODUCT((EventLog!$C$2:$C$5000&gt;=MAX($E188,Settings!$B$3))*(EventLog!$C$2:$C$5000&lt;=TODAY())*((EventLog!$F$2:$F$5000="")+(IFERROR(SEARCH(","&amp;$C188&amp;",",","&amp;EventLog!$F$2:$F$5000&amp;","),0)&gt;0))))</f>
        <v>3</v>
      </c>
      <c r="I188" s="26">
        <f t="shared" si="1"/>
        <v>0.6666666667</v>
      </c>
      <c r="J188" s="20">
        <f>IFERROR(__xludf.DUMMYFUNCTION("IFERROR(MAX(FILTER(AttendanceLog!$C:$C,AttendanceLog!$E:$E=$A188,(AttendanceLog!$I:$I="""")+(IFERROR(SEARCH("",""&amp;$C188&amp;"","","",""&amp;AttendanceLog!$I:$I&amp;"",""),0)&gt;0))),"""")"),46305.33333333333)</f>
        <v>46305.33333</v>
      </c>
    </row>
    <row r="189" ht="15.75" customHeight="1">
      <c r="A189" s="19" t="s">
        <v>149</v>
      </c>
      <c r="C189" s="19" t="s">
        <v>41</v>
      </c>
      <c r="D189" s="19" t="s">
        <v>61</v>
      </c>
      <c r="E189" s="33">
        <v>46265.33333333333</v>
      </c>
      <c r="F189" s="33">
        <v>46296.974966967595</v>
      </c>
      <c r="G189" s="68">
        <f>IF($A189="","",SUMPRODUCT((AttendanceLog!$E$2:$E$5000=$A189)*(AttendanceLog!$C$2:$C$5000&gt;=MAX($E189,Settings!$B$3))*((AttendanceLog!$I$2:$I$5000="")+(IFERROR(SEARCH(","&amp;$C189&amp;",",","&amp;AttendanceLog!$I$2:$I$5000&amp;","),0)&gt;0))))</f>
        <v>2</v>
      </c>
      <c r="H189" s="64">
        <f>IF($A189="","",SUMPRODUCT((EventLog!$C$2:$C$5000&gt;=MAX($E189,Settings!$B$3))*(EventLog!$C$2:$C$5000&lt;=TODAY())*((EventLog!$F$2:$F$5000="")+(IFERROR(SEARCH(","&amp;$C189&amp;",",","&amp;EventLog!$F$2:$F$5000&amp;","),0)&gt;0))))</f>
        <v>3</v>
      </c>
      <c r="I189" s="26">
        <f t="shared" si="1"/>
        <v>0.6666666667</v>
      </c>
      <c r="J189" s="20">
        <f>IFERROR(__xludf.DUMMYFUNCTION("IFERROR(MAX(FILTER(AttendanceLog!$C:$C,AttendanceLog!$E:$E=$A189,(AttendanceLog!$I:$I="""")+(IFERROR(SEARCH("",""&amp;$C189&amp;"","","",""&amp;AttendanceLog!$I:$I&amp;"",""),0)&gt;0))),"""")"),46305.33333333333)</f>
        <v>46305.33333</v>
      </c>
    </row>
    <row r="190" ht="15.75" customHeight="1">
      <c r="A190" s="19" t="s">
        <v>120</v>
      </c>
      <c r="C190" s="19" t="s">
        <v>41</v>
      </c>
      <c r="D190" s="19" t="s">
        <v>61</v>
      </c>
      <c r="E190" s="33">
        <v>46265.33333333333</v>
      </c>
      <c r="F190" s="33">
        <v>46296.974966967595</v>
      </c>
      <c r="G190" s="68">
        <f>IF($A190="","",SUMPRODUCT((AttendanceLog!$E$2:$E$5000=$A190)*(AttendanceLog!$C$2:$C$5000&gt;=MAX($E190,Settings!$B$3))*((AttendanceLog!$I$2:$I$5000="")+(IFERROR(SEARCH(","&amp;$C190&amp;",",","&amp;AttendanceLog!$I$2:$I$5000&amp;","),0)&gt;0))))</f>
        <v>2</v>
      </c>
      <c r="H190" s="64">
        <f>IF($A190="","",SUMPRODUCT((EventLog!$C$2:$C$5000&gt;=MAX($E190,Settings!$B$3))*(EventLog!$C$2:$C$5000&lt;=TODAY())*((EventLog!$F$2:$F$5000="")+(IFERROR(SEARCH(","&amp;$C190&amp;",",","&amp;EventLog!$F$2:$F$5000&amp;","),0)&gt;0))))</f>
        <v>3</v>
      </c>
      <c r="I190" s="26">
        <f t="shared" si="1"/>
        <v>0.6666666667</v>
      </c>
      <c r="J190" s="20">
        <f>IFERROR(__xludf.DUMMYFUNCTION("IFERROR(MAX(FILTER(AttendanceLog!$C:$C,AttendanceLog!$E:$E=$A190,(AttendanceLog!$I:$I="""")+(IFERROR(SEARCH("",""&amp;$C190&amp;"","","",""&amp;AttendanceLog!$I:$I&amp;"",""),0)&gt;0))),"""")"),46289.33333333333)</f>
        <v>46289.33333</v>
      </c>
    </row>
    <row r="191" ht="15.75" customHeight="1">
      <c r="A191" s="19" t="s">
        <v>178</v>
      </c>
      <c r="B191" s="19">
        <v>101.0</v>
      </c>
      <c r="C191" s="19" t="s">
        <v>42</v>
      </c>
      <c r="D191" s="19" t="s">
        <v>61</v>
      </c>
      <c r="E191" s="33">
        <v>46235.33333333333</v>
      </c>
      <c r="F191" s="33">
        <v>46297.113985081014</v>
      </c>
      <c r="G191" s="68">
        <f>IF($A191="","",SUMPRODUCT((AttendanceLog!$E$2:$E$5000=$A191)*(AttendanceLog!$C$2:$C$5000&gt;=MAX($E191,Settings!$B$3))*((AttendanceLog!$I$2:$I$5000="")+(IFERROR(SEARCH(","&amp;$C191&amp;",",","&amp;AttendanceLog!$I$2:$I$5000&amp;","),0)&gt;0))))</f>
        <v>1</v>
      </c>
      <c r="H191" s="64">
        <f>IF($A191="","",SUMPRODUCT((EventLog!$C$2:$C$5000&gt;=MAX($E191,Settings!$B$3))*(EventLog!$C$2:$C$5000&lt;=TODAY())*((EventLog!$F$2:$F$5000="")+(IFERROR(SEARCH(","&amp;$C191&amp;",",","&amp;EventLog!$F$2:$F$5000&amp;","),0)&gt;0))))</f>
        <v>4</v>
      </c>
      <c r="I191" s="26">
        <f t="shared" si="1"/>
        <v>0.25</v>
      </c>
      <c r="J191" s="20">
        <f>IFERROR(__xludf.DUMMYFUNCTION("IFERROR(MAX(FILTER(AttendanceLog!$C:$C,AttendanceLog!$E:$E=$A191,(AttendanceLog!$I:$I="""")+(IFERROR(SEARCH("",""&amp;$C191&amp;"","","",""&amp;AttendanceLog!$I:$I&amp;"",""),0)&gt;0))),"""")"),46304.0)</f>
        <v>46304</v>
      </c>
    </row>
    <row r="192" ht="15.75" customHeight="1">
      <c r="A192" s="19" t="s">
        <v>197</v>
      </c>
      <c r="B192" s="19">
        <v>102.0</v>
      </c>
      <c r="C192" s="19" t="s">
        <v>42</v>
      </c>
      <c r="D192" s="19" t="s">
        <v>61</v>
      </c>
      <c r="E192" s="33">
        <v>46235.33333333333</v>
      </c>
      <c r="F192" s="33">
        <v>46297.113985081014</v>
      </c>
      <c r="G192" s="68">
        <f>IF($A192="","",SUMPRODUCT((AttendanceLog!$E$2:$E$5000=$A192)*(AttendanceLog!$C$2:$C$5000&gt;=MAX($E192,Settings!$B$3))*((AttendanceLog!$I$2:$I$5000="")+(IFERROR(SEARCH(","&amp;$C192&amp;",",","&amp;AttendanceLog!$I$2:$I$5000&amp;","),0)&gt;0))))</f>
        <v>0</v>
      </c>
      <c r="H192" s="64">
        <f>IF($A192="","",SUMPRODUCT((EventLog!$C$2:$C$5000&gt;=MAX($E192,Settings!$B$3))*(EventLog!$C$2:$C$5000&lt;=TODAY())*((EventLog!$F$2:$F$5000="")+(IFERROR(SEARCH(","&amp;$C192&amp;",",","&amp;EventLog!$F$2:$F$5000&amp;","),0)&gt;0))))</f>
        <v>4</v>
      </c>
      <c r="I192" s="26">
        <f t="shared" si="1"/>
        <v>0</v>
      </c>
      <c r="J192" s="20" t="str">
        <f>IFERROR(__xludf.DUMMYFUNCTION("IFERROR(MAX(FILTER(AttendanceLog!$C:$C,AttendanceLog!$E:$E=$A192,(AttendanceLog!$I:$I="""")+(IFERROR(SEARCH("",""&amp;$C192&amp;"","","",""&amp;AttendanceLog!$I:$I&amp;"",""),0)&gt;0))),"""")"),"")</f>
        <v/>
      </c>
    </row>
    <row r="193" ht="15.75" customHeight="1">
      <c r="A193" s="19" t="s">
        <v>203</v>
      </c>
      <c r="B193" s="19">
        <v>103.0</v>
      </c>
      <c r="C193" s="19" t="s">
        <v>42</v>
      </c>
      <c r="D193" s="19" t="s">
        <v>61</v>
      </c>
      <c r="E193" s="33">
        <v>46235.33333333333</v>
      </c>
      <c r="F193" s="33">
        <v>46297.113985081014</v>
      </c>
      <c r="G193" s="68">
        <f>IF($A193="","",SUMPRODUCT((AttendanceLog!$E$2:$E$5000=$A193)*(AttendanceLog!$C$2:$C$5000&gt;=MAX($E193,Settings!$B$3))*((AttendanceLog!$I$2:$I$5000="")+(IFERROR(SEARCH(","&amp;$C193&amp;",",","&amp;AttendanceLog!$I$2:$I$5000&amp;","),0)&gt;0))))</f>
        <v>1</v>
      </c>
      <c r="H193" s="64">
        <f>IF($A193="","",SUMPRODUCT((EventLog!$C$2:$C$5000&gt;=MAX($E193,Settings!$B$3))*(EventLog!$C$2:$C$5000&lt;=TODAY())*((EventLog!$F$2:$F$5000="")+(IFERROR(SEARCH(","&amp;$C193&amp;",",","&amp;EventLog!$F$2:$F$5000&amp;","),0)&gt;0))))</f>
        <v>4</v>
      </c>
      <c r="I193" s="26">
        <f t="shared" si="1"/>
        <v>0.25</v>
      </c>
      <c r="J193" s="20">
        <f>IFERROR(__xludf.DUMMYFUNCTION("IFERROR(MAX(FILTER(AttendanceLog!$C:$C,AttendanceLog!$E:$E=$A193,(AttendanceLog!$I:$I="""")+(IFERROR(SEARCH("",""&amp;$C193&amp;"","","",""&amp;AttendanceLog!$I:$I&amp;"",""),0)&gt;0))),"""")"),46304.0)</f>
        <v>46304</v>
      </c>
    </row>
    <row r="194" ht="15.75" customHeight="1">
      <c r="A194" s="19" t="s">
        <v>189</v>
      </c>
      <c r="B194" s="19">
        <v>104.0</v>
      </c>
      <c r="C194" s="19" t="s">
        <v>42</v>
      </c>
      <c r="D194" s="19" t="s">
        <v>61</v>
      </c>
      <c r="E194" s="33">
        <v>46235.33333333333</v>
      </c>
      <c r="F194" s="33">
        <v>46297.113985081014</v>
      </c>
      <c r="G194" s="68">
        <f>IF($A194="","",SUMPRODUCT((AttendanceLog!$E$2:$E$5000=$A194)*(AttendanceLog!$C$2:$C$5000&gt;=MAX($E194,Settings!$B$3))*((AttendanceLog!$I$2:$I$5000="")+(IFERROR(SEARCH(","&amp;$C194&amp;",",","&amp;AttendanceLog!$I$2:$I$5000&amp;","),0)&gt;0))))</f>
        <v>4</v>
      </c>
      <c r="H194" s="64">
        <f>IF($A194="","",SUMPRODUCT((EventLog!$C$2:$C$5000&gt;=MAX($E194,Settings!$B$3))*(EventLog!$C$2:$C$5000&lt;=TODAY())*((EventLog!$F$2:$F$5000="")+(IFERROR(SEARCH(","&amp;$C194&amp;",",","&amp;EventLog!$F$2:$F$5000&amp;","),0)&gt;0))))</f>
        <v>4</v>
      </c>
      <c r="I194" s="26">
        <f t="shared" si="1"/>
        <v>1</v>
      </c>
      <c r="J194" s="20">
        <f>IFERROR(__xludf.DUMMYFUNCTION("IFERROR(MAX(FILTER(AttendanceLog!$C:$C,AttendanceLog!$E:$E=$A194,(AttendanceLog!$I:$I="""")+(IFERROR(SEARCH("",""&amp;$C194&amp;"","","",""&amp;AttendanceLog!$I:$I&amp;"",""),0)&gt;0))),"""")"),46306.0)</f>
        <v>46306</v>
      </c>
    </row>
    <row r="195" ht="15.75" customHeight="1">
      <c r="A195" s="19" t="s">
        <v>187</v>
      </c>
      <c r="B195" s="19">
        <v>105.0</v>
      </c>
      <c r="C195" s="19" t="s">
        <v>42</v>
      </c>
      <c r="D195" s="19" t="s">
        <v>61</v>
      </c>
      <c r="E195" s="33">
        <v>46235.33333333333</v>
      </c>
      <c r="F195" s="33">
        <v>46297.113985081014</v>
      </c>
      <c r="G195" s="68">
        <f>IF($A195="","",SUMPRODUCT((AttendanceLog!$E$2:$E$5000=$A195)*(AttendanceLog!$C$2:$C$5000&gt;=MAX($E195,Settings!$B$3))*((AttendanceLog!$I$2:$I$5000="")+(IFERROR(SEARCH(","&amp;$C195&amp;",",","&amp;AttendanceLog!$I$2:$I$5000&amp;","),0)&gt;0))))</f>
        <v>2</v>
      </c>
      <c r="H195" s="64">
        <f>IF($A195="","",SUMPRODUCT((EventLog!$C$2:$C$5000&gt;=MAX($E195,Settings!$B$3))*(EventLog!$C$2:$C$5000&lt;=TODAY())*((EventLog!$F$2:$F$5000="")+(IFERROR(SEARCH(","&amp;$C195&amp;",",","&amp;EventLog!$F$2:$F$5000&amp;","),0)&gt;0))))</f>
        <v>4</v>
      </c>
      <c r="I195" s="26">
        <f t="shared" si="1"/>
        <v>0.5</v>
      </c>
      <c r="J195" s="20">
        <f>IFERROR(__xludf.DUMMYFUNCTION("IFERROR(MAX(FILTER(AttendanceLog!$C:$C,AttendanceLog!$E:$E=$A195,(AttendanceLog!$I:$I="""")+(IFERROR(SEARCH("",""&amp;$C195&amp;"","","",""&amp;AttendanceLog!$I:$I&amp;"",""),0)&gt;0))),"""")"),46305.33333333333)</f>
        <v>46305.33333</v>
      </c>
    </row>
    <row r="196" ht="15.75" customHeight="1">
      <c r="A196" s="19" t="s">
        <v>212</v>
      </c>
      <c r="B196" s="19">
        <v>106.0</v>
      </c>
      <c r="C196" s="19" t="s">
        <v>42</v>
      </c>
      <c r="D196" s="19" t="s">
        <v>61</v>
      </c>
      <c r="E196" s="33">
        <v>46235.33333333333</v>
      </c>
      <c r="F196" s="33">
        <v>46297.113985081014</v>
      </c>
      <c r="G196" s="68">
        <f>IF($A196="","",SUMPRODUCT((AttendanceLog!$E$2:$E$5000=$A196)*(AttendanceLog!$C$2:$C$5000&gt;=MAX($E196,Settings!$B$3))*((AttendanceLog!$I$2:$I$5000="")+(IFERROR(SEARCH(","&amp;$C196&amp;",",","&amp;AttendanceLog!$I$2:$I$5000&amp;","),0)&gt;0))))</f>
        <v>2</v>
      </c>
      <c r="H196" s="64">
        <f>IF($A196="","",SUMPRODUCT((EventLog!$C$2:$C$5000&gt;=MAX($E196,Settings!$B$3))*(EventLog!$C$2:$C$5000&lt;=TODAY())*((EventLog!$F$2:$F$5000="")+(IFERROR(SEARCH(","&amp;$C196&amp;",",","&amp;EventLog!$F$2:$F$5000&amp;","),0)&gt;0))))</f>
        <v>4</v>
      </c>
      <c r="I196" s="26">
        <f t="shared" si="1"/>
        <v>0.5</v>
      </c>
      <c r="J196" s="20">
        <f>IFERROR(__xludf.DUMMYFUNCTION("IFERROR(MAX(FILTER(AttendanceLog!$C:$C,AttendanceLog!$E:$E=$A196,(AttendanceLog!$I:$I="""")+(IFERROR(SEARCH("",""&amp;$C196&amp;"","","",""&amp;AttendanceLog!$I:$I&amp;"",""),0)&gt;0))),"""")"),46305.33333333333)</f>
        <v>46305.33333</v>
      </c>
    </row>
    <row r="197" ht="15.75" customHeight="1">
      <c r="A197" s="19" t="s">
        <v>208</v>
      </c>
      <c r="B197" s="19">
        <v>107.0</v>
      </c>
      <c r="C197" s="19" t="s">
        <v>42</v>
      </c>
      <c r="D197" s="19" t="s">
        <v>61</v>
      </c>
      <c r="E197" s="33">
        <v>46235.33333333333</v>
      </c>
      <c r="F197" s="33">
        <v>46297.113985081014</v>
      </c>
      <c r="G197" s="68">
        <f>IF($A197="","",SUMPRODUCT((AttendanceLog!$E$2:$E$5000=$A197)*(AttendanceLog!$C$2:$C$5000&gt;=MAX($E197,Settings!$B$3))*((AttendanceLog!$I$2:$I$5000="")+(IFERROR(SEARCH(","&amp;$C197&amp;",",","&amp;AttendanceLog!$I$2:$I$5000&amp;","),0)&gt;0))))</f>
        <v>3</v>
      </c>
      <c r="H197" s="64">
        <f>IF($A197="","",SUMPRODUCT((EventLog!$C$2:$C$5000&gt;=MAX($E197,Settings!$B$3))*(EventLog!$C$2:$C$5000&lt;=TODAY())*((EventLog!$F$2:$F$5000="")+(IFERROR(SEARCH(","&amp;$C197&amp;",",","&amp;EventLog!$F$2:$F$5000&amp;","),0)&gt;0))))</f>
        <v>4</v>
      </c>
      <c r="I197" s="26">
        <f t="shared" si="1"/>
        <v>0.75</v>
      </c>
      <c r="J197" s="20">
        <f>IFERROR(__xludf.DUMMYFUNCTION("IFERROR(MAX(FILTER(AttendanceLog!$C:$C,AttendanceLog!$E:$E=$A197,(AttendanceLog!$I:$I="""")+(IFERROR(SEARCH("",""&amp;$C197&amp;"","","",""&amp;AttendanceLog!$I:$I&amp;"",""),0)&gt;0))),"""")"),46306.0)</f>
        <v>46306</v>
      </c>
    </row>
    <row r="198" ht="15.75" customHeight="1">
      <c r="A198" s="19" t="s">
        <v>186</v>
      </c>
      <c r="B198" s="19">
        <v>108.0</v>
      </c>
      <c r="C198" s="19" t="s">
        <v>42</v>
      </c>
      <c r="D198" s="19" t="s">
        <v>61</v>
      </c>
      <c r="E198" s="33">
        <v>46235.33333333333</v>
      </c>
      <c r="F198" s="33">
        <v>46297.113985081014</v>
      </c>
      <c r="G198" s="68">
        <f>IF($A198="","",SUMPRODUCT((AttendanceLog!$E$2:$E$5000=$A198)*(AttendanceLog!$C$2:$C$5000&gt;=MAX($E198,Settings!$B$3))*((AttendanceLog!$I$2:$I$5000="")+(IFERROR(SEARCH(","&amp;$C198&amp;",",","&amp;AttendanceLog!$I$2:$I$5000&amp;","),0)&gt;0))))</f>
        <v>0</v>
      </c>
      <c r="H198" s="64">
        <f>IF($A198="","",SUMPRODUCT((EventLog!$C$2:$C$5000&gt;=MAX($E198,Settings!$B$3))*(EventLog!$C$2:$C$5000&lt;=TODAY())*((EventLog!$F$2:$F$5000="")+(IFERROR(SEARCH(","&amp;$C198&amp;",",","&amp;EventLog!$F$2:$F$5000&amp;","),0)&gt;0))))</f>
        <v>4</v>
      </c>
      <c r="I198" s="26">
        <f t="shared" si="1"/>
        <v>0</v>
      </c>
      <c r="J198" s="20" t="str">
        <f>IFERROR(__xludf.DUMMYFUNCTION("IFERROR(MAX(FILTER(AttendanceLog!$C:$C,AttendanceLog!$E:$E=$A198,(AttendanceLog!$I:$I="""")+(IFERROR(SEARCH("",""&amp;$C198&amp;"","","",""&amp;AttendanceLog!$I:$I&amp;"",""),0)&gt;0))),"""")"),"")</f>
        <v/>
      </c>
    </row>
    <row r="199" ht="15.75" customHeight="1">
      <c r="A199" s="19" t="s">
        <v>174</v>
      </c>
      <c r="B199" s="19">
        <v>109.0</v>
      </c>
      <c r="C199" s="19" t="s">
        <v>42</v>
      </c>
      <c r="D199" s="19" t="s">
        <v>61</v>
      </c>
      <c r="E199" s="33">
        <v>46235.33333333333</v>
      </c>
      <c r="F199" s="33">
        <v>46297.113985081014</v>
      </c>
      <c r="G199" s="68">
        <f>IF($A199="","",SUMPRODUCT((AttendanceLog!$E$2:$E$5000=$A199)*(AttendanceLog!$C$2:$C$5000&gt;=MAX($E199,Settings!$B$3))*((AttendanceLog!$I$2:$I$5000="")+(IFERROR(SEARCH(","&amp;$C199&amp;",",","&amp;AttendanceLog!$I$2:$I$5000&amp;","),0)&gt;0))))</f>
        <v>0</v>
      </c>
      <c r="H199" s="64">
        <f>IF($A199="","",SUMPRODUCT((EventLog!$C$2:$C$5000&gt;=MAX($E199,Settings!$B$3))*(EventLog!$C$2:$C$5000&lt;=TODAY())*((EventLog!$F$2:$F$5000="")+(IFERROR(SEARCH(","&amp;$C199&amp;",",","&amp;EventLog!$F$2:$F$5000&amp;","),0)&gt;0))))</f>
        <v>4</v>
      </c>
      <c r="I199" s="26">
        <f t="shared" si="1"/>
        <v>0</v>
      </c>
      <c r="J199" s="20" t="str">
        <f>IFERROR(__xludf.DUMMYFUNCTION("IFERROR(MAX(FILTER(AttendanceLog!$C:$C,AttendanceLog!$E:$E=$A199,(AttendanceLog!$I:$I="""")+(IFERROR(SEARCH("",""&amp;$C199&amp;"","","",""&amp;AttendanceLog!$I:$I&amp;"",""),0)&gt;0))),"""")"),"")</f>
        <v/>
      </c>
    </row>
    <row r="200" ht="15.75" customHeight="1">
      <c r="A200" s="19" t="s">
        <v>214</v>
      </c>
      <c r="B200" s="19">
        <v>110.0</v>
      </c>
      <c r="C200" s="19" t="s">
        <v>42</v>
      </c>
      <c r="D200" s="19" t="s">
        <v>61</v>
      </c>
      <c r="E200" s="33">
        <v>46235.33333333333</v>
      </c>
      <c r="F200" s="33">
        <v>46297.113985081014</v>
      </c>
      <c r="G200" s="68">
        <f>IF($A200="","",SUMPRODUCT((AttendanceLog!$E$2:$E$5000=$A200)*(AttendanceLog!$C$2:$C$5000&gt;=MAX($E200,Settings!$B$3))*((AttendanceLog!$I$2:$I$5000="")+(IFERROR(SEARCH(","&amp;$C200&amp;",",","&amp;AttendanceLog!$I$2:$I$5000&amp;","),0)&gt;0))))</f>
        <v>4</v>
      </c>
      <c r="H200" s="64">
        <f>IF($A200="","",SUMPRODUCT((EventLog!$C$2:$C$5000&gt;=MAX($E200,Settings!$B$3))*(EventLog!$C$2:$C$5000&lt;=TODAY())*((EventLog!$F$2:$F$5000="")+(IFERROR(SEARCH(","&amp;$C200&amp;",",","&amp;EventLog!$F$2:$F$5000&amp;","),0)&gt;0))))</f>
        <v>4</v>
      </c>
      <c r="I200" s="26">
        <f t="shared" si="1"/>
        <v>1</v>
      </c>
      <c r="J200" s="20">
        <f>IFERROR(__xludf.DUMMYFUNCTION("IFERROR(MAX(FILTER(AttendanceLog!$C:$C,AttendanceLog!$E:$E=$A200,(AttendanceLog!$I:$I="""")+(IFERROR(SEARCH("",""&amp;$C200&amp;"","","",""&amp;AttendanceLog!$I:$I&amp;"",""),0)&gt;0))),"""")"),46306.0)</f>
        <v>46306</v>
      </c>
    </row>
    <row r="201" ht="15.75" customHeight="1">
      <c r="A201" s="19" t="s">
        <v>170</v>
      </c>
      <c r="B201" s="19">
        <v>111.0</v>
      </c>
      <c r="C201" s="19" t="s">
        <v>42</v>
      </c>
      <c r="D201" s="19" t="s">
        <v>61</v>
      </c>
      <c r="E201" s="33">
        <v>46235.33333333333</v>
      </c>
      <c r="F201" s="33">
        <v>46297.113985081014</v>
      </c>
      <c r="G201" s="68">
        <f>IF($A201="","",SUMPRODUCT((AttendanceLog!$E$2:$E$5000=$A201)*(AttendanceLog!$C$2:$C$5000&gt;=MAX($E201,Settings!$B$3))*((AttendanceLog!$I$2:$I$5000="")+(IFERROR(SEARCH(","&amp;$C201&amp;",",","&amp;AttendanceLog!$I$2:$I$5000&amp;","),0)&gt;0))))</f>
        <v>0</v>
      </c>
      <c r="H201" s="64">
        <f>IF($A201="","",SUMPRODUCT((EventLog!$C$2:$C$5000&gt;=MAX($E201,Settings!$B$3))*(EventLog!$C$2:$C$5000&lt;=TODAY())*((EventLog!$F$2:$F$5000="")+(IFERROR(SEARCH(","&amp;$C201&amp;",",","&amp;EventLog!$F$2:$F$5000&amp;","),0)&gt;0))))</f>
        <v>4</v>
      </c>
      <c r="I201" s="26">
        <f t="shared" si="1"/>
        <v>0</v>
      </c>
      <c r="J201" s="20" t="str">
        <f>IFERROR(__xludf.DUMMYFUNCTION("IFERROR(MAX(FILTER(AttendanceLog!$C:$C,AttendanceLog!$E:$E=$A201,(AttendanceLog!$I:$I="""")+(IFERROR(SEARCH("",""&amp;$C201&amp;"","","",""&amp;AttendanceLog!$I:$I&amp;"",""),0)&gt;0))),"""")"),"")</f>
        <v/>
      </c>
    </row>
    <row r="202" ht="15.75" customHeight="1">
      <c r="A202" s="19" t="s">
        <v>193</v>
      </c>
      <c r="B202" s="19">
        <v>112.0</v>
      </c>
      <c r="C202" s="19" t="s">
        <v>42</v>
      </c>
      <c r="D202" s="19" t="s">
        <v>61</v>
      </c>
      <c r="E202" s="33">
        <v>46235.33333333333</v>
      </c>
      <c r="F202" s="33">
        <v>46297.113985081014</v>
      </c>
      <c r="G202" s="68">
        <f>IF($A202="","",SUMPRODUCT((AttendanceLog!$E$2:$E$5000=$A202)*(AttendanceLog!$C$2:$C$5000&gt;=MAX($E202,Settings!$B$3))*((AttendanceLog!$I$2:$I$5000="")+(IFERROR(SEARCH(","&amp;$C202&amp;",",","&amp;AttendanceLog!$I$2:$I$5000&amp;","),0)&gt;0))))</f>
        <v>3</v>
      </c>
      <c r="H202" s="64">
        <f>IF($A202="","",SUMPRODUCT((EventLog!$C$2:$C$5000&gt;=MAX($E202,Settings!$B$3))*(EventLog!$C$2:$C$5000&lt;=TODAY())*((EventLog!$F$2:$F$5000="")+(IFERROR(SEARCH(","&amp;$C202&amp;",",","&amp;EventLog!$F$2:$F$5000&amp;","),0)&gt;0))))</f>
        <v>4</v>
      </c>
      <c r="I202" s="26">
        <f t="shared" si="1"/>
        <v>0.75</v>
      </c>
      <c r="J202" s="20">
        <f>IFERROR(__xludf.DUMMYFUNCTION("IFERROR(MAX(FILTER(AttendanceLog!$C:$C,AttendanceLog!$E:$E=$A202,(AttendanceLog!$I:$I="""")+(IFERROR(SEARCH("",""&amp;$C202&amp;"","","",""&amp;AttendanceLog!$I:$I&amp;"",""),0)&gt;0))),"""")"),46306.0)</f>
        <v>46306</v>
      </c>
    </row>
    <row r="203" ht="15.75" customHeight="1">
      <c r="A203" s="19" t="s">
        <v>192</v>
      </c>
      <c r="B203" s="19">
        <v>113.0</v>
      </c>
      <c r="C203" s="19" t="s">
        <v>42</v>
      </c>
      <c r="D203" s="19" t="s">
        <v>61</v>
      </c>
      <c r="E203" s="33">
        <v>46235.33333333333</v>
      </c>
      <c r="F203" s="33">
        <v>46297.113985081014</v>
      </c>
      <c r="G203" s="68">
        <f>IF($A203="","",SUMPRODUCT((AttendanceLog!$E$2:$E$5000=$A203)*(AttendanceLog!$C$2:$C$5000&gt;=MAX($E203,Settings!$B$3))*((AttendanceLog!$I$2:$I$5000="")+(IFERROR(SEARCH(","&amp;$C203&amp;",",","&amp;AttendanceLog!$I$2:$I$5000&amp;","),0)&gt;0))))</f>
        <v>0</v>
      </c>
      <c r="H203" s="64">
        <f>IF($A203="","",SUMPRODUCT((EventLog!$C$2:$C$5000&gt;=MAX($E203,Settings!$B$3))*(EventLog!$C$2:$C$5000&lt;=TODAY())*((EventLog!$F$2:$F$5000="")+(IFERROR(SEARCH(","&amp;$C203&amp;",",","&amp;EventLog!$F$2:$F$5000&amp;","),0)&gt;0))))</f>
        <v>4</v>
      </c>
      <c r="I203" s="26">
        <f t="shared" si="1"/>
        <v>0</v>
      </c>
      <c r="J203" s="20" t="str">
        <f>IFERROR(__xludf.DUMMYFUNCTION("IFERROR(MAX(FILTER(AttendanceLog!$C:$C,AttendanceLog!$E:$E=$A203,(AttendanceLog!$I:$I="""")+(IFERROR(SEARCH("",""&amp;$C203&amp;"","","",""&amp;AttendanceLog!$I:$I&amp;"",""),0)&gt;0))),"""")"),"")</f>
        <v/>
      </c>
    </row>
    <row r="204" ht="15.75" customHeight="1">
      <c r="A204" s="19" t="s">
        <v>206</v>
      </c>
      <c r="B204" s="19">
        <v>114.0</v>
      </c>
      <c r="C204" s="19" t="s">
        <v>42</v>
      </c>
      <c r="D204" s="19" t="s">
        <v>61</v>
      </c>
      <c r="E204" s="33">
        <v>46235.33333333333</v>
      </c>
      <c r="F204" s="33">
        <v>46297.113985081014</v>
      </c>
      <c r="G204" s="68">
        <f>IF($A204="","",SUMPRODUCT((AttendanceLog!$E$2:$E$5000=$A204)*(AttendanceLog!$C$2:$C$5000&gt;=MAX($E204,Settings!$B$3))*((AttendanceLog!$I$2:$I$5000="")+(IFERROR(SEARCH(","&amp;$C204&amp;",",","&amp;AttendanceLog!$I$2:$I$5000&amp;","),0)&gt;0))))</f>
        <v>3</v>
      </c>
      <c r="H204" s="64">
        <f>IF($A204="","",SUMPRODUCT((EventLog!$C$2:$C$5000&gt;=MAX($E204,Settings!$B$3))*(EventLog!$C$2:$C$5000&lt;=TODAY())*((EventLog!$F$2:$F$5000="")+(IFERROR(SEARCH(","&amp;$C204&amp;",",","&amp;EventLog!$F$2:$F$5000&amp;","),0)&gt;0))))</f>
        <v>4</v>
      </c>
      <c r="I204" s="26">
        <f t="shared" si="1"/>
        <v>0.75</v>
      </c>
      <c r="J204" s="20">
        <f>IFERROR(__xludf.DUMMYFUNCTION("IFERROR(MAX(FILTER(AttendanceLog!$C:$C,AttendanceLog!$E:$E=$A204,(AttendanceLog!$I:$I="""")+(IFERROR(SEARCH("",""&amp;$C204&amp;"","","",""&amp;AttendanceLog!$I:$I&amp;"",""),0)&gt;0))),"""")"),46305.33333333333)</f>
        <v>46305.33333</v>
      </c>
    </row>
    <row r="205" ht="15.75" customHeight="1">
      <c r="A205" s="19" t="s">
        <v>175</v>
      </c>
      <c r="B205" s="19">
        <v>201.0</v>
      </c>
      <c r="C205" s="19" t="s">
        <v>42</v>
      </c>
      <c r="D205" s="19" t="s">
        <v>61</v>
      </c>
      <c r="E205" s="33">
        <v>46235.33333333333</v>
      </c>
      <c r="F205" s="33">
        <v>46297.113985081014</v>
      </c>
      <c r="G205" s="68">
        <f>IF($A205="","",SUMPRODUCT((AttendanceLog!$E$2:$E$5000=$A205)*(AttendanceLog!$C$2:$C$5000&gt;=MAX($E205,Settings!$B$3))*((AttendanceLog!$I$2:$I$5000="")+(IFERROR(SEARCH(","&amp;$C205&amp;",",","&amp;AttendanceLog!$I$2:$I$5000&amp;","),0)&gt;0))))</f>
        <v>0</v>
      </c>
      <c r="H205" s="64">
        <f>IF($A205="","",SUMPRODUCT((EventLog!$C$2:$C$5000&gt;=MAX($E205,Settings!$B$3))*(EventLog!$C$2:$C$5000&lt;=TODAY())*((EventLog!$F$2:$F$5000="")+(IFERROR(SEARCH(","&amp;$C205&amp;",",","&amp;EventLog!$F$2:$F$5000&amp;","),0)&gt;0))))</f>
        <v>4</v>
      </c>
      <c r="I205" s="26">
        <f t="shared" si="1"/>
        <v>0</v>
      </c>
      <c r="J205" s="20" t="str">
        <f>IFERROR(__xludf.DUMMYFUNCTION("IFERROR(MAX(FILTER(AttendanceLog!$C:$C,AttendanceLog!$E:$E=$A205,(AttendanceLog!$I:$I="""")+(IFERROR(SEARCH("",""&amp;$C205&amp;"","","",""&amp;AttendanceLog!$I:$I&amp;"",""),0)&gt;0))),"""")"),"")</f>
        <v/>
      </c>
    </row>
    <row r="206" ht="15.75" customHeight="1">
      <c r="A206" s="19" t="s">
        <v>211</v>
      </c>
      <c r="B206" s="19">
        <v>202.0</v>
      </c>
      <c r="C206" s="19" t="s">
        <v>42</v>
      </c>
      <c r="D206" s="19" t="s">
        <v>61</v>
      </c>
      <c r="E206" s="33">
        <v>46235.33333333333</v>
      </c>
      <c r="F206" s="33">
        <v>46297.113985081014</v>
      </c>
      <c r="G206" s="68">
        <f>IF($A206="","",SUMPRODUCT((AttendanceLog!$E$2:$E$5000=$A206)*(AttendanceLog!$C$2:$C$5000&gt;=MAX($E206,Settings!$B$3))*((AttendanceLog!$I$2:$I$5000="")+(IFERROR(SEARCH(","&amp;$C206&amp;",",","&amp;AttendanceLog!$I$2:$I$5000&amp;","),0)&gt;0))))</f>
        <v>2</v>
      </c>
      <c r="H206" s="64">
        <f>IF($A206="","",SUMPRODUCT((EventLog!$C$2:$C$5000&gt;=MAX($E206,Settings!$B$3))*(EventLog!$C$2:$C$5000&lt;=TODAY())*((EventLog!$F$2:$F$5000="")+(IFERROR(SEARCH(","&amp;$C206&amp;",",","&amp;EventLog!$F$2:$F$5000&amp;","),0)&gt;0))))</f>
        <v>4</v>
      </c>
      <c r="I206" s="26">
        <f t="shared" si="1"/>
        <v>0.5</v>
      </c>
      <c r="J206" s="20">
        <f>IFERROR(__xludf.DUMMYFUNCTION("IFERROR(MAX(FILTER(AttendanceLog!$C:$C,AttendanceLog!$E:$E=$A206,(AttendanceLog!$I:$I="""")+(IFERROR(SEARCH("",""&amp;$C206&amp;"","","",""&amp;AttendanceLog!$I:$I&amp;"",""),0)&gt;0))),"""")"),46306.0)</f>
        <v>46306</v>
      </c>
    </row>
    <row r="207" ht="15.75" customHeight="1">
      <c r="A207" s="19" t="s">
        <v>216</v>
      </c>
      <c r="B207" s="19">
        <v>203.0</v>
      </c>
      <c r="C207" s="19" t="s">
        <v>42</v>
      </c>
      <c r="D207" s="19" t="s">
        <v>61</v>
      </c>
      <c r="E207" s="33">
        <v>46235.33333333333</v>
      </c>
      <c r="F207" s="33">
        <v>46297.113985081014</v>
      </c>
      <c r="G207" s="68">
        <f>IF($A207="","",SUMPRODUCT((AttendanceLog!$E$2:$E$5000=$A207)*(AttendanceLog!$C$2:$C$5000&gt;=MAX($E207,Settings!$B$3))*((AttendanceLog!$I$2:$I$5000="")+(IFERROR(SEARCH(","&amp;$C207&amp;",",","&amp;AttendanceLog!$I$2:$I$5000&amp;","),0)&gt;0))))</f>
        <v>4</v>
      </c>
      <c r="H207" s="64">
        <f>IF($A207="","",SUMPRODUCT((EventLog!$C$2:$C$5000&gt;=MAX($E207,Settings!$B$3))*(EventLog!$C$2:$C$5000&lt;=TODAY())*((EventLog!$F$2:$F$5000="")+(IFERROR(SEARCH(","&amp;$C207&amp;",",","&amp;EventLog!$F$2:$F$5000&amp;","),0)&gt;0))))</f>
        <v>4</v>
      </c>
      <c r="I207" s="26">
        <f t="shared" si="1"/>
        <v>1</v>
      </c>
      <c r="J207" s="20">
        <f>IFERROR(__xludf.DUMMYFUNCTION("IFERROR(MAX(FILTER(AttendanceLog!$C:$C,AttendanceLog!$E:$E=$A207,(AttendanceLog!$I:$I="""")+(IFERROR(SEARCH("",""&amp;$C207&amp;"","","",""&amp;AttendanceLog!$I:$I&amp;"",""),0)&gt;0))),"""")"),46306.0)</f>
        <v>46306</v>
      </c>
    </row>
    <row r="208" ht="15.75" customHeight="1">
      <c r="A208" s="19" t="s">
        <v>213</v>
      </c>
      <c r="B208" s="19">
        <v>204.0</v>
      </c>
      <c r="C208" s="19" t="s">
        <v>42</v>
      </c>
      <c r="D208" s="19" t="s">
        <v>61</v>
      </c>
      <c r="E208" s="33">
        <v>46235.33333333333</v>
      </c>
      <c r="F208" s="33">
        <v>46297.113985081014</v>
      </c>
      <c r="G208" s="68">
        <f>IF($A208="","",SUMPRODUCT((AttendanceLog!$E$2:$E$5000=$A208)*(AttendanceLog!$C$2:$C$5000&gt;=MAX($E208,Settings!$B$3))*((AttendanceLog!$I$2:$I$5000="")+(IFERROR(SEARCH(","&amp;$C208&amp;",",","&amp;AttendanceLog!$I$2:$I$5000&amp;","),0)&gt;0))))</f>
        <v>0</v>
      </c>
      <c r="H208" s="64">
        <f>IF($A208="","",SUMPRODUCT((EventLog!$C$2:$C$5000&gt;=MAX($E208,Settings!$B$3))*(EventLog!$C$2:$C$5000&lt;=TODAY())*((EventLog!$F$2:$F$5000="")+(IFERROR(SEARCH(","&amp;$C208&amp;",",","&amp;EventLog!$F$2:$F$5000&amp;","),0)&gt;0))))</f>
        <v>4</v>
      </c>
      <c r="I208" s="26">
        <f t="shared" si="1"/>
        <v>0</v>
      </c>
      <c r="J208" s="20" t="str">
        <f>IFERROR(__xludf.DUMMYFUNCTION("IFERROR(MAX(FILTER(AttendanceLog!$C:$C,AttendanceLog!$E:$E=$A208,(AttendanceLog!$I:$I="""")+(IFERROR(SEARCH("",""&amp;$C208&amp;"","","",""&amp;AttendanceLog!$I:$I&amp;"",""),0)&gt;0))),"""")"),"")</f>
        <v/>
      </c>
    </row>
    <row r="209" ht="15.75" customHeight="1">
      <c r="A209" s="19" t="s">
        <v>205</v>
      </c>
      <c r="B209" s="19">
        <v>205.0</v>
      </c>
      <c r="C209" s="19" t="s">
        <v>42</v>
      </c>
      <c r="D209" s="19" t="s">
        <v>61</v>
      </c>
      <c r="E209" s="33">
        <v>46235.33333333333</v>
      </c>
      <c r="F209" s="33">
        <v>46297.113985081014</v>
      </c>
      <c r="G209" s="68">
        <f>IF($A209="","",SUMPRODUCT((AttendanceLog!$E$2:$E$5000=$A209)*(AttendanceLog!$C$2:$C$5000&gt;=MAX($E209,Settings!$B$3))*((AttendanceLog!$I$2:$I$5000="")+(IFERROR(SEARCH(","&amp;$C209&amp;",",","&amp;AttendanceLog!$I$2:$I$5000&amp;","),0)&gt;0))))</f>
        <v>1</v>
      </c>
      <c r="H209" s="64">
        <f>IF($A209="","",SUMPRODUCT((EventLog!$C$2:$C$5000&gt;=MAX($E209,Settings!$B$3))*(EventLog!$C$2:$C$5000&lt;=TODAY())*((EventLog!$F$2:$F$5000="")+(IFERROR(SEARCH(","&amp;$C209&amp;",",","&amp;EventLog!$F$2:$F$5000&amp;","),0)&gt;0))))</f>
        <v>4</v>
      </c>
      <c r="I209" s="26">
        <f t="shared" si="1"/>
        <v>0.25</v>
      </c>
      <c r="J209" s="20">
        <f>IFERROR(__xludf.DUMMYFUNCTION("IFERROR(MAX(FILTER(AttendanceLog!$C:$C,AttendanceLog!$E:$E=$A209,(AttendanceLog!$I:$I="""")+(IFERROR(SEARCH("",""&amp;$C209&amp;"","","",""&amp;AttendanceLog!$I:$I&amp;"",""),0)&gt;0))),"""")"),46276.0)</f>
        <v>46276</v>
      </c>
    </row>
    <row r="210" ht="15.75" customHeight="1">
      <c r="A210" s="19" t="s">
        <v>194</v>
      </c>
      <c r="B210" s="19">
        <v>206.0</v>
      </c>
      <c r="C210" s="19" t="s">
        <v>42</v>
      </c>
      <c r="D210" s="19" t="s">
        <v>61</v>
      </c>
      <c r="E210" s="33">
        <v>46235.33333333333</v>
      </c>
      <c r="F210" s="33">
        <v>46297.113985081014</v>
      </c>
      <c r="G210" s="68">
        <f>IF($A210="","",SUMPRODUCT((AttendanceLog!$E$2:$E$5000=$A210)*(AttendanceLog!$C$2:$C$5000&gt;=MAX($E210,Settings!$B$3))*((AttendanceLog!$I$2:$I$5000="")+(IFERROR(SEARCH(","&amp;$C210&amp;",",","&amp;AttendanceLog!$I$2:$I$5000&amp;","),0)&gt;0))))</f>
        <v>2</v>
      </c>
      <c r="H210" s="64">
        <f>IF($A210="","",SUMPRODUCT((EventLog!$C$2:$C$5000&gt;=MAX($E210,Settings!$B$3))*(EventLog!$C$2:$C$5000&lt;=TODAY())*((EventLog!$F$2:$F$5000="")+(IFERROR(SEARCH(","&amp;$C210&amp;",",","&amp;EventLog!$F$2:$F$5000&amp;","),0)&gt;0))))</f>
        <v>4</v>
      </c>
      <c r="I210" s="26">
        <f t="shared" si="1"/>
        <v>0.5</v>
      </c>
      <c r="J210" s="20">
        <f>IFERROR(__xludf.DUMMYFUNCTION("IFERROR(MAX(FILTER(AttendanceLog!$C:$C,AttendanceLog!$E:$E=$A210,(AttendanceLog!$I:$I="""")+(IFERROR(SEARCH("",""&amp;$C210&amp;"","","",""&amp;AttendanceLog!$I:$I&amp;"",""),0)&gt;0))),"""")"),46305.33333333333)</f>
        <v>46305.33333</v>
      </c>
    </row>
    <row r="211" ht="15.75" customHeight="1">
      <c r="A211" s="19" t="s">
        <v>171</v>
      </c>
      <c r="B211" s="19">
        <v>207.0</v>
      </c>
      <c r="C211" s="19" t="s">
        <v>42</v>
      </c>
      <c r="D211" s="19" t="s">
        <v>61</v>
      </c>
      <c r="E211" s="33">
        <v>46235.33333333333</v>
      </c>
      <c r="F211" s="33">
        <v>46297.113985081014</v>
      </c>
      <c r="G211" s="68">
        <f>IF($A211="","",SUMPRODUCT((AttendanceLog!$E$2:$E$5000=$A211)*(AttendanceLog!$C$2:$C$5000&gt;=MAX($E211,Settings!$B$3))*((AttendanceLog!$I$2:$I$5000="")+(IFERROR(SEARCH(","&amp;$C211&amp;",",","&amp;AttendanceLog!$I$2:$I$5000&amp;","),0)&gt;0))))</f>
        <v>0</v>
      </c>
      <c r="H211" s="64">
        <f>IF($A211="","",SUMPRODUCT((EventLog!$C$2:$C$5000&gt;=MAX($E211,Settings!$B$3))*(EventLog!$C$2:$C$5000&lt;=TODAY())*((EventLog!$F$2:$F$5000="")+(IFERROR(SEARCH(","&amp;$C211&amp;",",","&amp;EventLog!$F$2:$F$5000&amp;","),0)&gt;0))))</f>
        <v>4</v>
      </c>
      <c r="I211" s="26">
        <f t="shared" si="1"/>
        <v>0</v>
      </c>
      <c r="J211" s="20" t="str">
        <f>IFERROR(__xludf.DUMMYFUNCTION("IFERROR(MAX(FILTER(AttendanceLog!$C:$C,AttendanceLog!$E:$E=$A211,(AttendanceLog!$I:$I="""")+(IFERROR(SEARCH("",""&amp;$C211&amp;"","","",""&amp;AttendanceLog!$I:$I&amp;"",""),0)&gt;0))),"""")"),"")</f>
        <v/>
      </c>
    </row>
    <row r="212" ht="15.75" customHeight="1">
      <c r="A212" s="19" t="s">
        <v>190</v>
      </c>
      <c r="B212" s="19">
        <v>208.0</v>
      </c>
      <c r="C212" s="19" t="s">
        <v>42</v>
      </c>
      <c r="D212" s="19" t="s">
        <v>61</v>
      </c>
      <c r="E212" s="33">
        <v>46235.33333333333</v>
      </c>
      <c r="F212" s="33">
        <v>46297.113985081014</v>
      </c>
      <c r="G212" s="68">
        <f>IF($A212="","",SUMPRODUCT((AttendanceLog!$E$2:$E$5000=$A212)*(AttendanceLog!$C$2:$C$5000&gt;=MAX($E212,Settings!$B$3))*((AttendanceLog!$I$2:$I$5000="")+(IFERROR(SEARCH(","&amp;$C212&amp;",",","&amp;AttendanceLog!$I$2:$I$5000&amp;","),0)&gt;0))))</f>
        <v>3</v>
      </c>
      <c r="H212" s="64">
        <f>IF($A212="","",SUMPRODUCT((EventLog!$C$2:$C$5000&gt;=MAX($E212,Settings!$B$3))*(EventLog!$C$2:$C$5000&lt;=TODAY())*((EventLog!$F$2:$F$5000="")+(IFERROR(SEARCH(","&amp;$C212&amp;",",","&amp;EventLog!$F$2:$F$5000&amp;","),0)&gt;0))))</f>
        <v>4</v>
      </c>
      <c r="I212" s="26">
        <f t="shared" si="1"/>
        <v>0.75</v>
      </c>
      <c r="J212" s="20">
        <f>IFERROR(__xludf.DUMMYFUNCTION("IFERROR(MAX(FILTER(AttendanceLog!$C:$C,AttendanceLog!$E:$E=$A212,(AttendanceLog!$I:$I="""")+(IFERROR(SEARCH("",""&amp;$C212&amp;"","","",""&amp;AttendanceLog!$I:$I&amp;"",""),0)&gt;0))),"""")"),46306.0)</f>
        <v>46306</v>
      </c>
    </row>
    <row r="213" ht="15.75" customHeight="1">
      <c r="A213" s="19" t="s">
        <v>195</v>
      </c>
      <c r="B213" s="19">
        <v>209.0</v>
      </c>
      <c r="C213" s="19" t="s">
        <v>42</v>
      </c>
      <c r="D213" s="19" t="s">
        <v>61</v>
      </c>
      <c r="E213" s="33">
        <v>46235.33333333333</v>
      </c>
      <c r="F213" s="33">
        <v>46297.113985081014</v>
      </c>
      <c r="G213" s="68">
        <f>IF($A213="","",SUMPRODUCT((AttendanceLog!$E$2:$E$5000=$A213)*(AttendanceLog!$C$2:$C$5000&gt;=MAX($E213,Settings!$B$3))*((AttendanceLog!$I$2:$I$5000="")+(IFERROR(SEARCH(","&amp;$C213&amp;",",","&amp;AttendanceLog!$I$2:$I$5000&amp;","),0)&gt;0))))</f>
        <v>2</v>
      </c>
      <c r="H213" s="64">
        <f>IF($A213="","",SUMPRODUCT((EventLog!$C$2:$C$5000&gt;=MAX($E213,Settings!$B$3))*(EventLog!$C$2:$C$5000&lt;=TODAY())*((EventLog!$F$2:$F$5000="")+(IFERROR(SEARCH(","&amp;$C213&amp;",",","&amp;EventLog!$F$2:$F$5000&amp;","),0)&gt;0))))</f>
        <v>4</v>
      </c>
      <c r="I213" s="26">
        <f t="shared" si="1"/>
        <v>0.5</v>
      </c>
      <c r="J213" s="20">
        <f>IFERROR(__xludf.DUMMYFUNCTION("IFERROR(MAX(FILTER(AttendanceLog!$C:$C,AttendanceLog!$E:$E=$A213,(AttendanceLog!$I:$I="""")+(IFERROR(SEARCH("",""&amp;$C213&amp;"","","",""&amp;AttendanceLog!$I:$I&amp;"",""),0)&gt;0))),"""")"),46305.33333333333)</f>
        <v>46305.33333</v>
      </c>
    </row>
    <row r="214" ht="15.75" customHeight="1">
      <c r="A214" s="19" t="s">
        <v>191</v>
      </c>
      <c r="B214" s="19">
        <v>210.0</v>
      </c>
      <c r="C214" s="19" t="s">
        <v>42</v>
      </c>
      <c r="D214" s="19" t="s">
        <v>61</v>
      </c>
      <c r="E214" s="33">
        <v>46235.33333333333</v>
      </c>
      <c r="F214" s="33">
        <v>46297.113985081014</v>
      </c>
      <c r="G214" s="68">
        <f>IF($A214="","",SUMPRODUCT((AttendanceLog!$E$2:$E$5000=$A214)*(AttendanceLog!$C$2:$C$5000&gt;=MAX($E214,Settings!$B$3))*((AttendanceLog!$I$2:$I$5000="")+(IFERROR(SEARCH(","&amp;$C214&amp;",",","&amp;AttendanceLog!$I$2:$I$5000&amp;","),0)&gt;0))))</f>
        <v>3</v>
      </c>
      <c r="H214" s="64">
        <f>IF($A214="","",SUMPRODUCT((EventLog!$C$2:$C$5000&gt;=MAX($E214,Settings!$B$3))*(EventLog!$C$2:$C$5000&lt;=TODAY())*((EventLog!$F$2:$F$5000="")+(IFERROR(SEARCH(","&amp;$C214&amp;",",","&amp;EventLog!$F$2:$F$5000&amp;","),0)&gt;0))))</f>
        <v>4</v>
      </c>
      <c r="I214" s="26">
        <f t="shared" si="1"/>
        <v>0.75</v>
      </c>
      <c r="J214" s="20">
        <f>IFERROR(__xludf.DUMMYFUNCTION("IFERROR(MAX(FILTER(AttendanceLog!$C:$C,AttendanceLog!$E:$E=$A214,(AttendanceLog!$I:$I="""")+(IFERROR(SEARCH("",""&amp;$C214&amp;"","","",""&amp;AttendanceLog!$I:$I&amp;"",""),0)&gt;0))),"""")"),46305.33333333333)</f>
        <v>46305.33333</v>
      </c>
    </row>
    <row r="215" ht="15.75" customHeight="1">
      <c r="A215" s="19" t="s">
        <v>210</v>
      </c>
      <c r="B215" s="19">
        <v>211.0</v>
      </c>
      <c r="C215" s="19" t="s">
        <v>42</v>
      </c>
      <c r="D215" s="19" t="s">
        <v>61</v>
      </c>
      <c r="E215" s="33">
        <v>46235.33333333333</v>
      </c>
      <c r="F215" s="33">
        <v>46297.113985081014</v>
      </c>
      <c r="G215" s="68">
        <f>IF($A215="","",SUMPRODUCT((AttendanceLog!$E$2:$E$5000=$A215)*(AttendanceLog!$C$2:$C$5000&gt;=MAX($E215,Settings!$B$3))*((AttendanceLog!$I$2:$I$5000="")+(IFERROR(SEARCH(","&amp;$C215&amp;",",","&amp;AttendanceLog!$I$2:$I$5000&amp;","),0)&gt;0))))</f>
        <v>4</v>
      </c>
      <c r="H215" s="64">
        <f>IF($A215="","",SUMPRODUCT((EventLog!$C$2:$C$5000&gt;=MAX($E215,Settings!$B$3))*(EventLog!$C$2:$C$5000&lt;=TODAY())*((EventLog!$F$2:$F$5000="")+(IFERROR(SEARCH(","&amp;$C215&amp;",",","&amp;EventLog!$F$2:$F$5000&amp;","),0)&gt;0))))</f>
        <v>4</v>
      </c>
      <c r="I215" s="26">
        <f t="shared" si="1"/>
        <v>1</v>
      </c>
      <c r="J215" s="20">
        <f>IFERROR(__xludf.DUMMYFUNCTION("IFERROR(MAX(FILTER(AttendanceLog!$C:$C,AttendanceLog!$E:$E=$A215,(AttendanceLog!$I:$I="""")+(IFERROR(SEARCH("",""&amp;$C215&amp;"","","",""&amp;AttendanceLog!$I:$I&amp;"",""),0)&gt;0))),"""")"),46306.0)</f>
        <v>46306</v>
      </c>
    </row>
    <row r="216" ht="15.75" customHeight="1">
      <c r="A216" s="19" t="s">
        <v>204</v>
      </c>
      <c r="B216" s="19">
        <v>212.0</v>
      </c>
      <c r="C216" s="19" t="s">
        <v>42</v>
      </c>
      <c r="D216" s="19" t="s">
        <v>61</v>
      </c>
      <c r="E216" s="33">
        <v>46235.33333333333</v>
      </c>
      <c r="F216" s="33">
        <v>46297.113985081014</v>
      </c>
      <c r="G216" s="68">
        <f>IF($A216="","",SUMPRODUCT((AttendanceLog!$E$2:$E$5000=$A216)*(AttendanceLog!$C$2:$C$5000&gt;=MAX($E216,Settings!$B$3))*((AttendanceLog!$I$2:$I$5000="")+(IFERROR(SEARCH(","&amp;$C216&amp;",",","&amp;AttendanceLog!$I$2:$I$5000&amp;","),0)&gt;0))))</f>
        <v>3</v>
      </c>
      <c r="H216" s="64">
        <f>IF($A216="","",SUMPRODUCT((EventLog!$C$2:$C$5000&gt;=MAX($E216,Settings!$B$3))*(EventLog!$C$2:$C$5000&lt;=TODAY())*((EventLog!$F$2:$F$5000="")+(IFERROR(SEARCH(","&amp;$C216&amp;",",","&amp;EventLog!$F$2:$F$5000&amp;","),0)&gt;0))))</f>
        <v>4</v>
      </c>
      <c r="I216" s="26">
        <f t="shared" si="1"/>
        <v>0.75</v>
      </c>
      <c r="J216" s="20">
        <f>IFERROR(__xludf.DUMMYFUNCTION("IFERROR(MAX(FILTER(AttendanceLog!$C:$C,AttendanceLog!$E:$E=$A216,(AttendanceLog!$I:$I="""")+(IFERROR(SEARCH("",""&amp;$C216&amp;"","","",""&amp;AttendanceLog!$I:$I&amp;"",""),0)&gt;0))),"""")"),46305.33333333333)</f>
        <v>46305.33333</v>
      </c>
    </row>
    <row r="217" ht="15.75" customHeight="1">
      <c r="A217" s="19" t="s">
        <v>172</v>
      </c>
      <c r="B217" s="19">
        <v>213.0</v>
      </c>
      <c r="C217" s="19" t="s">
        <v>42</v>
      </c>
      <c r="D217" s="19" t="s">
        <v>61</v>
      </c>
      <c r="E217" s="33">
        <v>46235.33333333333</v>
      </c>
      <c r="F217" s="33">
        <v>46297.113985081014</v>
      </c>
      <c r="G217" s="68">
        <f>IF($A217="","",SUMPRODUCT((AttendanceLog!$E$2:$E$5000=$A217)*(AttendanceLog!$C$2:$C$5000&gt;=MAX($E217,Settings!$B$3))*((AttendanceLog!$I$2:$I$5000="")+(IFERROR(SEARCH(","&amp;$C217&amp;",",","&amp;AttendanceLog!$I$2:$I$5000&amp;","),0)&gt;0))))</f>
        <v>0</v>
      </c>
      <c r="H217" s="64">
        <f>IF($A217="","",SUMPRODUCT((EventLog!$C$2:$C$5000&gt;=MAX($E217,Settings!$B$3))*(EventLog!$C$2:$C$5000&lt;=TODAY())*((EventLog!$F$2:$F$5000="")+(IFERROR(SEARCH(","&amp;$C217&amp;",",","&amp;EventLog!$F$2:$F$5000&amp;","),0)&gt;0))))</f>
        <v>4</v>
      </c>
      <c r="I217" s="26">
        <f t="shared" si="1"/>
        <v>0</v>
      </c>
      <c r="J217" s="20" t="str">
        <f>IFERROR(__xludf.DUMMYFUNCTION("IFERROR(MAX(FILTER(AttendanceLog!$C:$C,AttendanceLog!$E:$E=$A217,(AttendanceLog!$I:$I="""")+(IFERROR(SEARCH("",""&amp;$C217&amp;"","","",""&amp;AttendanceLog!$I:$I&amp;"",""),0)&gt;0))),"""")"),"")</f>
        <v/>
      </c>
    </row>
    <row r="218" ht="15.75" customHeight="1">
      <c r="A218" s="19" t="s">
        <v>201</v>
      </c>
      <c r="B218" s="19">
        <v>214.0</v>
      </c>
      <c r="C218" s="19" t="s">
        <v>42</v>
      </c>
      <c r="D218" s="19" t="s">
        <v>61</v>
      </c>
      <c r="E218" s="33">
        <v>46235.33333333333</v>
      </c>
      <c r="F218" s="33">
        <v>46297.113985081014</v>
      </c>
      <c r="G218" s="68">
        <f>IF($A218="","",SUMPRODUCT((AttendanceLog!$E$2:$E$5000=$A218)*(AttendanceLog!$C$2:$C$5000&gt;=MAX($E218,Settings!$B$3))*((AttendanceLog!$I$2:$I$5000="")+(IFERROR(SEARCH(","&amp;$C218&amp;",",","&amp;AttendanceLog!$I$2:$I$5000&amp;","),0)&gt;0))))</f>
        <v>1</v>
      </c>
      <c r="H218" s="64">
        <f>IF($A218="","",SUMPRODUCT((EventLog!$C$2:$C$5000&gt;=MAX($E218,Settings!$B$3))*(EventLog!$C$2:$C$5000&lt;=TODAY())*((EventLog!$F$2:$F$5000="")+(IFERROR(SEARCH(","&amp;$C218&amp;",",","&amp;EventLog!$F$2:$F$5000&amp;","),0)&gt;0))))</f>
        <v>4</v>
      </c>
      <c r="I218" s="26">
        <f t="shared" si="1"/>
        <v>0.25</v>
      </c>
      <c r="J218" s="20">
        <f>IFERROR(__xludf.DUMMYFUNCTION("IFERROR(MAX(FILTER(AttendanceLog!$C:$C,AttendanceLog!$E:$E=$A218,(AttendanceLog!$I:$I="""")+(IFERROR(SEARCH("",""&amp;$C218&amp;"","","",""&amp;AttendanceLog!$I:$I&amp;"",""),0)&gt;0))),"""")"),46305.33333333333)</f>
        <v>46305.33333</v>
      </c>
    </row>
    <row r="219" ht="15.75" customHeight="1">
      <c r="A219" s="19" t="s">
        <v>202</v>
      </c>
      <c r="B219" s="19">
        <v>215.0</v>
      </c>
      <c r="C219" s="19" t="s">
        <v>42</v>
      </c>
      <c r="D219" s="19" t="s">
        <v>61</v>
      </c>
      <c r="E219" s="33">
        <v>46235.33333333333</v>
      </c>
      <c r="F219" s="33">
        <v>46297.113985081014</v>
      </c>
      <c r="G219" s="68">
        <f>IF($A219="","",SUMPRODUCT((AttendanceLog!$E$2:$E$5000=$A219)*(AttendanceLog!$C$2:$C$5000&gt;=MAX($E219,Settings!$B$3))*((AttendanceLog!$I$2:$I$5000="")+(IFERROR(SEARCH(","&amp;$C219&amp;",",","&amp;AttendanceLog!$I$2:$I$5000&amp;","),0)&gt;0))))</f>
        <v>4</v>
      </c>
      <c r="H219" s="64">
        <f>IF($A219="","",SUMPRODUCT((EventLog!$C$2:$C$5000&gt;=MAX($E219,Settings!$B$3))*(EventLog!$C$2:$C$5000&lt;=TODAY())*((EventLog!$F$2:$F$5000="")+(IFERROR(SEARCH(","&amp;$C219&amp;",",","&amp;EventLog!$F$2:$F$5000&amp;","),0)&gt;0))))</f>
        <v>4</v>
      </c>
      <c r="I219" s="26">
        <f t="shared" si="1"/>
        <v>1</v>
      </c>
      <c r="J219" s="20">
        <f>IFERROR(__xludf.DUMMYFUNCTION("IFERROR(MAX(FILTER(AttendanceLog!$C:$C,AttendanceLog!$E:$E=$A219,(AttendanceLog!$I:$I="""")+(IFERROR(SEARCH("",""&amp;$C219&amp;"","","",""&amp;AttendanceLog!$I:$I&amp;"",""),0)&gt;0))),"""")"),46306.0)</f>
        <v>46306</v>
      </c>
    </row>
    <row r="220" ht="15.75" customHeight="1">
      <c r="A220" s="19" t="s">
        <v>180</v>
      </c>
      <c r="B220" s="19">
        <v>301.0</v>
      </c>
      <c r="C220" s="19" t="s">
        <v>42</v>
      </c>
      <c r="D220" s="19" t="s">
        <v>61</v>
      </c>
      <c r="E220" s="33">
        <v>46235.33333333333</v>
      </c>
      <c r="F220" s="33">
        <v>46297.113985081014</v>
      </c>
      <c r="G220" s="68">
        <f>IF($A220="","",SUMPRODUCT((AttendanceLog!$E$2:$E$5000=$A220)*(AttendanceLog!$C$2:$C$5000&gt;=MAX($E220,Settings!$B$3))*((AttendanceLog!$I$2:$I$5000="")+(IFERROR(SEARCH(","&amp;$C220&amp;",",","&amp;AttendanceLog!$I$2:$I$5000&amp;","),0)&gt;0))))</f>
        <v>0</v>
      </c>
      <c r="H220" s="64">
        <f>IF($A220="","",SUMPRODUCT((EventLog!$C$2:$C$5000&gt;=MAX($E220,Settings!$B$3))*(EventLog!$C$2:$C$5000&lt;=TODAY())*((EventLog!$F$2:$F$5000="")+(IFERROR(SEARCH(","&amp;$C220&amp;",",","&amp;EventLog!$F$2:$F$5000&amp;","),0)&gt;0))))</f>
        <v>4</v>
      </c>
      <c r="I220" s="26">
        <f t="shared" si="1"/>
        <v>0</v>
      </c>
      <c r="J220" s="20" t="str">
        <f>IFERROR(__xludf.DUMMYFUNCTION("IFERROR(MAX(FILTER(AttendanceLog!$C:$C,AttendanceLog!$E:$E=$A220,(AttendanceLog!$I:$I="""")+(IFERROR(SEARCH("",""&amp;$C220&amp;"","","",""&amp;AttendanceLog!$I:$I&amp;"",""),0)&gt;0))),"""")"),"")</f>
        <v/>
      </c>
    </row>
    <row r="221" ht="15.75" customHeight="1">
      <c r="A221" s="19" t="s">
        <v>177</v>
      </c>
      <c r="B221" s="19">
        <v>302.0</v>
      </c>
      <c r="C221" s="19" t="s">
        <v>42</v>
      </c>
      <c r="D221" s="19" t="s">
        <v>61</v>
      </c>
      <c r="E221" s="33">
        <v>46234.33333333333</v>
      </c>
      <c r="F221" s="33">
        <v>46304.826470659726</v>
      </c>
      <c r="G221" s="68">
        <f>IF($A221="","",SUMPRODUCT((AttendanceLog!$E$2:$E$5000=$A221)*(AttendanceLog!$C$2:$C$5000&gt;=MAX($E221,Settings!$B$3))*((AttendanceLog!$I$2:$I$5000="")+(IFERROR(SEARCH(","&amp;$C221&amp;",",","&amp;AttendanceLog!$I$2:$I$5000&amp;","),0)&gt;0))))</f>
        <v>0</v>
      </c>
      <c r="H221" s="64">
        <f>IF($A221="","",SUMPRODUCT((EventLog!$C$2:$C$5000&gt;=MAX($E221,Settings!$B$3))*(EventLog!$C$2:$C$5000&lt;=TODAY())*((EventLog!$F$2:$F$5000="")+(IFERROR(SEARCH(","&amp;$C221&amp;",",","&amp;EventLog!$F$2:$F$5000&amp;","),0)&gt;0))))</f>
        <v>4</v>
      </c>
      <c r="I221" s="26">
        <f t="shared" si="1"/>
        <v>0</v>
      </c>
      <c r="J221" s="20" t="str">
        <f>IFERROR(__xludf.DUMMYFUNCTION("IFERROR(MAX(FILTER(AttendanceLog!$C:$C,AttendanceLog!$E:$E=$A221,(AttendanceLog!$I:$I="""")+(IFERROR(SEARCH("",""&amp;$C221&amp;"","","",""&amp;AttendanceLog!$I:$I&amp;"",""),0)&gt;0))),"""")"),"")</f>
        <v/>
      </c>
    </row>
    <row r="222" ht="15.75" customHeight="1">
      <c r="A222" s="19" t="s">
        <v>209</v>
      </c>
      <c r="B222" s="19">
        <v>303.0</v>
      </c>
      <c r="C222" s="19" t="s">
        <v>42</v>
      </c>
      <c r="D222" s="19" t="s">
        <v>61</v>
      </c>
      <c r="E222" s="33">
        <v>46235.33333333333</v>
      </c>
      <c r="F222" s="33">
        <v>46304.826470659726</v>
      </c>
      <c r="G222" s="68">
        <f>IF($A222="","",SUMPRODUCT((AttendanceLog!$E$2:$E$5000=$A222)*(AttendanceLog!$C$2:$C$5000&gt;=MAX($E222,Settings!$B$3))*((AttendanceLog!$I$2:$I$5000="")+(IFERROR(SEARCH(","&amp;$C222&amp;",",","&amp;AttendanceLog!$I$2:$I$5000&amp;","),0)&gt;0))))</f>
        <v>0</v>
      </c>
      <c r="H222" s="64">
        <f>IF($A222="","",SUMPRODUCT((EventLog!$C$2:$C$5000&gt;=MAX($E222,Settings!$B$3))*(EventLog!$C$2:$C$5000&lt;=TODAY())*((EventLog!$F$2:$F$5000="")+(IFERROR(SEARCH(","&amp;$C222&amp;",",","&amp;EventLog!$F$2:$F$5000&amp;","),0)&gt;0))))</f>
        <v>4</v>
      </c>
      <c r="I222" s="26">
        <f t="shared" si="1"/>
        <v>0</v>
      </c>
      <c r="J222" s="20" t="str">
        <f>IFERROR(__xludf.DUMMYFUNCTION("IFERROR(MAX(FILTER(AttendanceLog!$C:$C,AttendanceLog!$E:$E=$A222,(AttendanceLog!$I:$I="""")+(IFERROR(SEARCH("",""&amp;$C222&amp;"","","",""&amp;AttendanceLog!$I:$I&amp;"",""),0)&gt;0))),"""")"),"")</f>
        <v/>
      </c>
    </row>
    <row r="223" ht="15.75" customHeight="1">
      <c r="A223" s="69">
        <v>2.026E128</v>
      </c>
      <c r="B223" s="19">
        <v>304.0</v>
      </c>
      <c r="C223" s="19" t="s">
        <v>42</v>
      </c>
      <c r="D223" s="19" t="s">
        <v>61</v>
      </c>
      <c r="E223" s="33">
        <v>46236.33333333333</v>
      </c>
      <c r="F223" s="33">
        <v>46304.826470659726</v>
      </c>
      <c r="G223" s="68">
        <f>IF($A223="","",SUMPRODUCT((AttendanceLog!$E$2:$E$5000=$A223)*(AttendanceLog!$C$2:$C$5000&gt;=MAX($E223,Settings!$B$3))*((AttendanceLog!$I$2:$I$5000="")+(IFERROR(SEARCH(","&amp;$C223&amp;",",","&amp;AttendanceLog!$I$2:$I$5000&amp;","),0)&gt;0))))</f>
        <v>0</v>
      </c>
      <c r="H223" s="64">
        <f>IF($A223="","",SUMPRODUCT((EventLog!$C$2:$C$5000&gt;=MAX($E223,Settings!$B$3))*(EventLog!$C$2:$C$5000&lt;=TODAY())*((EventLog!$F$2:$F$5000="")+(IFERROR(SEARCH(","&amp;$C223&amp;",",","&amp;EventLog!$F$2:$F$5000&amp;","),0)&gt;0))))</f>
        <v>4</v>
      </c>
      <c r="I223" s="26">
        <f t="shared" si="1"/>
        <v>0</v>
      </c>
      <c r="J223" s="20" t="str">
        <f>IFERROR(__xludf.DUMMYFUNCTION("IFERROR(MAX(FILTER(AttendanceLog!$C:$C,AttendanceLog!$E:$E=$A223,(AttendanceLog!$I:$I="""")+(IFERROR(SEARCH("",""&amp;$C223&amp;"","","",""&amp;AttendanceLog!$I:$I&amp;"",""),0)&gt;0))),"""")"),"")</f>
        <v/>
      </c>
    </row>
    <row r="224" ht="15.75" customHeight="1">
      <c r="A224" s="19" t="s">
        <v>199</v>
      </c>
      <c r="B224" s="19">
        <v>305.0</v>
      </c>
      <c r="C224" s="19" t="s">
        <v>42</v>
      </c>
      <c r="D224" s="19" t="s">
        <v>61</v>
      </c>
      <c r="E224" s="33">
        <v>46237.33333333333</v>
      </c>
      <c r="F224" s="33">
        <v>46304.826470659726</v>
      </c>
      <c r="G224" s="68">
        <f>IF($A224="","",SUMPRODUCT((AttendanceLog!$E$2:$E$5000=$A224)*(AttendanceLog!$C$2:$C$5000&gt;=MAX($E224,Settings!$B$3))*((AttendanceLog!$I$2:$I$5000="")+(IFERROR(SEARCH(","&amp;$C224&amp;",",","&amp;AttendanceLog!$I$2:$I$5000&amp;","),0)&gt;0))))</f>
        <v>2</v>
      </c>
      <c r="H224" s="64">
        <f>IF($A224="","",SUMPRODUCT((EventLog!$C$2:$C$5000&gt;=MAX($E224,Settings!$B$3))*(EventLog!$C$2:$C$5000&lt;=TODAY())*((EventLog!$F$2:$F$5000="")+(IFERROR(SEARCH(","&amp;$C224&amp;",",","&amp;EventLog!$F$2:$F$5000&amp;","),0)&gt;0))))</f>
        <v>4</v>
      </c>
      <c r="I224" s="26">
        <f t="shared" si="1"/>
        <v>0.5</v>
      </c>
      <c r="J224" s="20">
        <f>IFERROR(__xludf.DUMMYFUNCTION("IFERROR(MAX(FILTER(AttendanceLog!$C:$C,AttendanceLog!$E:$E=$A224,(AttendanceLog!$I:$I="""")+(IFERROR(SEARCH("",""&amp;$C224&amp;"","","",""&amp;AttendanceLog!$I:$I&amp;"",""),0)&gt;0))),"""")"),46305.33333333333)</f>
        <v>46305.33333</v>
      </c>
    </row>
    <row r="225" ht="15.75" customHeight="1">
      <c r="A225" s="19" t="s">
        <v>179</v>
      </c>
      <c r="B225" s="19">
        <v>306.0</v>
      </c>
      <c r="C225" s="19" t="s">
        <v>42</v>
      </c>
      <c r="D225" s="19" t="s">
        <v>61</v>
      </c>
      <c r="E225" s="33">
        <v>46238.33333333333</v>
      </c>
      <c r="F225" s="33">
        <v>46304.826470659726</v>
      </c>
      <c r="G225" s="68">
        <f>IF($A225="","",SUMPRODUCT((AttendanceLog!$E$2:$E$5000=$A225)*(AttendanceLog!$C$2:$C$5000&gt;=MAX($E225,Settings!$B$3))*((AttendanceLog!$I$2:$I$5000="")+(IFERROR(SEARCH(","&amp;$C225&amp;",",","&amp;AttendanceLog!$I$2:$I$5000&amp;","),0)&gt;0))))</f>
        <v>0</v>
      </c>
      <c r="H225" s="64">
        <f>IF($A225="","",SUMPRODUCT((EventLog!$C$2:$C$5000&gt;=MAX($E225,Settings!$B$3))*(EventLog!$C$2:$C$5000&lt;=TODAY())*((EventLog!$F$2:$F$5000="")+(IFERROR(SEARCH(","&amp;$C225&amp;",",","&amp;EventLog!$F$2:$F$5000&amp;","),0)&gt;0))))</f>
        <v>4</v>
      </c>
      <c r="I225" s="26">
        <f t="shared" si="1"/>
        <v>0</v>
      </c>
      <c r="J225" s="20" t="str">
        <f>IFERROR(__xludf.DUMMYFUNCTION("IFERROR(MAX(FILTER(AttendanceLog!$C:$C,AttendanceLog!$E:$E=$A225,(AttendanceLog!$I:$I="""")+(IFERROR(SEARCH("",""&amp;$C225&amp;"","","",""&amp;AttendanceLog!$I:$I&amp;"",""),0)&gt;0))),"""")"),"")</f>
        <v/>
      </c>
    </row>
    <row r="226" ht="15.75" customHeight="1">
      <c r="A226" s="19" t="s">
        <v>173</v>
      </c>
      <c r="B226" s="19">
        <v>307.0</v>
      </c>
      <c r="C226" s="19" t="s">
        <v>42</v>
      </c>
      <c r="D226" s="19" t="s">
        <v>61</v>
      </c>
      <c r="E226" s="33">
        <v>46239.33333333333</v>
      </c>
      <c r="F226" s="33">
        <v>46304.826470659726</v>
      </c>
      <c r="G226" s="68">
        <f>IF($A226="","",SUMPRODUCT((AttendanceLog!$E$2:$E$5000=$A226)*(AttendanceLog!$C$2:$C$5000&gt;=MAX($E226,Settings!$B$3))*((AttendanceLog!$I$2:$I$5000="")+(IFERROR(SEARCH(","&amp;$C226&amp;",",","&amp;AttendanceLog!$I$2:$I$5000&amp;","),0)&gt;0))))</f>
        <v>0</v>
      </c>
      <c r="H226" s="64">
        <f>IF($A226="","",SUMPRODUCT((EventLog!$C$2:$C$5000&gt;=MAX($E226,Settings!$B$3))*(EventLog!$C$2:$C$5000&lt;=TODAY())*((EventLog!$F$2:$F$5000="")+(IFERROR(SEARCH(","&amp;$C226&amp;",",","&amp;EventLog!$F$2:$F$5000&amp;","),0)&gt;0))))</f>
        <v>4</v>
      </c>
      <c r="I226" s="26">
        <f t="shared" si="1"/>
        <v>0</v>
      </c>
      <c r="J226" s="20" t="str">
        <f>IFERROR(__xludf.DUMMYFUNCTION("IFERROR(MAX(FILTER(AttendanceLog!$C:$C,AttendanceLog!$E:$E=$A226,(AttendanceLog!$I:$I="""")+(IFERROR(SEARCH("",""&amp;$C226&amp;"","","",""&amp;AttendanceLog!$I:$I&amp;"",""),0)&gt;0))),"""")"),"")</f>
        <v/>
      </c>
    </row>
    <row r="227" ht="15.75" customHeight="1">
      <c r="A227" s="19" t="s">
        <v>207</v>
      </c>
      <c r="B227" s="19">
        <v>308.0</v>
      </c>
      <c r="C227" s="19" t="s">
        <v>42</v>
      </c>
      <c r="D227" s="19" t="s">
        <v>61</v>
      </c>
      <c r="E227" s="33">
        <v>46240.33333333333</v>
      </c>
      <c r="F227" s="33">
        <v>46304.826470659726</v>
      </c>
      <c r="G227" s="68">
        <f>IF($A227="","",SUMPRODUCT((AttendanceLog!$E$2:$E$5000=$A227)*(AttendanceLog!$C$2:$C$5000&gt;=MAX($E227,Settings!$B$3))*((AttendanceLog!$I$2:$I$5000="")+(IFERROR(SEARCH(","&amp;$C227&amp;",",","&amp;AttendanceLog!$I$2:$I$5000&amp;","),0)&gt;0))))</f>
        <v>3</v>
      </c>
      <c r="H227" s="64">
        <f>IF($A227="","",SUMPRODUCT((EventLog!$C$2:$C$5000&gt;=MAX($E227,Settings!$B$3))*(EventLog!$C$2:$C$5000&lt;=TODAY())*((EventLog!$F$2:$F$5000="")+(IFERROR(SEARCH(","&amp;$C227&amp;",",","&amp;EventLog!$F$2:$F$5000&amp;","),0)&gt;0))))</f>
        <v>4</v>
      </c>
      <c r="I227" s="26">
        <f t="shared" si="1"/>
        <v>0.75</v>
      </c>
      <c r="J227" s="20">
        <f>IFERROR(__xludf.DUMMYFUNCTION("IFERROR(MAX(FILTER(AttendanceLog!$C:$C,AttendanceLog!$E:$E=$A227,(AttendanceLog!$I:$I="""")+(IFERROR(SEARCH("",""&amp;$C227&amp;"","","",""&amp;AttendanceLog!$I:$I&amp;"",""),0)&gt;0))),"""")"),46305.33333333333)</f>
        <v>46305.33333</v>
      </c>
    </row>
    <row r="228" ht="15.75" customHeight="1">
      <c r="A228" s="19" t="s">
        <v>198</v>
      </c>
      <c r="B228" s="19">
        <v>309.0</v>
      </c>
      <c r="C228" s="19" t="s">
        <v>42</v>
      </c>
      <c r="D228" s="19" t="s">
        <v>61</v>
      </c>
      <c r="E228" s="33">
        <v>46241.33333333333</v>
      </c>
      <c r="F228" s="33">
        <v>46304.826470659726</v>
      </c>
      <c r="G228" s="68">
        <f>IF($A228="","",SUMPRODUCT((AttendanceLog!$E$2:$E$5000=$A228)*(AttendanceLog!$C$2:$C$5000&gt;=MAX($E228,Settings!$B$3))*((AttendanceLog!$I$2:$I$5000="")+(IFERROR(SEARCH(","&amp;$C228&amp;",",","&amp;AttendanceLog!$I$2:$I$5000&amp;","),0)&gt;0))))</f>
        <v>4</v>
      </c>
      <c r="H228" s="64">
        <f>IF($A228="","",SUMPRODUCT((EventLog!$C$2:$C$5000&gt;=MAX($E228,Settings!$B$3))*(EventLog!$C$2:$C$5000&lt;=TODAY())*((EventLog!$F$2:$F$5000="")+(IFERROR(SEARCH(","&amp;$C228&amp;",",","&amp;EventLog!$F$2:$F$5000&amp;","),0)&gt;0))))</f>
        <v>4</v>
      </c>
      <c r="I228" s="26">
        <f t="shared" si="1"/>
        <v>1</v>
      </c>
      <c r="J228" s="20">
        <f>IFERROR(__xludf.DUMMYFUNCTION("IFERROR(MAX(FILTER(AttendanceLog!$C:$C,AttendanceLog!$E:$E=$A228,(AttendanceLog!$I:$I="""")+(IFERROR(SEARCH("",""&amp;$C228&amp;"","","",""&amp;AttendanceLog!$I:$I&amp;"",""),0)&gt;0))),"""")"),46306.0)</f>
        <v>46306</v>
      </c>
    </row>
    <row r="229" ht="15.75" customHeight="1">
      <c r="A229" s="19" t="s">
        <v>188</v>
      </c>
      <c r="B229" s="19">
        <v>310.0</v>
      </c>
      <c r="C229" s="19" t="s">
        <v>42</v>
      </c>
      <c r="D229" s="19" t="s">
        <v>61</v>
      </c>
      <c r="E229" s="33">
        <v>46242.33333333333</v>
      </c>
      <c r="F229" s="33">
        <v>46304.826470659726</v>
      </c>
      <c r="G229" s="68">
        <f>IF($A229="","",SUMPRODUCT((AttendanceLog!$E$2:$E$5000=$A229)*(AttendanceLog!$C$2:$C$5000&gt;=MAX($E229,Settings!$B$3))*((AttendanceLog!$I$2:$I$5000="")+(IFERROR(SEARCH(","&amp;$C229&amp;",",","&amp;AttendanceLog!$I$2:$I$5000&amp;","),0)&gt;0))))</f>
        <v>1</v>
      </c>
      <c r="H229" s="64">
        <f>IF($A229="","",SUMPRODUCT((EventLog!$C$2:$C$5000&gt;=MAX($E229,Settings!$B$3))*(EventLog!$C$2:$C$5000&lt;=TODAY())*((EventLog!$F$2:$F$5000="")+(IFERROR(SEARCH(","&amp;$C229&amp;",",","&amp;EventLog!$F$2:$F$5000&amp;","),0)&gt;0))))</f>
        <v>4</v>
      </c>
      <c r="I229" s="26">
        <f t="shared" si="1"/>
        <v>0.25</v>
      </c>
      <c r="J229" s="20">
        <f>IFERROR(__xludf.DUMMYFUNCTION("IFERROR(MAX(FILTER(AttendanceLog!$C:$C,AttendanceLog!$E:$E=$A229,(AttendanceLog!$I:$I="""")+(IFERROR(SEARCH("",""&amp;$C229&amp;"","","",""&amp;AttendanceLog!$I:$I&amp;"",""),0)&gt;0))),"""")"),46304.0)</f>
        <v>46304</v>
      </c>
    </row>
    <row r="230" ht="15.75" customHeight="1">
      <c r="A230" s="19" t="s">
        <v>196</v>
      </c>
      <c r="B230" s="19">
        <v>311.0</v>
      </c>
      <c r="C230" s="19" t="s">
        <v>42</v>
      </c>
      <c r="D230" s="19" t="s">
        <v>61</v>
      </c>
      <c r="E230" s="33">
        <v>46243.33333333333</v>
      </c>
      <c r="F230" s="33">
        <v>46304.826470659726</v>
      </c>
      <c r="G230" s="68">
        <f>IF($A230="","",SUMPRODUCT((AttendanceLog!$E$2:$E$5000=$A230)*(AttendanceLog!$C$2:$C$5000&gt;=MAX($E230,Settings!$B$3))*((AttendanceLog!$I$2:$I$5000="")+(IFERROR(SEARCH(","&amp;$C230&amp;",",","&amp;AttendanceLog!$I$2:$I$5000&amp;","),0)&gt;0))))</f>
        <v>3</v>
      </c>
      <c r="H230" s="64">
        <f>IF($A230="","",SUMPRODUCT((EventLog!$C$2:$C$5000&gt;=MAX($E230,Settings!$B$3))*(EventLog!$C$2:$C$5000&lt;=TODAY())*((EventLog!$F$2:$F$5000="")+(IFERROR(SEARCH(","&amp;$C230&amp;",",","&amp;EventLog!$F$2:$F$5000&amp;","),0)&gt;0))))</f>
        <v>4</v>
      </c>
      <c r="I230" s="26">
        <f t="shared" si="1"/>
        <v>0.75</v>
      </c>
      <c r="J230" s="20">
        <f>IFERROR(__xludf.DUMMYFUNCTION("IFERROR(MAX(FILTER(AttendanceLog!$C:$C,AttendanceLog!$E:$E=$A230,(AttendanceLog!$I:$I="""")+(IFERROR(SEARCH("",""&amp;$C230&amp;"","","",""&amp;AttendanceLog!$I:$I&amp;"",""),0)&gt;0))),"""")"),46306.0)</f>
        <v>46306</v>
      </c>
    </row>
    <row r="231" ht="15.75" customHeight="1">
      <c r="A231" s="19" t="s">
        <v>217</v>
      </c>
      <c r="B231" s="19">
        <v>313.0</v>
      </c>
      <c r="C231" s="19" t="s">
        <v>42</v>
      </c>
      <c r="D231" s="19" t="s">
        <v>61</v>
      </c>
      <c r="E231" s="33">
        <v>46244.33333333333</v>
      </c>
      <c r="F231" s="33">
        <v>46304.826470659726</v>
      </c>
      <c r="G231" s="68">
        <f>IF($A231="","",SUMPRODUCT((AttendanceLog!$E$2:$E$5000=$A231)*(AttendanceLog!$C$2:$C$5000&gt;=MAX($E231,Settings!$B$3))*((AttendanceLog!$I$2:$I$5000="")+(IFERROR(SEARCH(","&amp;$C231&amp;",",","&amp;AttendanceLog!$I$2:$I$5000&amp;","),0)&gt;0))))</f>
        <v>0</v>
      </c>
      <c r="H231" s="64">
        <f>IF($A231="","",SUMPRODUCT((EventLog!$C$2:$C$5000&gt;=MAX($E231,Settings!$B$3))*(EventLog!$C$2:$C$5000&lt;=TODAY())*((EventLog!$F$2:$F$5000="")+(IFERROR(SEARCH(","&amp;$C231&amp;",",","&amp;EventLog!$F$2:$F$5000&amp;","),0)&gt;0))))</f>
        <v>4</v>
      </c>
      <c r="I231" s="26">
        <f t="shared" si="1"/>
        <v>0</v>
      </c>
      <c r="J231" s="20" t="str">
        <f>IFERROR(__xludf.DUMMYFUNCTION("IFERROR(MAX(FILTER(AttendanceLog!$C:$C,AttendanceLog!$E:$E=$A231,(AttendanceLog!$I:$I="""")+(IFERROR(SEARCH("",""&amp;$C231&amp;"","","",""&amp;AttendanceLog!$I:$I&amp;"",""),0)&gt;0))),"""")"),"")</f>
        <v/>
      </c>
    </row>
    <row r="232" ht="15.75" customHeight="1">
      <c r="A232" s="19" t="s">
        <v>183</v>
      </c>
      <c r="B232" s="19">
        <v>314.0</v>
      </c>
      <c r="C232" s="19" t="s">
        <v>42</v>
      </c>
      <c r="D232" s="19" t="s">
        <v>61</v>
      </c>
      <c r="E232" s="33">
        <v>46245.33333333333</v>
      </c>
      <c r="F232" s="33">
        <v>46304.826470659726</v>
      </c>
      <c r="G232" s="68">
        <f>IF($A232="","",SUMPRODUCT((AttendanceLog!$E$2:$E$5000=$A232)*(AttendanceLog!$C$2:$C$5000&gt;=MAX($E232,Settings!$B$3))*((AttendanceLog!$I$2:$I$5000="")+(IFERROR(SEARCH(","&amp;$C232&amp;",",","&amp;AttendanceLog!$I$2:$I$5000&amp;","),0)&gt;0))))</f>
        <v>1</v>
      </c>
      <c r="H232" s="64">
        <f>IF($A232="","",SUMPRODUCT((EventLog!$C$2:$C$5000&gt;=MAX($E232,Settings!$B$3))*(EventLog!$C$2:$C$5000&lt;=TODAY())*((EventLog!$F$2:$F$5000="")+(IFERROR(SEARCH(","&amp;$C232&amp;",",","&amp;EventLog!$F$2:$F$5000&amp;","),0)&gt;0))))</f>
        <v>4</v>
      </c>
      <c r="I232" s="26">
        <f t="shared" si="1"/>
        <v>0.25</v>
      </c>
      <c r="J232" s="20">
        <f>IFERROR(__xludf.DUMMYFUNCTION("IFERROR(MAX(FILTER(AttendanceLog!$C:$C,AttendanceLog!$E:$E=$A232,(AttendanceLog!$I:$I="""")+(IFERROR(SEARCH("",""&amp;$C232&amp;"","","",""&amp;AttendanceLog!$I:$I&amp;"",""),0)&gt;0))),"""")"),46305.33333333333)</f>
        <v>46305.33333</v>
      </c>
    </row>
    <row r="233" ht="15.75" customHeight="1">
      <c r="A233" s="19" t="s">
        <v>181</v>
      </c>
      <c r="B233" s="19">
        <v>401.0</v>
      </c>
      <c r="C233" s="19" t="s">
        <v>42</v>
      </c>
      <c r="D233" s="19" t="s">
        <v>61</v>
      </c>
      <c r="E233" s="33">
        <v>46246.33333333333</v>
      </c>
      <c r="F233" s="33">
        <v>46304.826470659726</v>
      </c>
      <c r="G233" s="68">
        <f>IF($A233="","",SUMPRODUCT((AttendanceLog!$E$2:$E$5000=$A233)*(AttendanceLog!$C$2:$C$5000&gt;=MAX($E233,Settings!$B$3))*((AttendanceLog!$I$2:$I$5000="")+(IFERROR(SEARCH(","&amp;$C233&amp;",",","&amp;AttendanceLog!$I$2:$I$5000&amp;","),0)&gt;0))))</f>
        <v>0</v>
      </c>
      <c r="H233" s="64">
        <f>IF($A233="","",SUMPRODUCT((EventLog!$C$2:$C$5000&gt;=MAX($E233,Settings!$B$3))*(EventLog!$C$2:$C$5000&lt;=TODAY())*((EventLog!$F$2:$F$5000="")+(IFERROR(SEARCH(","&amp;$C233&amp;",",","&amp;EventLog!$F$2:$F$5000&amp;","),0)&gt;0))))</f>
        <v>4</v>
      </c>
      <c r="I233" s="26">
        <f t="shared" si="1"/>
        <v>0</v>
      </c>
      <c r="J233" s="20" t="str">
        <f>IFERROR(__xludf.DUMMYFUNCTION("IFERROR(MAX(FILTER(AttendanceLog!$C:$C,AttendanceLog!$E:$E=$A233,(AttendanceLog!$I:$I="""")+(IFERROR(SEARCH("",""&amp;$C233&amp;"","","",""&amp;AttendanceLog!$I:$I&amp;"",""),0)&gt;0))),"""")"),"")</f>
        <v/>
      </c>
    </row>
    <row r="234" ht="15.75" customHeight="1">
      <c r="A234" s="19" t="s">
        <v>215</v>
      </c>
      <c r="B234" s="19">
        <v>402.0</v>
      </c>
      <c r="C234" s="19" t="s">
        <v>42</v>
      </c>
      <c r="D234" s="19" t="s">
        <v>61</v>
      </c>
      <c r="E234" s="33">
        <v>46247.33333333333</v>
      </c>
      <c r="F234" s="33">
        <v>46304.826470659726</v>
      </c>
      <c r="G234" s="68">
        <f>IF($A234="","",SUMPRODUCT((AttendanceLog!$E$2:$E$5000=$A234)*(AttendanceLog!$C$2:$C$5000&gt;=MAX($E234,Settings!$B$3))*((AttendanceLog!$I$2:$I$5000="")+(IFERROR(SEARCH(","&amp;$C234&amp;",",","&amp;AttendanceLog!$I$2:$I$5000&amp;","),0)&gt;0))))</f>
        <v>0</v>
      </c>
      <c r="H234" s="64">
        <f>IF($A234="","",SUMPRODUCT((EventLog!$C$2:$C$5000&gt;=MAX($E234,Settings!$B$3))*(EventLog!$C$2:$C$5000&lt;=TODAY())*((EventLog!$F$2:$F$5000="")+(IFERROR(SEARCH(","&amp;$C234&amp;",",","&amp;EventLog!$F$2:$F$5000&amp;","),0)&gt;0))))</f>
        <v>4</v>
      </c>
      <c r="I234" s="26">
        <f t="shared" si="1"/>
        <v>0</v>
      </c>
      <c r="J234" s="20" t="str">
        <f>IFERROR(__xludf.DUMMYFUNCTION("IFERROR(MAX(FILTER(AttendanceLog!$C:$C,AttendanceLog!$E:$E=$A234,(AttendanceLog!$I:$I="""")+(IFERROR(SEARCH("",""&amp;$C234&amp;"","","",""&amp;AttendanceLog!$I:$I&amp;"",""),0)&gt;0))),"""")"),"")</f>
        <v/>
      </c>
    </row>
    <row r="235" ht="15.75" customHeight="1">
      <c r="A235" s="19" t="s">
        <v>184</v>
      </c>
      <c r="B235" s="19">
        <v>403.0</v>
      </c>
      <c r="C235" s="19" t="s">
        <v>42</v>
      </c>
      <c r="D235" s="19" t="s">
        <v>61</v>
      </c>
      <c r="E235" s="33">
        <v>46248.33333333333</v>
      </c>
      <c r="F235" s="33">
        <v>46304.826470659726</v>
      </c>
      <c r="G235" s="68">
        <f>IF($A235="","",SUMPRODUCT((AttendanceLog!$E$2:$E$5000=$A235)*(AttendanceLog!$C$2:$C$5000&gt;=MAX($E235,Settings!$B$3))*((AttendanceLog!$I$2:$I$5000="")+(IFERROR(SEARCH(","&amp;$C235&amp;",",","&amp;AttendanceLog!$I$2:$I$5000&amp;","),0)&gt;0))))</f>
        <v>4</v>
      </c>
      <c r="H235" s="64">
        <f>IF($A235="","",SUMPRODUCT((EventLog!$C$2:$C$5000&gt;=MAX($E235,Settings!$B$3))*(EventLog!$C$2:$C$5000&lt;=TODAY())*((EventLog!$F$2:$F$5000="")+(IFERROR(SEARCH(","&amp;$C235&amp;",",","&amp;EventLog!$F$2:$F$5000&amp;","),0)&gt;0))))</f>
        <v>4</v>
      </c>
      <c r="I235" s="26">
        <f t="shared" si="1"/>
        <v>1</v>
      </c>
      <c r="J235" s="20">
        <f>IFERROR(__xludf.DUMMYFUNCTION("IFERROR(MAX(FILTER(AttendanceLog!$C:$C,AttendanceLog!$E:$E=$A235,(AttendanceLog!$I:$I="""")+(IFERROR(SEARCH("",""&amp;$C235&amp;"","","",""&amp;AttendanceLog!$I:$I&amp;"",""),0)&gt;0))),"""")"),46306.0)</f>
        <v>46306</v>
      </c>
    </row>
    <row r="236" ht="15.75" customHeight="1">
      <c r="A236" s="19" t="s">
        <v>200</v>
      </c>
      <c r="B236" s="19">
        <v>404.0</v>
      </c>
      <c r="C236" s="19" t="s">
        <v>42</v>
      </c>
      <c r="D236" s="19" t="s">
        <v>61</v>
      </c>
      <c r="E236" s="33">
        <v>46249.33333333333</v>
      </c>
      <c r="F236" s="33">
        <v>46304.826470659726</v>
      </c>
      <c r="G236" s="68">
        <f>IF($A236="","",SUMPRODUCT((AttendanceLog!$E$2:$E$5000=$A236)*(AttendanceLog!$C$2:$C$5000&gt;=MAX($E236,Settings!$B$3))*((AttendanceLog!$I$2:$I$5000="")+(IFERROR(SEARCH(","&amp;$C236&amp;",",","&amp;AttendanceLog!$I$2:$I$5000&amp;","),0)&gt;0))))</f>
        <v>2</v>
      </c>
      <c r="H236" s="64">
        <f>IF($A236="","",SUMPRODUCT((EventLog!$C$2:$C$5000&gt;=MAX($E236,Settings!$B$3))*(EventLog!$C$2:$C$5000&lt;=TODAY())*((EventLog!$F$2:$F$5000="")+(IFERROR(SEARCH(","&amp;$C236&amp;",",","&amp;EventLog!$F$2:$F$5000&amp;","),0)&gt;0))))</f>
        <v>4</v>
      </c>
      <c r="I236" s="26">
        <f t="shared" si="1"/>
        <v>0.5</v>
      </c>
      <c r="J236" s="20">
        <f>IFERROR(__xludf.DUMMYFUNCTION("IFERROR(MAX(FILTER(AttendanceLog!$C:$C,AttendanceLog!$E:$E=$A236,(AttendanceLog!$I:$I="""")+(IFERROR(SEARCH("",""&amp;$C236&amp;"","","",""&amp;AttendanceLog!$I:$I&amp;"",""),0)&gt;0))),"""")"),46305.33333333333)</f>
        <v>46305.33333</v>
      </c>
    </row>
    <row r="237" ht="15.75" customHeight="1">
      <c r="A237" s="19" t="s">
        <v>185</v>
      </c>
      <c r="B237" s="19">
        <v>405.0</v>
      </c>
      <c r="C237" s="19" t="s">
        <v>42</v>
      </c>
      <c r="D237" s="19" t="s">
        <v>61</v>
      </c>
      <c r="E237" s="33">
        <v>46250.33333333333</v>
      </c>
      <c r="F237" s="33">
        <v>46304.826470659726</v>
      </c>
      <c r="G237" s="68">
        <f>IF($A237="","",SUMPRODUCT((AttendanceLog!$E$2:$E$5000=$A237)*(AttendanceLog!$C$2:$C$5000&gt;=MAX($E237,Settings!$B$3))*((AttendanceLog!$I$2:$I$5000="")+(IFERROR(SEARCH(","&amp;$C237&amp;",",","&amp;AttendanceLog!$I$2:$I$5000&amp;","),0)&gt;0))))</f>
        <v>2</v>
      </c>
      <c r="H237" s="64">
        <f>IF($A237="","",SUMPRODUCT((EventLog!$C$2:$C$5000&gt;=MAX($E237,Settings!$B$3))*(EventLog!$C$2:$C$5000&lt;=TODAY())*((EventLog!$F$2:$F$5000="")+(IFERROR(SEARCH(","&amp;$C237&amp;",",","&amp;EventLog!$F$2:$F$5000&amp;","),0)&gt;0))))</f>
        <v>4</v>
      </c>
      <c r="I237" s="26">
        <f t="shared" si="1"/>
        <v>0.5</v>
      </c>
      <c r="J237" s="20">
        <f>IFERROR(__xludf.DUMMYFUNCTION("IFERROR(MAX(FILTER(AttendanceLog!$C:$C,AttendanceLog!$E:$E=$A237,(AttendanceLog!$I:$I="""")+(IFERROR(SEARCH("",""&amp;$C237&amp;"","","",""&amp;AttendanceLog!$I:$I&amp;"",""),0)&gt;0))),"""")"),46304.0)</f>
        <v>46304</v>
      </c>
    </row>
    <row r="238" ht="15.75" customHeight="1">
      <c r="A238" s="19" t="s">
        <v>176</v>
      </c>
      <c r="B238" s="19">
        <v>406.0</v>
      </c>
      <c r="C238" s="19" t="s">
        <v>42</v>
      </c>
      <c r="D238" s="19" t="s">
        <v>61</v>
      </c>
      <c r="E238" s="33">
        <v>46251.33333333333</v>
      </c>
      <c r="F238" s="33">
        <v>46304.826470659726</v>
      </c>
      <c r="G238" s="68">
        <f>IF($A238="","",SUMPRODUCT((AttendanceLog!$E$2:$E$5000=$A238)*(AttendanceLog!$C$2:$C$5000&gt;=MAX($E238,Settings!$B$3))*((AttendanceLog!$I$2:$I$5000="")+(IFERROR(SEARCH(","&amp;$C238&amp;",",","&amp;AttendanceLog!$I$2:$I$5000&amp;","),0)&gt;0))))</f>
        <v>0</v>
      </c>
      <c r="H238" s="64">
        <f>IF($A238="","",SUMPRODUCT((EventLog!$C$2:$C$5000&gt;=MAX($E238,Settings!$B$3))*(EventLog!$C$2:$C$5000&lt;=TODAY())*((EventLog!$F$2:$F$5000="")+(IFERROR(SEARCH(","&amp;$C238&amp;",",","&amp;EventLog!$F$2:$F$5000&amp;","),0)&gt;0))))</f>
        <v>4</v>
      </c>
      <c r="I238" s="26">
        <f t="shared" si="1"/>
        <v>0</v>
      </c>
      <c r="J238" s="20" t="str">
        <f>IFERROR(__xludf.DUMMYFUNCTION("IFERROR(MAX(FILTER(AttendanceLog!$C:$C,AttendanceLog!$E:$E=$A238,(AttendanceLog!$I:$I="""")+(IFERROR(SEARCH("",""&amp;$C238&amp;"","","",""&amp;AttendanceLog!$I:$I&amp;"",""),0)&gt;0))),"""")"),"")</f>
        <v/>
      </c>
    </row>
    <row r="239" ht="15.75" customHeight="1">
      <c r="A239" s="19" t="s">
        <v>182</v>
      </c>
      <c r="B239" s="19">
        <v>407.0</v>
      </c>
      <c r="C239" s="19" t="s">
        <v>42</v>
      </c>
      <c r="D239" s="19" t="s">
        <v>61</v>
      </c>
      <c r="E239" s="33">
        <v>46252.33333333333</v>
      </c>
      <c r="F239" s="33">
        <v>46304.826470659726</v>
      </c>
      <c r="G239" s="68">
        <f>IF($A239="","",SUMPRODUCT((AttendanceLog!$E$2:$E$5000=$A239)*(AttendanceLog!$C$2:$C$5000&gt;=MAX($E239,Settings!$B$3))*((AttendanceLog!$I$2:$I$5000="")+(IFERROR(SEARCH(","&amp;$C239&amp;",",","&amp;AttendanceLog!$I$2:$I$5000&amp;","),0)&gt;0))))</f>
        <v>0</v>
      </c>
      <c r="H239" s="64">
        <f>IF($A239="","",SUMPRODUCT((EventLog!$C$2:$C$5000&gt;=MAX($E239,Settings!$B$3))*(EventLog!$C$2:$C$5000&lt;=TODAY())*((EventLog!$F$2:$F$5000="")+(IFERROR(SEARCH(","&amp;$C239&amp;",",","&amp;EventLog!$F$2:$F$5000&amp;","),0)&gt;0))))</f>
        <v>4</v>
      </c>
      <c r="I239" s="26">
        <f t="shared" si="1"/>
        <v>0</v>
      </c>
      <c r="J239" s="20" t="str">
        <f>IFERROR(__xludf.DUMMYFUNCTION("IFERROR(MAX(FILTER(AttendanceLog!$C:$C,AttendanceLog!$E:$E=$A239,(AttendanceLog!$I:$I="""")+(IFERROR(SEARCH("",""&amp;$C239&amp;"","","",""&amp;AttendanceLog!$I:$I&amp;"",""),0)&gt;0))),"""")"),"")</f>
        <v/>
      </c>
    </row>
    <row r="240" ht="15.75" customHeight="1">
      <c r="C240" s="64"/>
      <c r="D240" s="64"/>
      <c r="E240" s="23"/>
      <c r="F240" s="23"/>
      <c r="G240" s="68"/>
    </row>
    <row r="241" ht="15.75" customHeight="1">
      <c r="C241" s="64"/>
      <c r="D241" s="64"/>
      <c r="E241" s="23"/>
      <c r="F241" s="23"/>
      <c r="G241" s="68"/>
    </row>
    <row r="242" ht="15.75" customHeight="1">
      <c r="C242" s="64"/>
      <c r="D242" s="64"/>
      <c r="E242" s="23"/>
      <c r="F242" s="23"/>
      <c r="G242" s="68"/>
    </row>
    <row r="243" ht="15.75" customHeight="1">
      <c r="C243" s="64"/>
      <c r="D243" s="64"/>
      <c r="E243" s="23"/>
      <c r="F243" s="23"/>
      <c r="G243" s="68"/>
    </row>
    <row r="244" ht="15.75" customHeight="1">
      <c r="C244" s="64"/>
      <c r="D244" s="64"/>
      <c r="E244" s="23"/>
      <c r="F244" s="23"/>
      <c r="G244" s="68"/>
    </row>
    <row r="245" ht="15.75" customHeight="1">
      <c r="C245" s="64"/>
      <c r="D245" s="64"/>
      <c r="E245" s="23"/>
      <c r="F245" s="23"/>
      <c r="G245" s="68"/>
    </row>
    <row r="246" ht="15.75" customHeight="1">
      <c r="C246" s="64"/>
      <c r="D246" s="64"/>
      <c r="E246" s="23"/>
      <c r="F246" s="23"/>
      <c r="G246" s="68"/>
    </row>
    <row r="247" ht="15.75" customHeight="1">
      <c r="C247" s="64"/>
      <c r="D247" s="64"/>
      <c r="E247" s="23"/>
      <c r="F247" s="23"/>
      <c r="G247" s="68"/>
    </row>
    <row r="248" ht="15.75" customHeight="1">
      <c r="C248" s="64"/>
      <c r="D248" s="64"/>
      <c r="E248" s="23"/>
      <c r="F248" s="23"/>
      <c r="G248" s="68"/>
    </row>
    <row r="249" ht="15.75" customHeight="1">
      <c r="C249" s="64"/>
      <c r="D249" s="64"/>
      <c r="E249" s="23"/>
      <c r="F249" s="23"/>
      <c r="G249" s="68"/>
    </row>
    <row r="250" ht="15.75" customHeight="1">
      <c r="C250" s="64"/>
      <c r="D250" s="64"/>
      <c r="E250" s="23"/>
      <c r="F250" s="23"/>
      <c r="G250" s="68"/>
    </row>
    <row r="251" ht="15.75" customHeight="1">
      <c r="C251" s="64"/>
      <c r="D251" s="64"/>
      <c r="E251" s="23"/>
      <c r="F251" s="23"/>
      <c r="G251" s="68"/>
    </row>
    <row r="252" ht="15.75" customHeight="1">
      <c r="C252" s="64"/>
      <c r="D252" s="64"/>
      <c r="E252" s="23"/>
      <c r="F252" s="23"/>
      <c r="G252" s="68"/>
    </row>
    <row r="253" ht="15.75" customHeight="1">
      <c r="C253" s="64"/>
      <c r="D253" s="64"/>
      <c r="E253" s="23"/>
      <c r="F253" s="23"/>
      <c r="G253" s="68"/>
    </row>
    <row r="254" ht="15.75" customHeight="1">
      <c r="C254" s="64"/>
      <c r="D254" s="64"/>
      <c r="E254" s="23"/>
      <c r="F254" s="23"/>
      <c r="G254" s="68"/>
    </row>
    <row r="255" ht="15.75" customHeight="1">
      <c r="C255" s="64"/>
      <c r="D255" s="64"/>
      <c r="E255" s="23"/>
      <c r="F255" s="23"/>
      <c r="G255" s="68"/>
    </row>
    <row r="256" ht="15.75" customHeight="1">
      <c r="C256" s="64"/>
      <c r="D256" s="64"/>
      <c r="E256" s="23"/>
      <c r="F256" s="23"/>
      <c r="G256" s="68"/>
    </row>
    <row r="257" ht="15.75" customHeight="1">
      <c r="C257" s="64"/>
      <c r="D257" s="64"/>
      <c r="E257" s="23"/>
      <c r="F257" s="23"/>
      <c r="G257" s="68"/>
    </row>
    <row r="258" ht="15.75" customHeight="1">
      <c r="C258" s="64"/>
      <c r="D258" s="64"/>
      <c r="E258" s="23"/>
      <c r="F258" s="23"/>
      <c r="G258" s="68"/>
    </row>
    <row r="259" ht="15.75" customHeight="1">
      <c r="C259" s="64"/>
      <c r="D259" s="64"/>
      <c r="E259" s="23"/>
      <c r="F259" s="23"/>
      <c r="G259" s="68"/>
    </row>
    <row r="260" ht="15.75" customHeight="1">
      <c r="C260" s="64"/>
      <c r="D260" s="64"/>
      <c r="E260" s="23"/>
      <c r="F260" s="23"/>
      <c r="G260" s="68"/>
    </row>
    <row r="261" ht="15.75" customHeight="1">
      <c r="C261" s="64"/>
      <c r="D261" s="64"/>
      <c r="E261" s="23"/>
      <c r="F261" s="23"/>
      <c r="G261" s="68"/>
    </row>
    <row r="262" ht="15.75" customHeight="1">
      <c r="C262" s="64"/>
      <c r="D262" s="64"/>
      <c r="E262" s="23"/>
      <c r="F262" s="23"/>
      <c r="G262" s="68"/>
    </row>
    <row r="263" ht="15.75" customHeight="1">
      <c r="C263" s="64"/>
      <c r="D263" s="64"/>
      <c r="E263" s="23"/>
      <c r="F263" s="23"/>
      <c r="G263" s="68"/>
    </row>
    <row r="264" ht="15.75" customHeight="1">
      <c r="C264" s="64"/>
      <c r="D264" s="64"/>
      <c r="E264" s="23"/>
      <c r="F264" s="23"/>
      <c r="G264" s="68"/>
    </row>
    <row r="265" ht="15.75" customHeight="1">
      <c r="C265" s="64"/>
      <c r="D265" s="64"/>
      <c r="E265" s="23"/>
      <c r="F265" s="23"/>
      <c r="G265" s="68"/>
    </row>
    <row r="266" ht="15.75" customHeight="1">
      <c r="C266" s="64"/>
      <c r="D266" s="64"/>
      <c r="E266" s="23"/>
      <c r="F266" s="23"/>
      <c r="G266" s="68"/>
    </row>
    <row r="267" ht="15.75" customHeight="1">
      <c r="C267" s="64"/>
      <c r="D267" s="64"/>
      <c r="E267" s="23"/>
      <c r="F267" s="23"/>
      <c r="G267" s="68"/>
    </row>
    <row r="268" ht="15.75" customHeight="1">
      <c r="C268" s="64"/>
      <c r="D268" s="64"/>
      <c r="E268" s="23"/>
      <c r="F268" s="23"/>
      <c r="G268" s="68"/>
    </row>
    <row r="269" ht="15.75" customHeight="1">
      <c r="C269" s="64"/>
      <c r="D269" s="64"/>
      <c r="E269" s="23"/>
      <c r="F269" s="23"/>
      <c r="G269" s="68"/>
    </row>
    <row r="270" ht="15.75" customHeight="1">
      <c r="C270" s="64"/>
      <c r="D270" s="64"/>
      <c r="E270" s="23"/>
      <c r="F270" s="23"/>
      <c r="G270" s="68"/>
    </row>
    <row r="271" ht="15.75" customHeight="1">
      <c r="C271" s="64"/>
      <c r="D271" s="64"/>
      <c r="E271" s="23"/>
      <c r="F271" s="23"/>
      <c r="G271" s="68"/>
    </row>
    <row r="272" ht="15.75" customHeight="1">
      <c r="C272" s="64"/>
      <c r="D272" s="64"/>
      <c r="E272" s="23"/>
      <c r="F272" s="23"/>
      <c r="G272" s="68"/>
    </row>
    <row r="273" ht="15.75" customHeight="1">
      <c r="C273" s="64"/>
      <c r="D273" s="64"/>
      <c r="E273" s="23"/>
      <c r="F273" s="23"/>
      <c r="G273" s="68"/>
    </row>
    <row r="274" ht="15.75" customHeight="1">
      <c r="C274" s="64"/>
      <c r="D274" s="64"/>
      <c r="E274" s="23"/>
      <c r="F274" s="23"/>
      <c r="G274" s="68"/>
    </row>
    <row r="275" ht="15.75" customHeight="1">
      <c r="C275" s="64"/>
      <c r="D275" s="64"/>
      <c r="E275" s="23"/>
      <c r="F275" s="23"/>
      <c r="G275" s="68"/>
    </row>
    <row r="276" ht="15.75" customHeight="1">
      <c r="C276" s="64"/>
      <c r="D276" s="64"/>
      <c r="E276" s="23"/>
      <c r="F276" s="23"/>
      <c r="G276" s="68"/>
    </row>
    <row r="277" ht="15.75" customHeight="1">
      <c r="C277" s="64"/>
      <c r="D277" s="64"/>
      <c r="E277" s="23"/>
      <c r="F277" s="23"/>
      <c r="G277" s="68"/>
    </row>
    <row r="278" ht="15.75" customHeight="1">
      <c r="C278" s="64"/>
      <c r="D278" s="64"/>
      <c r="E278" s="23"/>
      <c r="F278" s="23"/>
      <c r="G278" s="68"/>
    </row>
    <row r="279" ht="15.75" customHeight="1">
      <c r="C279" s="64"/>
      <c r="D279" s="64"/>
      <c r="E279" s="23"/>
      <c r="F279" s="23"/>
      <c r="G279" s="68"/>
    </row>
    <row r="280" ht="15.75" customHeight="1">
      <c r="C280" s="64"/>
      <c r="D280" s="64"/>
      <c r="E280" s="23"/>
      <c r="F280" s="23"/>
      <c r="G280" s="68"/>
    </row>
    <row r="281" ht="15.75" customHeight="1">
      <c r="C281" s="64"/>
      <c r="D281" s="64"/>
      <c r="E281" s="23"/>
      <c r="F281" s="23"/>
      <c r="G281" s="68"/>
    </row>
    <row r="282" ht="15.75" customHeight="1">
      <c r="C282" s="64"/>
      <c r="D282" s="64"/>
      <c r="E282" s="23"/>
      <c r="F282" s="23"/>
      <c r="G282" s="68"/>
    </row>
    <row r="283" ht="15.75" customHeight="1">
      <c r="C283" s="64"/>
      <c r="D283" s="64"/>
      <c r="E283" s="23"/>
      <c r="F283" s="23"/>
      <c r="G283" s="68"/>
    </row>
    <row r="284" ht="15.75" customHeight="1">
      <c r="C284" s="64"/>
      <c r="D284" s="64"/>
      <c r="E284" s="23"/>
      <c r="F284" s="23"/>
      <c r="G284" s="68"/>
    </row>
    <row r="285" ht="15.75" customHeight="1">
      <c r="C285" s="64"/>
      <c r="D285" s="64"/>
      <c r="E285" s="23"/>
      <c r="F285" s="23"/>
      <c r="G285" s="68"/>
    </row>
    <row r="286" ht="15.75" customHeight="1">
      <c r="C286" s="64"/>
      <c r="D286" s="64"/>
      <c r="E286" s="23"/>
      <c r="F286" s="23"/>
      <c r="G286" s="68"/>
    </row>
    <row r="287" ht="15.75" customHeight="1">
      <c r="C287" s="64"/>
      <c r="D287" s="64"/>
      <c r="E287" s="23"/>
      <c r="F287" s="23"/>
      <c r="G287" s="68"/>
    </row>
    <row r="288" ht="15.75" customHeight="1">
      <c r="C288" s="64"/>
      <c r="D288" s="64"/>
      <c r="E288" s="23"/>
      <c r="F288" s="23"/>
      <c r="G288" s="68"/>
    </row>
    <row r="289" ht="15.75" customHeight="1">
      <c r="C289" s="64"/>
      <c r="D289" s="64"/>
      <c r="E289" s="23"/>
      <c r="F289" s="23"/>
      <c r="G289" s="68"/>
    </row>
    <row r="290" ht="15.75" customHeight="1">
      <c r="C290" s="64"/>
      <c r="D290" s="64"/>
      <c r="E290" s="23"/>
      <c r="F290" s="23"/>
      <c r="G290" s="68"/>
    </row>
    <row r="291" ht="15.75" customHeight="1">
      <c r="C291" s="64"/>
      <c r="D291" s="64"/>
      <c r="E291" s="23"/>
      <c r="F291" s="23"/>
      <c r="G291" s="68"/>
    </row>
    <row r="292" ht="15.75" customHeight="1">
      <c r="C292" s="64"/>
      <c r="D292" s="64"/>
      <c r="E292" s="23"/>
      <c r="F292" s="23"/>
      <c r="G292" s="68"/>
    </row>
    <row r="293" ht="15.75" customHeight="1">
      <c r="C293" s="64"/>
      <c r="D293" s="64"/>
      <c r="E293" s="23"/>
      <c r="F293" s="23"/>
      <c r="G293" s="68"/>
    </row>
    <row r="294" ht="15.75" customHeight="1">
      <c r="C294" s="64"/>
      <c r="D294" s="64"/>
      <c r="E294" s="23"/>
      <c r="F294" s="23"/>
      <c r="G294" s="68"/>
    </row>
    <row r="295" ht="15.75" customHeight="1">
      <c r="C295" s="64"/>
      <c r="D295" s="64"/>
      <c r="E295" s="23"/>
      <c r="F295" s="23"/>
      <c r="G295" s="68"/>
    </row>
    <row r="296" ht="15.75" customHeight="1">
      <c r="C296" s="64"/>
      <c r="D296" s="64"/>
      <c r="E296" s="23"/>
      <c r="F296" s="23"/>
      <c r="G296" s="68"/>
    </row>
    <row r="297" ht="15.75" customHeight="1">
      <c r="C297" s="64"/>
      <c r="D297" s="64"/>
      <c r="E297" s="23"/>
      <c r="F297" s="23"/>
      <c r="G297" s="68"/>
    </row>
    <row r="298" ht="15.75" customHeight="1">
      <c r="C298" s="64"/>
      <c r="D298" s="64"/>
      <c r="E298" s="23"/>
      <c r="F298" s="23"/>
      <c r="G298" s="68"/>
    </row>
    <row r="299" ht="15.75" customHeight="1">
      <c r="C299" s="64"/>
      <c r="D299" s="64"/>
      <c r="E299" s="23"/>
      <c r="F299" s="23"/>
      <c r="G299" s="68"/>
    </row>
    <row r="300" ht="15.75" customHeight="1">
      <c r="C300" s="64"/>
      <c r="D300" s="64"/>
      <c r="E300" s="23"/>
      <c r="F300" s="23"/>
      <c r="G300" s="68"/>
    </row>
    <row r="301" ht="15.75" customHeight="1">
      <c r="C301" s="64"/>
      <c r="D301" s="64"/>
      <c r="E301" s="23"/>
      <c r="F301" s="23"/>
      <c r="G301" s="68"/>
    </row>
    <row r="302" ht="15.75" customHeight="1">
      <c r="C302" s="64"/>
      <c r="D302" s="64"/>
      <c r="E302" s="23"/>
      <c r="F302" s="23"/>
      <c r="G302" s="68"/>
    </row>
    <row r="303" ht="15.75" customHeight="1">
      <c r="C303" s="64"/>
      <c r="D303" s="64"/>
      <c r="E303" s="23"/>
      <c r="F303" s="23"/>
      <c r="G303" s="68"/>
    </row>
    <row r="304" ht="15.75" customHeight="1">
      <c r="C304" s="64"/>
      <c r="D304" s="64"/>
      <c r="E304" s="23"/>
      <c r="F304" s="23"/>
      <c r="G304" s="68"/>
    </row>
    <row r="305" ht="15.75" customHeight="1">
      <c r="C305" s="64"/>
      <c r="D305" s="64"/>
      <c r="E305" s="23"/>
      <c r="F305" s="23"/>
      <c r="G305" s="68"/>
    </row>
    <row r="306" ht="15.75" customHeight="1">
      <c r="C306" s="64"/>
      <c r="D306" s="64"/>
      <c r="E306" s="23"/>
      <c r="F306" s="23"/>
      <c r="G306" s="68"/>
    </row>
    <row r="307" ht="15.75" customHeight="1">
      <c r="C307" s="64"/>
      <c r="D307" s="64"/>
      <c r="E307" s="23"/>
      <c r="F307" s="23"/>
      <c r="G307" s="68"/>
    </row>
    <row r="308" ht="15.75" customHeight="1">
      <c r="C308" s="64"/>
      <c r="D308" s="64"/>
      <c r="E308" s="23"/>
      <c r="F308" s="23"/>
      <c r="G308" s="68"/>
    </row>
    <row r="309" ht="15.75" customHeight="1">
      <c r="C309" s="64"/>
      <c r="D309" s="64"/>
      <c r="E309" s="23"/>
      <c r="F309" s="23"/>
      <c r="G309" s="68"/>
    </row>
    <row r="310" ht="15.75" customHeight="1">
      <c r="C310" s="64"/>
      <c r="D310" s="64"/>
      <c r="E310" s="23"/>
      <c r="F310" s="23"/>
      <c r="G310" s="68"/>
    </row>
    <row r="311" ht="15.75" customHeight="1">
      <c r="C311" s="64"/>
      <c r="D311" s="64"/>
      <c r="E311" s="23"/>
      <c r="F311" s="23"/>
      <c r="G311" s="68"/>
    </row>
    <row r="312" ht="15.75" customHeight="1">
      <c r="C312" s="64"/>
      <c r="D312" s="64"/>
      <c r="E312" s="23"/>
      <c r="F312" s="23"/>
      <c r="G312" s="68"/>
    </row>
    <row r="313" ht="15.75" customHeight="1">
      <c r="C313" s="64"/>
      <c r="D313" s="64"/>
      <c r="E313" s="23"/>
      <c r="F313" s="23"/>
      <c r="G313" s="68"/>
    </row>
    <row r="314" ht="15.75" customHeight="1">
      <c r="C314" s="64"/>
      <c r="D314" s="64"/>
      <c r="E314" s="23"/>
      <c r="F314" s="23"/>
      <c r="G314" s="68"/>
    </row>
    <row r="315" ht="15.75" customHeight="1">
      <c r="C315" s="64"/>
      <c r="D315" s="64"/>
      <c r="E315" s="23"/>
      <c r="F315" s="23"/>
      <c r="G315" s="68"/>
    </row>
    <row r="316" ht="15.75" customHeight="1">
      <c r="C316" s="64"/>
      <c r="D316" s="64"/>
      <c r="E316" s="23"/>
      <c r="F316" s="23"/>
      <c r="G316" s="68"/>
    </row>
    <row r="317" ht="15.75" customHeight="1">
      <c r="C317" s="64"/>
      <c r="D317" s="64"/>
      <c r="E317" s="23"/>
      <c r="F317" s="23"/>
      <c r="G317" s="68"/>
    </row>
    <row r="318" ht="15.75" customHeight="1">
      <c r="C318" s="64"/>
      <c r="D318" s="64"/>
      <c r="E318" s="23"/>
      <c r="F318" s="23"/>
      <c r="G318" s="68"/>
    </row>
    <row r="319" ht="15.75" customHeight="1">
      <c r="C319" s="64"/>
      <c r="D319" s="64"/>
      <c r="E319" s="23"/>
      <c r="F319" s="23"/>
      <c r="G319" s="68"/>
    </row>
    <row r="320" ht="15.75" customHeight="1">
      <c r="C320" s="64"/>
      <c r="D320" s="64"/>
      <c r="E320" s="23"/>
      <c r="F320" s="23"/>
      <c r="G320" s="68"/>
    </row>
    <row r="321" ht="15.75" customHeight="1">
      <c r="C321" s="64"/>
      <c r="D321" s="64"/>
      <c r="E321" s="23"/>
      <c r="F321" s="23"/>
      <c r="G321" s="68"/>
    </row>
    <row r="322" ht="15.75" customHeight="1">
      <c r="C322" s="64"/>
      <c r="D322" s="64"/>
      <c r="E322" s="23"/>
      <c r="F322" s="23"/>
      <c r="G322" s="68"/>
    </row>
    <row r="323" ht="15.75" customHeight="1">
      <c r="C323" s="64"/>
      <c r="D323" s="64"/>
      <c r="E323" s="23"/>
      <c r="F323" s="23"/>
      <c r="G323" s="68"/>
    </row>
    <row r="324" ht="15.75" customHeight="1">
      <c r="C324" s="64"/>
      <c r="D324" s="64"/>
      <c r="E324" s="23"/>
      <c r="F324" s="23"/>
      <c r="G324" s="68"/>
    </row>
    <row r="325" ht="15.75" customHeight="1">
      <c r="C325" s="64"/>
      <c r="D325" s="64"/>
      <c r="E325" s="23"/>
      <c r="F325" s="23"/>
      <c r="G325" s="68"/>
    </row>
    <row r="326" ht="15.75" customHeight="1">
      <c r="C326" s="64"/>
      <c r="D326" s="64"/>
      <c r="E326" s="23"/>
      <c r="F326" s="23"/>
      <c r="G326" s="68"/>
    </row>
    <row r="327" ht="15.75" customHeight="1">
      <c r="C327" s="64"/>
      <c r="D327" s="64"/>
      <c r="E327" s="23"/>
      <c r="F327" s="23"/>
      <c r="G327" s="68"/>
    </row>
    <row r="328" ht="15.75" customHeight="1">
      <c r="C328" s="64"/>
      <c r="D328" s="64"/>
      <c r="E328" s="23"/>
      <c r="F328" s="23"/>
      <c r="G328" s="68"/>
    </row>
    <row r="329" ht="15.75" customHeight="1">
      <c r="C329" s="64"/>
      <c r="D329" s="64"/>
      <c r="E329" s="23"/>
      <c r="F329" s="23"/>
      <c r="G329" s="68"/>
    </row>
    <row r="330" ht="15.75" customHeight="1">
      <c r="C330" s="64"/>
      <c r="D330" s="64"/>
      <c r="E330" s="23"/>
      <c r="F330" s="23"/>
      <c r="G330" s="68"/>
    </row>
    <row r="331" ht="15.75" customHeight="1">
      <c r="C331" s="64"/>
      <c r="D331" s="64"/>
      <c r="E331" s="23"/>
      <c r="F331" s="23"/>
      <c r="G331" s="68"/>
    </row>
    <row r="332" ht="15.75" customHeight="1">
      <c r="C332" s="64"/>
      <c r="D332" s="64"/>
      <c r="E332" s="23"/>
      <c r="F332" s="23"/>
      <c r="G332" s="68"/>
    </row>
    <row r="333" ht="15.75" customHeight="1">
      <c r="C333" s="64"/>
      <c r="D333" s="64"/>
      <c r="E333" s="23"/>
      <c r="F333" s="23"/>
      <c r="G333" s="68"/>
    </row>
    <row r="334" ht="15.75" customHeight="1">
      <c r="C334" s="64"/>
      <c r="D334" s="64"/>
      <c r="E334" s="23"/>
      <c r="F334" s="23"/>
      <c r="G334" s="68"/>
    </row>
    <row r="335" ht="15.75" customHeight="1">
      <c r="C335" s="64"/>
      <c r="D335" s="64"/>
      <c r="E335" s="23"/>
      <c r="F335" s="23"/>
      <c r="G335" s="68"/>
    </row>
    <row r="336" ht="15.75" customHeight="1">
      <c r="C336" s="64"/>
      <c r="D336" s="64"/>
      <c r="E336" s="23"/>
      <c r="F336" s="23"/>
      <c r="G336" s="68"/>
    </row>
    <row r="337" ht="15.75" customHeight="1">
      <c r="C337" s="64"/>
      <c r="D337" s="64"/>
      <c r="E337" s="23"/>
      <c r="F337" s="23"/>
      <c r="G337" s="68"/>
    </row>
    <row r="338" ht="15.75" customHeight="1">
      <c r="C338" s="64"/>
      <c r="D338" s="64"/>
      <c r="E338" s="23"/>
      <c r="F338" s="23"/>
      <c r="G338" s="68"/>
    </row>
    <row r="339" ht="15.75" customHeight="1">
      <c r="C339" s="64"/>
      <c r="D339" s="64"/>
      <c r="E339" s="23"/>
      <c r="F339" s="23"/>
      <c r="G339" s="68"/>
    </row>
    <row r="340" ht="15.75" customHeight="1">
      <c r="C340" s="64"/>
      <c r="D340" s="64"/>
      <c r="E340" s="23"/>
      <c r="F340" s="23"/>
      <c r="G340" s="68"/>
    </row>
    <row r="341" ht="15.75" customHeight="1">
      <c r="C341" s="64"/>
      <c r="D341" s="64"/>
      <c r="E341" s="23"/>
      <c r="F341" s="23"/>
      <c r="G341" s="68"/>
    </row>
    <row r="342" ht="15.75" customHeight="1">
      <c r="C342" s="64"/>
      <c r="D342" s="64"/>
      <c r="E342" s="23"/>
      <c r="F342" s="23"/>
      <c r="G342" s="68"/>
    </row>
    <row r="343" ht="15.75" customHeight="1">
      <c r="C343" s="64"/>
      <c r="D343" s="64"/>
      <c r="E343" s="23"/>
      <c r="F343" s="23"/>
      <c r="G343" s="68"/>
    </row>
    <row r="344" ht="15.75" customHeight="1">
      <c r="C344" s="64"/>
      <c r="D344" s="64"/>
      <c r="E344" s="23"/>
      <c r="F344" s="23"/>
      <c r="G344" s="68"/>
    </row>
    <row r="345" ht="15.75" customHeight="1">
      <c r="C345" s="64"/>
      <c r="D345" s="64"/>
      <c r="E345" s="23"/>
      <c r="F345" s="23"/>
      <c r="G345" s="68"/>
    </row>
    <row r="346" ht="15.75" customHeight="1">
      <c r="C346" s="64"/>
      <c r="D346" s="64"/>
      <c r="E346" s="23"/>
      <c r="F346" s="23"/>
      <c r="G346" s="68"/>
    </row>
    <row r="347" ht="15.75" customHeight="1">
      <c r="C347" s="64"/>
      <c r="D347" s="64"/>
      <c r="E347" s="23"/>
      <c r="F347" s="23"/>
      <c r="G347" s="68"/>
    </row>
    <row r="348" ht="15.75" customHeight="1">
      <c r="C348" s="64"/>
      <c r="D348" s="64"/>
      <c r="E348" s="23"/>
      <c r="F348" s="23"/>
      <c r="G348" s="68"/>
    </row>
    <row r="349" ht="15.75" customHeight="1">
      <c r="C349" s="64"/>
      <c r="D349" s="64"/>
      <c r="E349" s="23"/>
      <c r="F349" s="23"/>
      <c r="G349" s="68"/>
    </row>
    <row r="350" ht="15.75" customHeight="1">
      <c r="C350" s="64"/>
      <c r="D350" s="64"/>
      <c r="E350" s="23"/>
      <c r="F350" s="23"/>
      <c r="G350" s="68"/>
    </row>
    <row r="351" ht="15.75" customHeight="1">
      <c r="C351" s="64"/>
      <c r="D351" s="64"/>
      <c r="E351" s="23"/>
      <c r="F351" s="23"/>
      <c r="G351" s="68"/>
    </row>
    <row r="352" ht="15.75" customHeight="1">
      <c r="C352" s="64"/>
      <c r="D352" s="64"/>
      <c r="E352" s="23"/>
      <c r="F352" s="23"/>
      <c r="G352" s="68"/>
    </row>
    <row r="353" ht="15.75" customHeight="1">
      <c r="C353" s="64"/>
      <c r="D353" s="64"/>
      <c r="E353" s="23"/>
      <c r="F353" s="23"/>
      <c r="G353" s="68"/>
    </row>
    <row r="354" ht="15.75" customHeight="1">
      <c r="C354" s="64"/>
      <c r="D354" s="64"/>
      <c r="E354" s="23"/>
      <c r="F354" s="23"/>
      <c r="G354" s="68"/>
    </row>
    <row r="355" ht="15.75" customHeight="1">
      <c r="C355" s="64"/>
      <c r="D355" s="64"/>
      <c r="E355" s="23"/>
      <c r="F355" s="23"/>
      <c r="G355" s="68"/>
    </row>
    <row r="356" ht="15.75" customHeight="1">
      <c r="C356" s="64"/>
      <c r="D356" s="64"/>
      <c r="E356" s="23"/>
      <c r="F356" s="23"/>
      <c r="G356" s="68"/>
    </row>
    <row r="357" ht="15.75" customHeight="1">
      <c r="C357" s="64"/>
      <c r="D357" s="64"/>
      <c r="E357" s="23"/>
      <c r="F357" s="23"/>
      <c r="G357" s="68"/>
    </row>
    <row r="358" ht="15.75" customHeight="1">
      <c r="C358" s="64"/>
      <c r="D358" s="64"/>
      <c r="E358" s="23"/>
      <c r="F358" s="23"/>
      <c r="G358" s="68"/>
    </row>
    <row r="359" ht="15.75" customHeight="1">
      <c r="C359" s="64"/>
      <c r="D359" s="64"/>
      <c r="E359" s="23"/>
      <c r="F359" s="23"/>
      <c r="G359" s="68"/>
    </row>
    <row r="360" ht="15.75" customHeight="1">
      <c r="C360" s="64"/>
      <c r="D360" s="64"/>
      <c r="E360" s="23"/>
      <c r="F360" s="23"/>
      <c r="G360" s="68"/>
    </row>
    <row r="361" ht="15.75" customHeight="1">
      <c r="C361" s="64"/>
      <c r="D361" s="64"/>
      <c r="E361" s="23"/>
      <c r="F361" s="23"/>
      <c r="G361" s="68"/>
    </row>
    <row r="362" ht="15.75" customHeight="1">
      <c r="C362" s="64"/>
      <c r="D362" s="64"/>
      <c r="E362" s="23"/>
      <c r="F362" s="23"/>
      <c r="G362" s="68"/>
    </row>
    <row r="363" ht="15.75" customHeight="1">
      <c r="C363" s="64"/>
      <c r="D363" s="64"/>
      <c r="E363" s="23"/>
      <c r="F363" s="23"/>
      <c r="G363" s="68"/>
    </row>
    <row r="364" ht="15.75" customHeight="1">
      <c r="C364" s="64"/>
      <c r="D364" s="64"/>
      <c r="E364" s="23"/>
      <c r="F364" s="23"/>
      <c r="G364" s="68"/>
    </row>
    <row r="365" ht="15.75" customHeight="1">
      <c r="C365" s="64"/>
      <c r="D365" s="64"/>
      <c r="E365" s="23"/>
      <c r="F365" s="23"/>
      <c r="G365" s="68"/>
    </row>
    <row r="366" ht="15.75" customHeight="1">
      <c r="C366" s="64"/>
      <c r="D366" s="64"/>
      <c r="E366" s="23"/>
      <c r="F366" s="23"/>
      <c r="G366" s="68"/>
    </row>
    <row r="367" ht="15.75" customHeight="1">
      <c r="C367" s="64"/>
      <c r="D367" s="64"/>
      <c r="E367" s="23"/>
      <c r="F367" s="23"/>
      <c r="G367" s="68"/>
    </row>
    <row r="368" ht="15.75" customHeight="1">
      <c r="C368" s="64"/>
      <c r="D368" s="64"/>
      <c r="E368" s="23"/>
      <c r="F368" s="23"/>
      <c r="G368" s="68"/>
    </row>
    <row r="369" ht="15.75" customHeight="1">
      <c r="C369" s="64"/>
      <c r="D369" s="64"/>
      <c r="E369" s="23"/>
      <c r="F369" s="23"/>
      <c r="G369" s="68"/>
    </row>
    <row r="370" ht="15.75" customHeight="1">
      <c r="C370" s="64"/>
      <c r="D370" s="64"/>
      <c r="E370" s="23"/>
      <c r="F370" s="23"/>
      <c r="G370" s="68"/>
    </row>
    <row r="371" ht="15.75" customHeight="1">
      <c r="C371" s="64"/>
      <c r="D371" s="64"/>
      <c r="E371" s="23"/>
      <c r="F371" s="23"/>
      <c r="G371" s="68"/>
    </row>
    <row r="372" ht="15.75" customHeight="1">
      <c r="C372" s="64"/>
      <c r="D372" s="64"/>
      <c r="E372" s="23"/>
      <c r="F372" s="23"/>
      <c r="G372" s="68"/>
    </row>
    <row r="373" ht="15.75" customHeight="1">
      <c r="C373" s="64"/>
      <c r="D373" s="64"/>
      <c r="E373" s="23"/>
      <c r="F373" s="23"/>
      <c r="G373" s="68"/>
    </row>
    <row r="374" ht="15.75" customHeight="1">
      <c r="C374" s="64"/>
      <c r="D374" s="64"/>
      <c r="E374" s="23"/>
      <c r="F374" s="23"/>
      <c r="G374" s="68"/>
    </row>
    <row r="375" ht="15.75" customHeight="1">
      <c r="C375" s="64"/>
      <c r="D375" s="64"/>
      <c r="E375" s="23"/>
      <c r="F375" s="23"/>
      <c r="G375" s="68"/>
    </row>
    <row r="376" ht="15.75" customHeight="1">
      <c r="C376" s="64"/>
      <c r="D376" s="64"/>
      <c r="E376" s="23"/>
      <c r="F376" s="23"/>
      <c r="G376" s="68"/>
    </row>
    <row r="377" ht="15.75" customHeight="1">
      <c r="C377" s="64"/>
      <c r="D377" s="64"/>
      <c r="E377" s="23"/>
      <c r="F377" s="23"/>
      <c r="G377" s="68"/>
    </row>
    <row r="378" ht="15.75" customHeight="1">
      <c r="C378" s="64"/>
      <c r="D378" s="64"/>
      <c r="E378" s="23"/>
      <c r="F378" s="23"/>
      <c r="G378" s="68"/>
    </row>
    <row r="379" ht="15.75" customHeight="1">
      <c r="C379" s="64"/>
      <c r="D379" s="64"/>
      <c r="E379" s="23"/>
      <c r="F379" s="23"/>
      <c r="G379" s="68"/>
    </row>
    <row r="380" ht="15.75" customHeight="1">
      <c r="C380" s="64"/>
      <c r="D380" s="64"/>
      <c r="E380" s="23"/>
      <c r="F380" s="23"/>
      <c r="G380" s="68"/>
    </row>
    <row r="381" ht="15.75" customHeight="1">
      <c r="C381" s="64"/>
      <c r="D381" s="64"/>
      <c r="E381" s="23"/>
      <c r="F381" s="23"/>
      <c r="G381" s="68"/>
    </row>
    <row r="382" ht="15.75" customHeight="1">
      <c r="C382" s="64"/>
      <c r="D382" s="64"/>
      <c r="E382" s="23"/>
      <c r="F382" s="23"/>
      <c r="G382" s="68"/>
    </row>
    <row r="383" ht="15.75" customHeight="1">
      <c r="C383" s="64"/>
      <c r="D383" s="64"/>
      <c r="E383" s="23"/>
      <c r="F383" s="23"/>
      <c r="G383" s="68"/>
    </row>
    <row r="384" ht="15.75" customHeight="1">
      <c r="C384" s="64"/>
      <c r="D384" s="64"/>
      <c r="E384" s="23"/>
      <c r="F384" s="23"/>
      <c r="G384" s="68"/>
    </row>
    <row r="385" ht="15.75" customHeight="1">
      <c r="C385" s="64"/>
      <c r="D385" s="64"/>
      <c r="E385" s="23"/>
      <c r="F385" s="23"/>
      <c r="G385" s="68"/>
    </row>
    <row r="386" ht="15.75" customHeight="1">
      <c r="C386" s="64"/>
      <c r="D386" s="64"/>
      <c r="E386" s="23"/>
      <c r="F386" s="23"/>
      <c r="G386" s="68"/>
    </row>
    <row r="387" ht="15.75" customHeight="1">
      <c r="C387" s="64"/>
      <c r="D387" s="64"/>
      <c r="E387" s="23"/>
      <c r="F387" s="23"/>
      <c r="G387" s="68"/>
    </row>
    <row r="388" ht="15.75" customHeight="1">
      <c r="C388" s="64"/>
      <c r="D388" s="64"/>
      <c r="E388" s="23"/>
      <c r="F388" s="23"/>
      <c r="G388" s="68"/>
    </row>
    <row r="389" ht="15.75" customHeight="1">
      <c r="C389" s="64"/>
      <c r="D389" s="64"/>
      <c r="E389" s="23"/>
      <c r="F389" s="23"/>
      <c r="G389" s="68"/>
    </row>
    <row r="390" ht="15.75" customHeight="1">
      <c r="C390" s="64"/>
      <c r="D390" s="64"/>
      <c r="E390" s="23"/>
      <c r="F390" s="23"/>
      <c r="G390" s="68"/>
    </row>
    <row r="391" ht="15.75" customHeight="1">
      <c r="C391" s="64"/>
      <c r="D391" s="64"/>
      <c r="E391" s="23"/>
      <c r="F391" s="23"/>
      <c r="G391" s="68"/>
    </row>
    <row r="392" ht="15.75" customHeight="1">
      <c r="C392" s="64"/>
      <c r="D392" s="64"/>
      <c r="E392" s="23"/>
      <c r="F392" s="23"/>
      <c r="G392" s="68"/>
    </row>
    <row r="393" ht="15.75" customHeight="1">
      <c r="C393" s="64"/>
      <c r="D393" s="64"/>
      <c r="E393" s="23"/>
      <c r="F393" s="23"/>
      <c r="G393" s="68"/>
    </row>
    <row r="394" ht="15.75" customHeight="1">
      <c r="C394" s="64"/>
      <c r="D394" s="64"/>
      <c r="E394" s="23"/>
      <c r="F394" s="23"/>
      <c r="G394" s="68"/>
    </row>
    <row r="395" ht="15.75" customHeight="1">
      <c r="C395" s="64"/>
      <c r="D395" s="64"/>
      <c r="E395" s="23"/>
      <c r="F395" s="23"/>
      <c r="G395" s="68"/>
    </row>
    <row r="396" ht="15.75" customHeight="1">
      <c r="C396" s="64"/>
      <c r="D396" s="64"/>
      <c r="E396" s="23"/>
      <c r="F396" s="23"/>
      <c r="G396" s="68"/>
    </row>
    <row r="397" ht="15.75" customHeight="1">
      <c r="C397" s="64"/>
      <c r="D397" s="64"/>
      <c r="E397" s="23"/>
      <c r="F397" s="23"/>
      <c r="G397" s="68"/>
    </row>
    <row r="398" ht="15.75" customHeight="1">
      <c r="C398" s="64"/>
      <c r="D398" s="64"/>
      <c r="E398" s="23"/>
      <c r="F398" s="23"/>
      <c r="G398" s="68"/>
    </row>
    <row r="399" ht="15.75" customHeight="1">
      <c r="C399" s="64"/>
      <c r="D399" s="64"/>
      <c r="E399" s="23"/>
      <c r="F399" s="23"/>
      <c r="G399" s="68"/>
    </row>
    <row r="400" ht="15.75" customHeight="1">
      <c r="C400" s="64"/>
      <c r="D400" s="64"/>
      <c r="E400" s="23"/>
      <c r="F400" s="23"/>
      <c r="G400" s="68"/>
    </row>
    <row r="401" ht="15.75" customHeight="1">
      <c r="C401" s="64"/>
      <c r="D401" s="64"/>
      <c r="E401" s="23"/>
      <c r="F401" s="23"/>
      <c r="G401" s="68"/>
    </row>
    <row r="402" ht="15.75" customHeight="1">
      <c r="C402" s="64"/>
      <c r="D402" s="64"/>
      <c r="E402" s="23"/>
      <c r="F402" s="23"/>
      <c r="G402" s="68"/>
    </row>
    <row r="403" ht="15.75" customHeight="1">
      <c r="C403" s="64"/>
      <c r="D403" s="64"/>
      <c r="E403" s="23"/>
      <c r="F403" s="23"/>
      <c r="G403" s="68"/>
    </row>
    <row r="404" ht="15.75" customHeight="1">
      <c r="C404" s="64"/>
      <c r="D404" s="64"/>
      <c r="E404" s="23"/>
      <c r="F404" s="23"/>
      <c r="G404" s="68"/>
    </row>
    <row r="405" ht="15.75" customHeight="1">
      <c r="C405" s="64"/>
      <c r="D405" s="64"/>
      <c r="E405" s="23"/>
      <c r="F405" s="23"/>
      <c r="G405" s="68"/>
    </row>
    <row r="406" ht="15.75" customHeight="1">
      <c r="C406" s="64"/>
      <c r="D406" s="64"/>
      <c r="E406" s="23"/>
      <c r="F406" s="23"/>
      <c r="G406" s="68"/>
    </row>
    <row r="407" ht="15.75" customHeight="1">
      <c r="C407" s="64"/>
      <c r="D407" s="64"/>
      <c r="E407" s="23"/>
      <c r="F407" s="23"/>
      <c r="G407" s="68"/>
    </row>
    <row r="408" ht="15.75" customHeight="1">
      <c r="C408" s="64"/>
      <c r="D408" s="64"/>
      <c r="E408" s="23"/>
      <c r="F408" s="23"/>
      <c r="G408" s="68"/>
    </row>
    <row r="409" ht="15.75" customHeight="1">
      <c r="C409" s="64"/>
      <c r="D409" s="64"/>
      <c r="E409" s="23"/>
      <c r="F409" s="23"/>
      <c r="G409" s="68"/>
    </row>
    <row r="410" ht="15.75" customHeight="1">
      <c r="C410" s="64"/>
      <c r="D410" s="64"/>
      <c r="E410" s="23"/>
      <c r="F410" s="23"/>
      <c r="G410" s="68"/>
    </row>
    <row r="411" ht="15.75" customHeight="1">
      <c r="C411" s="64"/>
      <c r="D411" s="64"/>
      <c r="E411" s="23"/>
      <c r="F411" s="23"/>
      <c r="G411" s="68"/>
    </row>
    <row r="412" ht="15.75" customHeight="1">
      <c r="C412" s="64"/>
      <c r="D412" s="64"/>
      <c r="E412" s="23"/>
      <c r="F412" s="23"/>
      <c r="G412" s="68"/>
    </row>
    <row r="413" ht="15.75" customHeight="1">
      <c r="C413" s="64"/>
      <c r="D413" s="64"/>
      <c r="E413" s="23"/>
      <c r="F413" s="23"/>
      <c r="G413" s="68"/>
    </row>
    <row r="414" ht="15.75" customHeight="1">
      <c r="C414" s="64"/>
      <c r="D414" s="64"/>
      <c r="E414" s="23"/>
      <c r="F414" s="23"/>
      <c r="G414" s="68"/>
    </row>
    <row r="415" ht="15.75" customHeight="1">
      <c r="C415" s="64"/>
      <c r="D415" s="64"/>
      <c r="E415" s="23"/>
      <c r="F415" s="23"/>
      <c r="G415" s="68"/>
    </row>
    <row r="416" ht="15.75" customHeight="1">
      <c r="C416" s="64"/>
      <c r="D416" s="64"/>
      <c r="E416" s="23"/>
      <c r="F416" s="23"/>
      <c r="G416" s="68"/>
    </row>
    <row r="417" ht="15.75" customHeight="1">
      <c r="C417" s="64"/>
      <c r="D417" s="64"/>
      <c r="E417" s="23"/>
      <c r="F417" s="23"/>
      <c r="G417" s="68"/>
    </row>
    <row r="418" ht="15.75" customHeight="1">
      <c r="C418" s="64"/>
      <c r="D418" s="64"/>
      <c r="E418" s="23"/>
      <c r="F418" s="23"/>
      <c r="G418" s="68"/>
    </row>
    <row r="419" ht="15.75" customHeight="1">
      <c r="C419" s="64"/>
      <c r="D419" s="64"/>
      <c r="E419" s="23"/>
      <c r="F419" s="23"/>
      <c r="G419" s="68"/>
    </row>
    <row r="420" ht="15.75" customHeight="1">
      <c r="C420" s="64"/>
      <c r="D420" s="64"/>
      <c r="E420" s="23"/>
      <c r="F420" s="23"/>
      <c r="G420" s="68"/>
    </row>
    <row r="421" ht="15.75" customHeight="1">
      <c r="C421" s="64"/>
      <c r="D421" s="64"/>
      <c r="E421" s="23"/>
      <c r="F421" s="23"/>
      <c r="G421" s="68"/>
    </row>
    <row r="422" ht="15.75" customHeight="1">
      <c r="C422" s="64"/>
      <c r="D422" s="64"/>
      <c r="E422" s="23"/>
      <c r="F422" s="23"/>
      <c r="G422" s="68"/>
    </row>
    <row r="423" ht="15.75" customHeight="1">
      <c r="C423" s="64"/>
      <c r="D423" s="64"/>
      <c r="E423" s="23"/>
      <c r="F423" s="23"/>
      <c r="G423" s="68"/>
    </row>
    <row r="424" ht="15.75" customHeight="1">
      <c r="C424" s="64"/>
      <c r="D424" s="64"/>
      <c r="E424" s="23"/>
      <c r="F424" s="23"/>
      <c r="G424" s="68"/>
    </row>
    <row r="425" ht="15.75" customHeight="1">
      <c r="C425" s="64"/>
      <c r="D425" s="64"/>
      <c r="E425" s="23"/>
      <c r="F425" s="23"/>
      <c r="G425" s="68"/>
    </row>
    <row r="426" ht="15.75" customHeight="1">
      <c r="C426" s="64"/>
      <c r="D426" s="64"/>
      <c r="E426" s="23"/>
      <c r="F426" s="23"/>
      <c r="G426" s="68"/>
    </row>
    <row r="427" ht="15.75" customHeight="1">
      <c r="C427" s="64"/>
      <c r="D427" s="64"/>
      <c r="E427" s="23"/>
      <c r="F427" s="23"/>
      <c r="G427" s="68"/>
    </row>
    <row r="428" ht="15.75" customHeight="1">
      <c r="C428" s="64"/>
      <c r="D428" s="64"/>
      <c r="E428" s="23"/>
      <c r="F428" s="23"/>
      <c r="G428" s="68"/>
    </row>
    <row r="429" ht="15.75" customHeight="1">
      <c r="C429" s="64"/>
      <c r="D429" s="64"/>
      <c r="E429" s="23"/>
      <c r="F429" s="23"/>
      <c r="G429" s="68"/>
    </row>
    <row r="430" ht="15.75" customHeight="1">
      <c r="C430" s="64"/>
      <c r="D430" s="64"/>
      <c r="E430" s="23"/>
      <c r="F430" s="23"/>
      <c r="G430" s="68"/>
    </row>
    <row r="431" ht="15.75" customHeight="1">
      <c r="C431" s="64"/>
      <c r="D431" s="64"/>
      <c r="E431" s="23"/>
      <c r="F431" s="23"/>
      <c r="G431" s="68"/>
    </row>
    <row r="432" ht="15.75" customHeight="1">
      <c r="C432" s="64"/>
      <c r="D432" s="64"/>
      <c r="E432" s="23"/>
      <c r="F432" s="23"/>
      <c r="G432" s="68"/>
    </row>
    <row r="433" ht="15.75" customHeight="1">
      <c r="C433" s="64"/>
      <c r="D433" s="64"/>
      <c r="E433" s="23"/>
      <c r="F433" s="23"/>
      <c r="G433" s="68"/>
    </row>
    <row r="434" ht="15.75" customHeight="1">
      <c r="C434" s="64"/>
      <c r="D434" s="64"/>
      <c r="E434" s="23"/>
      <c r="F434" s="23"/>
      <c r="G434" s="68"/>
    </row>
    <row r="435" ht="15.75" customHeight="1">
      <c r="C435" s="64"/>
      <c r="D435" s="64"/>
      <c r="E435" s="23"/>
      <c r="F435" s="23"/>
      <c r="G435" s="68"/>
    </row>
    <row r="436" ht="15.75" customHeight="1">
      <c r="C436" s="64"/>
      <c r="D436" s="64"/>
      <c r="E436" s="23"/>
      <c r="F436" s="23"/>
      <c r="G436" s="68"/>
    </row>
    <row r="437" ht="15.75" customHeight="1">
      <c r="C437" s="64"/>
      <c r="D437" s="64"/>
      <c r="E437" s="23"/>
      <c r="F437" s="23"/>
      <c r="G437" s="68"/>
    </row>
    <row r="438" ht="15.75" customHeight="1">
      <c r="C438" s="64"/>
      <c r="D438" s="64"/>
      <c r="E438" s="23"/>
      <c r="F438" s="23"/>
      <c r="G438" s="68"/>
    </row>
    <row r="439" ht="15.75" customHeight="1">
      <c r="C439" s="64"/>
      <c r="D439" s="64"/>
      <c r="E439" s="23"/>
      <c r="F439" s="23"/>
      <c r="G439" s="68"/>
    </row>
    <row r="440" ht="15.75" customHeight="1">
      <c r="C440" s="64"/>
      <c r="D440" s="64"/>
      <c r="E440" s="23"/>
      <c r="F440" s="23"/>
      <c r="G440" s="68"/>
    </row>
    <row r="441" ht="15.75" customHeight="1">
      <c r="C441" s="64"/>
      <c r="D441" s="64"/>
      <c r="E441" s="23"/>
      <c r="F441" s="23"/>
      <c r="G441" s="68"/>
    </row>
    <row r="442" ht="15.75" customHeight="1">
      <c r="C442" s="64"/>
      <c r="D442" s="64"/>
      <c r="E442" s="23"/>
      <c r="F442" s="23"/>
      <c r="G442" s="68"/>
    </row>
    <row r="443" ht="15.75" customHeight="1">
      <c r="C443" s="64"/>
      <c r="D443" s="64"/>
      <c r="E443" s="23"/>
      <c r="F443" s="23"/>
      <c r="G443" s="68"/>
    </row>
    <row r="444" ht="15.75" customHeight="1">
      <c r="C444" s="64"/>
      <c r="D444" s="64"/>
      <c r="E444" s="23"/>
      <c r="F444" s="23"/>
      <c r="G444" s="68"/>
    </row>
    <row r="445" ht="15.75" customHeight="1">
      <c r="C445" s="64"/>
      <c r="D445" s="64"/>
      <c r="E445" s="23"/>
      <c r="F445" s="23"/>
      <c r="G445" s="68"/>
    </row>
    <row r="446" ht="15.75" customHeight="1">
      <c r="C446" s="64"/>
      <c r="D446" s="64"/>
      <c r="E446" s="23"/>
      <c r="F446" s="23"/>
      <c r="G446" s="68"/>
    </row>
    <row r="447" ht="15.75" customHeight="1">
      <c r="C447" s="64"/>
      <c r="D447" s="64"/>
      <c r="E447" s="23"/>
      <c r="F447" s="23"/>
      <c r="G447" s="68"/>
    </row>
    <row r="448" ht="15.75" customHeight="1">
      <c r="C448" s="64"/>
      <c r="D448" s="64"/>
      <c r="E448" s="23"/>
      <c r="F448" s="23"/>
      <c r="G448" s="68"/>
    </row>
    <row r="449" ht="15.75" customHeight="1">
      <c r="C449" s="64"/>
      <c r="D449" s="64"/>
      <c r="E449" s="23"/>
      <c r="F449" s="23"/>
      <c r="G449" s="68"/>
    </row>
    <row r="450" ht="15.75" customHeight="1">
      <c r="C450" s="64"/>
      <c r="D450" s="64"/>
      <c r="E450" s="23"/>
      <c r="F450" s="23"/>
      <c r="G450" s="68"/>
    </row>
    <row r="451" ht="15.75" customHeight="1">
      <c r="C451" s="64"/>
      <c r="D451" s="64"/>
      <c r="E451" s="23"/>
      <c r="F451" s="23"/>
      <c r="G451" s="68"/>
    </row>
    <row r="452" ht="15.75" customHeight="1">
      <c r="C452" s="64"/>
      <c r="D452" s="64"/>
      <c r="E452" s="23"/>
      <c r="F452" s="23"/>
      <c r="G452" s="68"/>
    </row>
    <row r="453" ht="15.75" customHeight="1">
      <c r="C453" s="64"/>
      <c r="D453" s="64"/>
      <c r="E453" s="23"/>
      <c r="F453" s="23"/>
      <c r="G453" s="68"/>
    </row>
    <row r="454" ht="15.75" customHeight="1">
      <c r="C454" s="64"/>
      <c r="D454" s="64"/>
      <c r="E454" s="23"/>
      <c r="F454" s="23"/>
      <c r="G454" s="68"/>
    </row>
    <row r="455" ht="15.75" customHeight="1">
      <c r="C455" s="64"/>
      <c r="D455" s="64"/>
      <c r="E455" s="23"/>
      <c r="F455" s="23"/>
      <c r="G455" s="68"/>
    </row>
    <row r="456" ht="15.75" customHeight="1">
      <c r="C456" s="64"/>
      <c r="D456" s="64"/>
      <c r="E456" s="23"/>
      <c r="F456" s="23"/>
      <c r="G456" s="68"/>
    </row>
    <row r="457" ht="15.75" customHeight="1">
      <c r="C457" s="64"/>
      <c r="D457" s="64"/>
      <c r="E457" s="23"/>
      <c r="F457" s="23"/>
      <c r="G457" s="68"/>
    </row>
    <row r="458" ht="15.75" customHeight="1">
      <c r="C458" s="64"/>
      <c r="D458" s="64"/>
      <c r="E458" s="23"/>
      <c r="F458" s="23"/>
      <c r="G458" s="68"/>
    </row>
    <row r="459" ht="15.75" customHeight="1">
      <c r="C459" s="64"/>
      <c r="D459" s="64"/>
      <c r="E459" s="23"/>
      <c r="F459" s="23"/>
      <c r="G459" s="68"/>
    </row>
    <row r="460" ht="15.75" customHeight="1">
      <c r="C460" s="64"/>
      <c r="D460" s="64"/>
      <c r="E460" s="23"/>
      <c r="F460" s="23"/>
      <c r="G460" s="68"/>
    </row>
    <row r="461" ht="15.75" customHeight="1">
      <c r="C461" s="64"/>
      <c r="D461" s="64"/>
      <c r="E461" s="23"/>
      <c r="F461" s="23"/>
      <c r="G461" s="68"/>
    </row>
    <row r="462" ht="15.75" customHeight="1">
      <c r="C462" s="64"/>
      <c r="D462" s="64"/>
      <c r="E462" s="23"/>
      <c r="F462" s="23"/>
      <c r="G462" s="68"/>
    </row>
    <row r="463" ht="15.75" customHeight="1">
      <c r="C463" s="64"/>
      <c r="D463" s="64"/>
      <c r="E463" s="23"/>
      <c r="F463" s="23"/>
      <c r="G463" s="68"/>
    </row>
    <row r="464" ht="15.75" customHeight="1">
      <c r="C464" s="64"/>
      <c r="D464" s="64"/>
      <c r="E464" s="23"/>
      <c r="F464" s="23"/>
      <c r="G464" s="68"/>
    </row>
    <row r="465" ht="15.75" customHeight="1">
      <c r="C465" s="64"/>
      <c r="D465" s="64"/>
      <c r="E465" s="23"/>
      <c r="F465" s="23"/>
      <c r="G465" s="68"/>
    </row>
    <row r="466" ht="15.75" customHeight="1">
      <c r="C466" s="64"/>
      <c r="D466" s="64"/>
      <c r="E466" s="23"/>
      <c r="F466" s="23"/>
      <c r="G466" s="68"/>
    </row>
    <row r="467" ht="15.75" customHeight="1">
      <c r="C467" s="64"/>
      <c r="D467" s="64"/>
      <c r="E467" s="23"/>
      <c r="F467" s="23"/>
      <c r="G467" s="68"/>
    </row>
    <row r="468" ht="15.75" customHeight="1">
      <c r="C468" s="64"/>
      <c r="D468" s="64"/>
      <c r="E468" s="23"/>
      <c r="F468" s="23"/>
      <c r="G468" s="68"/>
    </row>
    <row r="469" ht="15.75" customHeight="1">
      <c r="C469" s="64"/>
      <c r="D469" s="64"/>
      <c r="E469" s="23"/>
      <c r="F469" s="23"/>
      <c r="G469" s="68"/>
    </row>
    <row r="470" ht="15.75" customHeight="1">
      <c r="C470" s="64"/>
      <c r="D470" s="64"/>
      <c r="E470" s="23"/>
      <c r="F470" s="23"/>
      <c r="G470" s="68"/>
    </row>
    <row r="471" ht="15.75" customHeight="1">
      <c r="C471" s="64"/>
      <c r="D471" s="64"/>
      <c r="E471" s="23"/>
      <c r="F471" s="23"/>
      <c r="G471" s="68"/>
    </row>
    <row r="472" ht="15.75" customHeight="1">
      <c r="C472" s="64"/>
      <c r="D472" s="64"/>
      <c r="E472" s="23"/>
      <c r="F472" s="23"/>
      <c r="G472" s="68"/>
    </row>
    <row r="473" ht="15.75" customHeight="1">
      <c r="C473" s="64"/>
      <c r="D473" s="64"/>
      <c r="E473" s="23"/>
      <c r="F473" s="23"/>
      <c r="G473" s="68"/>
    </row>
    <row r="474" ht="15.75" customHeight="1">
      <c r="C474" s="64"/>
      <c r="D474" s="64"/>
      <c r="E474" s="23"/>
      <c r="F474" s="23"/>
      <c r="G474" s="68"/>
    </row>
    <row r="475" ht="15.75" customHeight="1">
      <c r="C475" s="64"/>
      <c r="D475" s="64"/>
      <c r="E475" s="23"/>
      <c r="F475" s="23"/>
      <c r="G475" s="68"/>
    </row>
    <row r="476" ht="15.75" customHeight="1">
      <c r="C476" s="64"/>
      <c r="D476" s="64"/>
      <c r="E476" s="23"/>
      <c r="F476" s="23"/>
      <c r="G476" s="68"/>
    </row>
    <row r="477" ht="15.75" customHeight="1">
      <c r="C477" s="64"/>
      <c r="D477" s="64"/>
      <c r="E477" s="23"/>
      <c r="F477" s="23"/>
      <c r="G477" s="68"/>
    </row>
    <row r="478" ht="15.75" customHeight="1">
      <c r="C478" s="64"/>
      <c r="D478" s="64"/>
      <c r="E478" s="23"/>
      <c r="F478" s="23"/>
      <c r="G478" s="68"/>
    </row>
    <row r="479" ht="15.75" customHeight="1">
      <c r="C479" s="64"/>
      <c r="D479" s="64"/>
      <c r="E479" s="23"/>
      <c r="F479" s="23"/>
      <c r="G479" s="68"/>
    </row>
    <row r="480" ht="15.75" customHeight="1">
      <c r="C480" s="64"/>
      <c r="D480" s="64"/>
      <c r="E480" s="23"/>
      <c r="F480" s="23"/>
      <c r="G480" s="68"/>
    </row>
    <row r="481" ht="15.75" customHeight="1">
      <c r="C481" s="64"/>
      <c r="D481" s="64"/>
      <c r="E481" s="23"/>
      <c r="F481" s="23"/>
      <c r="G481" s="68"/>
    </row>
    <row r="482" ht="15.75" customHeight="1">
      <c r="C482" s="64"/>
      <c r="D482" s="64"/>
      <c r="E482" s="23"/>
      <c r="F482" s="23"/>
      <c r="G482" s="68"/>
    </row>
    <row r="483" ht="15.75" customHeight="1">
      <c r="C483" s="64"/>
      <c r="D483" s="64"/>
      <c r="E483" s="23"/>
      <c r="F483" s="23"/>
      <c r="G483" s="68"/>
    </row>
    <row r="484" ht="15.75" customHeight="1">
      <c r="C484" s="64"/>
      <c r="D484" s="64"/>
      <c r="E484" s="23"/>
      <c r="F484" s="23"/>
      <c r="G484" s="68"/>
    </row>
    <row r="485" ht="15.75" customHeight="1">
      <c r="C485" s="64"/>
      <c r="D485" s="64"/>
      <c r="E485" s="23"/>
      <c r="F485" s="23"/>
      <c r="G485" s="68"/>
    </row>
    <row r="486" ht="15.75" customHeight="1">
      <c r="C486" s="64"/>
      <c r="D486" s="64"/>
      <c r="E486" s="23"/>
      <c r="F486" s="23"/>
      <c r="G486" s="68"/>
    </row>
    <row r="487" ht="15.75" customHeight="1">
      <c r="C487" s="64"/>
      <c r="D487" s="64"/>
      <c r="E487" s="23"/>
      <c r="F487" s="23"/>
      <c r="G487" s="68"/>
    </row>
    <row r="488" ht="15.75" customHeight="1">
      <c r="C488" s="64"/>
      <c r="D488" s="64"/>
      <c r="E488" s="23"/>
      <c r="F488" s="23"/>
      <c r="G488" s="68"/>
    </row>
    <row r="489" ht="15.75" customHeight="1">
      <c r="C489" s="64"/>
      <c r="D489" s="64"/>
      <c r="E489" s="23"/>
      <c r="F489" s="23"/>
      <c r="G489" s="68"/>
    </row>
    <row r="490" ht="15.75" customHeight="1">
      <c r="C490" s="64"/>
      <c r="D490" s="64"/>
      <c r="E490" s="23"/>
      <c r="F490" s="23"/>
      <c r="G490" s="68"/>
    </row>
    <row r="491" ht="15.75" customHeight="1">
      <c r="C491" s="64"/>
      <c r="D491" s="64"/>
      <c r="E491" s="23"/>
      <c r="F491" s="23"/>
      <c r="G491" s="68"/>
    </row>
    <row r="492" ht="15.75" customHeight="1">
      <c r="C492" s="64"/>
      <c r="D492" s="64"/>
      <c r="E492" s="23"/>
      <c r="F492" s="23"/>
      <c r="G492" s="68"/>
    </row>
    <row r="493" ht="15.75" customHeight="1">
      <c r="C493" s="64"/>
      <c r="D493" s="64"/>
      <c r="E493" s="23"/>
      <c r="F493" s="23"/>
      <c r="G493" s="68"/>
    </row>
    <row r="494" ht="15.75" customHeight="1">
      <c r="C494" s="64"/>
      <c r="D494" s="64"/>
      <c r="E494" s="23"/>
      <c r="F494" s="23"/>
      <c r="G494" s="68"/>
    </row>
    <row r="495" ht="15.75" customHeight="1">
      <c r="C495" s="64"/>
      <c r="D495" s="64"/>
      <c r="E495" s="23"/>
      <c r="F495" s="23"/>
      <c r="G495" s="68"/>
    </row>
    <row r="496" ht="15.75" customHeight="1">
      <c r="C496" s="64"/>
      <c r="D496" s="64"/>
      <c r="E496" s="23"/>
      <c r="F496" s="23"/>
      <c r="G496" s="68"/>
    </row>
    <row r="497" ht="15.75" customHeight="1">
      <c r="C497" s="64"/>
      <c r="D497" s="64"/>
      <c r="E497" s="23"/>
      <c r="F497" s="23"/>
      <c r="G497" s="68"/>
    </row>
    <row r="498" ht="15.75" customHeight="1">
      <c r="C498" s="64"/>
      <c r="D498" s="64"/>
      <c r="E498" s="23"/>
      <c r="F498" s="23"/>
      <c r="G498" s="68"/>
    </row>
    <row r="499" ht="15.75" customHeight="1">
      <c r="C499" s="64"/>
      <c r="D499" s="64"/>
      <c r="E499" s="23"/>
      <c r="F499" s="23"/>
      <c r="G499" s="68"/>
    </row>
    <row r="500" ht="15.75" customHeight="1">
      <c r="C500" s="64"/>
      <c r="D500" s="64"/>
      <c r="E500" s="23"/>
      <c r="F500" s="23"/>
      <c r="G500" s="68"/>
    </row>
    <row r="501" ht="15.75" customHeight="1">
      <c r="C501" s="64"/>
      <c r="D501" s="64"/>
      <c r="E501" s="23"/>
      <c r="F501" s="23"/>
      <c r="G501" s="68"/>
    </row>
    <row r="502" ht="15.75" customHeight="1">
      <c r="C502" s="64"/>
      <c r="D502" s="64"/>
      <c r="E502" s="23"/>
      <c r="F502" s="23"/>
      <c r="G502" s="68"/>
    </row>
    <row r="503" ht="15.75" customHeight="1">
      <c r="C503" s="64"/>
      <c r="D503" s="64"/>
      <c r="E503" s="23"/>
      <c r="F503" s="23"/>
      <c r="G503" s="68"/>
    </row>
    <row r="504" ht="15.75" customHeight="1">
      <c r="C504" s="64"/>
      <c r="D504" s="64"/>
      <c r="E504" s="23"/>
      <c r="F504" s="23"/>
      <c r="G504" s="68"/>
    </row>
    <row r="505" ht="15.75" customHeight="1">
      <c r="C505" s="64"/>
      <c r="D505" s="64"/>
      <c r="E505" s="23"/>
      <c r="F505" s="23"/>
      <c r="G505" s="68"/>
    </row>
    <row r="506" ht="15.75" customHeight="1">
      <c r="C506" s="64"/>
      <c r="D506" s="64"/>
      <c r="E506" s="23"/>
      <c r="F506" s="23"/>
      <c r="G506" s="68"/>
    </row>
    <row r="507" ht="15.75" customHeight="1">
      <c r="C507" s="64"/>
      <c r="D507" s="64"/>
      <c r="E507" s="23"/>
      <c r="F507" s="23"/>
      <c r="G507" s="68"/>
    </row>
    <row r="508" ht="15.75" customHeight="1">
      <c r="C508" s="64"/>
      <c r="D508" s="64"/>
      <c r="E508" s="23"/>
      <c r="F508" s="23"/>
      <c r="G508" s="68"/>
    </row>
    <row r="509" ht="15.75" customHeight="1">
      <c r="C509" s="64"/>
      <c r="D509" s="64"/>
      <c r="E509" s="23"/>
      <c r="F509" s="23"/>
      <c r="G509" s="68"/>
    </row>
    <row r="510" ht="15.75" customHeight="1">
      <c r="C510" s="64"/>
      <c r="D510" s="64"/>
      <c r="E510" s="23"/>
      <c r="F510" s="23"/>
      <c r="G510" s="68"/>
    </row>
    <row r="511" ht="15.75" customHeight="1">
      <c r="C511" s="64"/>
      <c r="D511" s="64"/>
      <c r="E511" s="23"/>
      <c r="F511" s="23"/>
      <c r="G511" s="68"/>
    </row>
    <row r="512" ht="15.75" customHeight="1">
      <c r="C512" s="64"/>
      <c r="D512" s="64"/>
      <c r="E512" s="23"/>
      <c r="F512" s="23"/>
      <c r="G512" s="68"/>
    </row>
    <row r="513" ht="15.75" customHeight="1">
      <c r="C513" s="64"/>
      <c r="D513" s="64"/>
      <c r="E513" s="23"/>
      <c r="F513" s="23"/>
      <c r="G513" s="68"/>
    </row>
    <row r="514" ht="15.75" customHeight="1">
      <c r="C514" s="64"/>
      <c r="D514" s="64"/>
      <c r="E514" s="23"/>
      <c r="F514" s="23"/>
      <c r="G514" s="68"/>
    </row>
    <row r="515" ht="15.75" customHeight="1">
      <c r="C515" s="64"/>
      <c r="D515" s="64"/>
      <c r="E515" s="23"/>
      <c r="F515" s="23"/>
      <c r="G515" s="68"/>
    </row>
    <row r="516" ht="15.75" customHeight="1">
      <c r="C516" s="64"/>
      <c r="D516" s="64"/>
      <c r="E516" s="23"/>
      <c r="F516" s="23"/>
      <c r="G516" s="68"/>
    </row>
    <row r="517" ht="15.75" customHeight="1">
      <c r="C517" s="64"/>
      <c r="D517" s="64"/>
      <c r="E517" s="23"/>
      <c r="F517" s="23"/>
      <c r="G517" s="68"/>
    </row>
    <row r="518" ht="15.75" customHeight="1">
      <c r="C518" s="64"/>
      <c r="D518" s="64"/>
      <c r="E518" s="23"/>
      <c r="F518" s="23"/>
      <c r="G518" s="68"/>
    </row>
    <row r="519" ht="15.75" customHeight="1">
      <c r="C519" s="64"/>
      <c r="D519" s="64"/>
      <c r="E519" s="23"/>
      <c r="F519" s="23"/>
      <c r="G519" s="68"/>
    </row>
    <row r="520" ht="15.75" customHeight="1">
      <c r="C520" s="64"/>
      <c r="D520" s="64"/>
      <c r="E520" s="23"/>
      <c r="F520" s="23"/>
      <c r="G520" s="68"/>
    </row>
    <row r="521" ht="15.75" customHeight="1">
      <c r="C521" s="64"/>
      <c r="D521" s="64"/>
      <c r="E521" s="23"/>
      <c r="F521" s="23"/>
      <c r="G521" s="68"/>
    </row>
    <row r="522" ht="15.75" customHeight="1">
      <c r="C522" s="64"/>
      <c r="D522" s="64"/>
      <c r="E522" s="23"/>
      <c r="F522" s="23"/>
      <c r="G522" s="68"/>
    </row>
    <row r="523" ht="15.75" customHeight="1">
      <c r="C523" s="64"/>
      <c r="D523" s="64"/>
      <c r="E523" s="23"/>
      <c r="F523" s="23"/>
      <c r="G523" s="68"/>
    </row>
    <row r="524" ht="15.75" customHeight="1">
      <c r="C524" s="64"/>
      <c r="D524" s="64"/>
      <c r="E524" s="23"/>
      <c r="F524" s="23"/>
      <c r="G524" s="68"/>
    </row>
    <row r="525" ht="15.75" customHeight="1">
      <c r="C525" s="64"/>
      <c r="D525" s="64"/>
      <c r="E525" s="23"/>
      <c r="F525" s="23"/>
      <c r="G525" s="68"/>
    </row>
    <row r="526" ht="15.75" customHeight="1">
      <c r="C526" s="64"/>
      <c r="D526" s="64"/>
      <c r="E526" s="23"/>
      <c r="F526" s="23"/>
      <c r="G526" s="68"/>
    </row>
    <row r="527" ht="15.75" customHeight="1">
      <c r="C527" s="64"/>
      <c r="D527" s="64"/>
      <c r="E527" s="23"/>
      <c r="F527" s="23"/>
      <c r="G527" s="68"/>
    </row>
    <row r="528" ht="15.75" customHeight="1">
      <c r="C528" s="64"/>
      <c r="D528" s="64"/>
      <c r="E528" s="23"/>
      <c r="F528" s="23"/>
      <c r="G528" s="68"/>
    </row>
    <row r="529" ht="15.75" customHeight="1">
      <c r="C529" s="64"/>
      <c r="D529" s="64"/>
      <c r="E529" s="23"/>
      <c r="F529" s="23"/>
      <c r="G529" s="68"/>
    </row>
    <row r="530" ht="15.75" customHeight="1">
      <c r="C530" s="64"/>
      <c r="D530" s="64"/>
      <c r="E530" s="23"/>
      <c r="F530" s="23"/>
      <c r="G530" s="68"/>
    </row>
    <row r="531" ht="15.75" customHeight="1">
      <c r="C531" s="64"/>
      <c r="D531" s="64"/>
      <c r="E531" s="23"/>
      <c r="F531" s="23"/>
      <c r="G531" s="68"/>
    </row>
    <row r="532" ht="15.75" customHeight="1">
      <c r="C532" s="64"/>
      <c r="D532" s="64"/>
      <c r="E532" s="23"/>
      <c r="F532" s="23"/>
      <c r="G532" s="68"/>
    </row>
    <row r="533" ht="15.75" customHeight="1">
      <c r="C533" s="64"/>
      <c r="D533" s="64"/>
      <c r="E533" s="23"/>
      <c r="F533" s="23"/>
      <c r="G533" s="68"/>
    </row>
    <row r="534" ht="15.75" customHeight="1">
      <c r="C534" s="64"/>
      <c r="D534" s="64"/>
      <c r="E534" s="23"/>
      <c r="F534" s="23"/>
      <c r="G534" s="68"/>
    </row>
    <row r="535" ht="15.75" customHeight="1">
      <c r="C535" s="64"/>
      <c r="D535" s="64"/>
      <c r="E535" s="23"/>
      <c r="F535" s="23"/>
      <c r="G535" s="68"/>
    </row>
    <row r="536" ht="15.75" customHeight="1">
      <c r="C536" s="64"/>
      <c r="D536" s="64"/>
      <c r="E536" s="23"/>
      <c r="F536" s="23"/>
      <c r="G536" s="68"/>
    </row>
    <row r="537" ht="15.75" customHeight="1">
      <c r="C537" s="64"/>
      <c r="D537" s="64"/>
      <c r="E537" s="23"/>
      <c r="F537" s="23"/>
      <c r="G537" s="68"/>
    </row>
    <row r="538" ht="15.75" customHeight="1">
      <c r="C538" s="64"/>
      <c r="D538" s="64"/>
      <c r="E538" s="23"/>
      <c r="F538" s="23"/>
      <c r="G538" s="68"/>
    </row>
    <row r="539" ht="15.75" customHeight="1">
      <c r="C539" s="64"/>
      <c r="D539" s="64"/>
      <c r="E539" s="23"/>
      <c r="F539" s="23"/>
      <c r="G539" s="68"/>
    </row>
    <row r="540" ht="15.75" customHeight="1">
      <c r="C540" s="64"/>
      <c r="D540" s="64"/>
      <c r="E540" s="23"/>
      <c r="F540" s="23"/>
      <c r="G540" s="68"/>
    </row>
    <row r="541" ht="15.75" customHeight="1">
      <c r="C541" s="64"/>
      <c r="D541" s="64"/>
      <c r="E541" s="23"/>
      <c r="F541" s="23"/>
      <c r="G541" s="68"/>
    </row>
    <row r="542" ht="15.75" customHeight="1">
      <c r="C542" s="64"/>
      <c r="D542" s="64"/>
      <c r="E542" s="23"/>
      <c r="F542" s="23"/>
      <c r="G542" s="68"/>
    </row>
    <row r="543" ht="15.75" customHeight="1">
      <c r="C543" s="64"/>
      <c r="D543" s="64"/>
      <c r="E543" s="23"/>
      <c r="F543" s="23"/>
      <c r="G543" s="68"/>
    </row>
    <row r="544" ht="15.75" customHeight="1">
      <c r="C544" s="64"/>
      <c r="D544" s="64"/>
      <c r="E544" s="23"/>
      <c r="F544" s="23"/>
      <c r="G544" s="68"/>
    </row>
    <row r="545" ht="15.75" customHeight="1">
      <c r="C545" s="64"/>
      <c r="D545" s="64"/>
      <c r="E545" s="23"/>
      <c r="F545" s="23"/>
      <c r="G545" s="68"/>
    </row>
    <row r="546" ht="15.75" customHeight="1">
      <c r="C546" s="64"/>
      <c r="D546" s="64"/>
      <c r="E546" s="23"/>
      <c r="F546" s="23"/>
      <c r="G546" s="68"/>
    </row>
    <row r="547" ht="15.75" customHeight="1">
      <c r="C547" s="64"/>
      <c r="D547" s="64"/>
      <c r="E547" s="23"/>
      <c r="F547" s="23"/>
      <c r="G547" s="68"/>
    </row>
    <row r="548" ht="15.75" customHeight="1">
      <c r="C548" s="64"/>
      <c r="D548" s="64"/>
      <c r="E548" s="23"/>
      <c r="F548" s="23"/>
      <c r="G548" s="68"/>
    </row>
    <row r="549" ht="15.75" customHeight="1">
      <c r="C549" s="64"/>
      <c r="D549" s="64"/>
      <c r="E549" s="23"/>
      <c r="F549" s="23"/>
      <c r="G549" s="68"/>
    </row>
    <row r="550" ht="15.75" customHeight="1">
      <c r="C550" s="64"/>
      <c r="D550" s="64"/>
      <c r="E550" s="23"/>
      <c r="F550" s="23"/>
      <c r="G550" s="68"/>
    </row>
    <row r="551" ht="15.75" customHeight="1">
      <c r="C551" s="64"/>
      <c r="D551" s="64"/>
      <c r="E551" s="23"/>
      <c r="F551" s="23"/>
      <c r="G551" s="68"/>
    </row>
    <row r="552" ht="15.75" customHeight="1">
      <c r="C552" s="64"/>
      <c r="D552" s="64"/>
      <c r="E552" s="23"/>
      <c r="F552" s="23"/>
      <c r="G552" s="68"/>
    </row>
    <row r="553" ht="15.75" customHeight="1">
      <c r="C553" s="64"/>
      <c r="D553" s="64"/>
      <c r="E553" s="23"/>
      <c r="F553" s="23"/>
      <c r="G553" s="68"/>
    </row>
    <row r="554" ht="15.75" customHeight="1">
      <c r="C554" s="64"/>
      <c r="D554" s="64"/>
      <c r="E554" s="23"/>
      <c r="F554" s="23"/>
      <c r="G554" s="68"/>
    </row>
    <row r="555" ht="15.75" customHeight="1">
      <c r="C555" s="64"/>
      <c r="D555" s="64"/>
      <c r="E555" s="23"/>
      <c r="F555" s="23"/>
      <c r="G555" s="68"/>
    </row>
    <row r="556" ht="15.75" customHeight="1">
      <c r="C556" s="64"/>
      <c r="D556" s="64"/>
      <c r="E556" s="23"/>
      <c r="F556" s="23"/>
      <c r="G556" s="68"/>
    </row>
    <row r="557" ht="15.75" customHeight="1">
      <c r="C557" s="64"/>
      <c r="D557" s="64"/>
      <c r="E557" s="23"/>
      <c r="F557" s="23"/>
      <c r="G557" s="68"/>
    </row>
    <row r="558" ht="15.75" customHeight="1">
      <c r="C558" s="64"/>
      <c r="D558" s="64"/>
      <c r="E558" s="23"/>
      <c r="F558" s="23"/>
      <c r="G558" s="68"/>
    </row>
    <row r="559" ht="15.75" customHeight="1">
      <c r="C559" s="64"/>
      <c r="D559" s="64"/>
      <c r="E559" s="23"/>
      <c r="F559" s="23"/>
      <c r="G559" s="68"/>
    </row>
    <row r="560" ht="15.75" customHeight="1">
      <c r="C560" s="64"/>
      <c r="D560" s="64"/>
      <c r="E560" s="23"/>
      <c r="F560" s="23"/>
      <c r="G560" s="68"/>
    </row>
    <row r="561" ht="15.75" customHeight="1">
      <c r="C561" s="64"/>
      <c r="D561" s="64"/>
      <c r="E561" s="23"/>
      <c r="F561" s="23"/>
      <c r="G561" s="68"/>
    </row>
    <row r="562" ht="15.75" customHeight="1">
      <c r="C562" s="64"/>
      <c r="D562" s="64"/>
      <c r="E562" s="23"/>
      <c r="F562" s="23"/>
      <c r="G562" s="68"/>
    </row>
    <row r="563" ht="15.75" customHeight="1">
      <c r="C563" s="64"/>
      <c r="D563" s="64"/>
      <c r="E563" s="23"/>
      <c r="F563" s="23"/>
      <c r="G563" s="68"/>
    </row>
    <row r="564" ht="15.75" customHeight="1">
      <c r="C564" s="64"/>
      <c r="D564" s="64"/>
      <c r="E564" s="23"/>
      <c r="F564" s="23"/>
      <c r="G564" s="68"/>
    </row>
    <row r="565" ht="15.75" customHeight="1">
      <c r="C565" s="64"/>
      <c r="D565" s="64"/>
      <c r="E565" s="23"/>
      <c r="F565" s="23"/>
      <c r="G565" s="68"/>
    </row>
    <row r="566" ht="15.75" customHeight="1">
      <c r="C566" s="64"/>
      <c r="D566" s="64"/>
      <c r="E566" s="23"/>
      <c r="F566" s="23"/>
      <c r="G566" s="68"/>
    </row>
    <row r="567" ht="15.75" customHeight="1">
      <c r="C567" s="64"/>
      <c r="D567" s="64"/>
      <c r="E567" s="23"/>
      <c r="F567" s="23"/>
      <c r="G567" s="68"/>
    </row>
    <row r="568" ht="15.75" customHeight="1">
      <c r="C568" s="64"/>
      <c r="D568" s="64"/>
      <c r="E568" s="23"/>
      <c r="F568" s="23"/>
      <c r="G568" s="68"/>
    </row>
    <row r="569" ht="15.75" customHeight="1">
      <c r="C569" s="64"/>
      <c r="D569" s="64"/>
      <c r="E569" s="23"/>
      <c r="F569" s="23"/>
      <c r="G569" s="68"/>
    </row>
    <row r="570" ht="15.75" customHeight="1">
      <c r="C570" s="64"/>
      <c r="D570" s="64"/>
      <c r="E570" s="23"/>
      <c r="F570" s="23"/>
      <c r="G570" s="68"/>
    </row>
    <row r="571" ht="15.75" customHeight="1">
      <c r="C571" s="64"/>
      <c r="D571" s="64"/>
      <c r="E571" s="23"/>
      <c r="F571" s="23"/>
      <c r="G571" s="68"/>
    </row>
    <row r="572" ht="15.75" customHeight="1">
      <c r="C572" s="64"/>
      <c r="D572" s="64"/>
      <c r="E572" s="23"/>
      <c r="F572" s="23"/>
      <c r="G572" s="68"/>
    </row>
    <row r="573" ht="15.75" customHeight="1">
      <c r="C573" s="64"/>
      <c r="D573" s="64"/>
      <c r="E573" s="23"/>
      <c r="F573" s="23"/>
      <c r="G573" s="68"/>
    </row>
    <row r="574" ht="15.75" customHeight="1">
      <c r="C574" s="64"/>
      <c r="D574" s="64"/>
      <c r="E574" s="23"/>
      <c r="F574" s="23"/>
      <c r="G574" s="68"/>
    </row>
    <row r="575" ht="15.75" customHeight="1">
      <c r="C575" s="64"/>
      <c r="D575" s="64"/>
      <c r="E575" s="23"/>
      <c r="F575" s="23"/>
      <c r="G575" s="68"/>
    </row>
    <row r="576" ht="15.75" customHeight="1">
      <c r="C576" s="64"/>
      <c r="D576" s="64"/>
      <c r="E576" s="23"/>
      <c r="F576" s="23"/>
      <c r="G576" s="68"/>
    </row>
    <row r="577" ht="15.75" customHeight="1">
      <c r="C577" s="64"/>
      <c r="D577" s="64"/>
      <c r="E577" s="23"/>
      <c r="F577" s="23"/>
      <c r="G577" s="68"/>
    </row>
    <row r="578" ht="15.75" customHeight="1">
      <c r="C578" s="64"/>
      <c r="D578" s="64"/>
      <c r="E578" s="23"/>
      <c r="F578" s="23"/>
      <c r="G578" s="68"/>
    </row>
    <row r="579" ht="15.75" customHeight="1">
      <c r="C579" s="64"/>
      <c r="D579" s="64"/>
      <c r="E579" s="23"/>
      <c r="F579" s="23"/>
      <c r="G579" s="68"/>
    </row>
    <row r="580" ht="15.75" customHeight="1">
      <c r="C580" s="64"/>
      <c r="D580" s="64"/>
      <c r="E580" s="23"/>
      <c r="F580" s="23"/>
      <c r="G580" s="68"/>
    </row>
    <row r="581" ht="15.75" customHeight="1">
      <c r="C581" s="64"/>
      <c r="D581" s="64"/>
      <c r="E581" s="23"/>
      <c r="F581" s="23"/>
      <c r="G581" s="68"/>
    </row>
    <row r="582" ht="15.75" customHeight="1">
      <c r="C582" s="64"/>
      <c r="D582" s="64"/>
      <c r="E582" s="23"/>
      <c r="F582" s="23"/>
      <c r="G582" s="68"/>
    </row>
    <row r="583" ht="15.75" customHeight="1">
      <c r="C583" s="64"/>
      <c r="D583" s="64"/>
      <c r="E583" s="23"/>
      <c r="F583" s="23"/>
      <c r="G583" s="68"/>
    </row>
    <row r="584" ht="15.75" customHeight="1">
      <c r="C584" s="64"/>
      <c r="D584" s="64"/>
      <c r="E584" s="23"/>
      <c r="F584" s="23"/>
      <c r="G584" s="68"/>
    </row>
    <row r="585" ht="15.75" customHeight="1">
      <c r="C585" s="64"/>
      <c r="D585" s="64"/>
      <c r="E585" s="23"/>
      <c r="F585" s="23"/>
      <c r="G585" s="68"/>
    </row>
    <row r="586" ht="15.75" customHeight="1">
      <c r="C586" s="64"/>
      <c r="D586" s="64"/>
      <c r="E586" s="23"/>
      <c r="F586" s="23"/>
      <c r="G586" s="68"/>
    </row>
    <row r="587" ht="15.75" customHeight="1">
      <c r="C587" s="64"/>
      <c r="D587" s="64"/>
      <c r="E587" s="23"/>
      <c r="F587" s="23"/>
      <c r="G587" s="68"/>
    </row>
    <row r="588" ht="15.75" customHeight="1">
      <c r="C588" s="64"/>
      <c r="D588" s="64"/>
      <c r="E588" s="23"/>
      <c r="F588" s="23"/>
      <c r="G588" s="68"/>
    </row>
    <row r="589" ht="15.75" customHeight="1">
      <c r="C589" s="64"/>
      <c r="D589" s="64"/>
      <c r="E589" s="23"/>
      <c r="F589" s="23"/>
      <c r="G589" s="68"/>
    </row>
    <row r="590" ht="15.75" customHeight="1">
      <c r="C590" s="64"/>
      <c r="D590" s="64"/>
      <c r="E590" s="23"/>
      <c r="F590" s="23"/>
      <c r="G590" s="68"/>
    </row>
    <row r="591" ht="15.75" customHeight="1">
      <c r="C591" s="64"/>
      <c r="D591" s="64"/>
      <c r="E591" s="23"/>
      <c r="F591" s="23"/>
      <c r="G591" s="68"/>
    </row>
    <row r="592" ht="15.75" customHeight="1">
      <c r="C592" s="64"/>
      <c r="D592" s="64"/>
      <c r="E592" s="23"/>
      <c r="F592" s="23"/>
      <c r="G592" s="68"/>
    </row>
    <row r="593" ht="15.75" customHeight="1">
      <c r="C593" s="64"/>
      <c r="D593" s="64"/>
      <c r="E593" s="23"/>
      <c r="F593" s="23"/>
      <c r="G593" s="68"/>
    </row>
    <row r="594" ht="15.75" customHeight="1">
      <c r="C594" s="64"/>
      <c r="D594" s="64"/>
      <c r="E594" s="23"/>
      <c r="F594" s="23"/>
      <c r="G594" s="68"/>
    </row>
    <row r="595" ht="15.75" customHeight="1">
      <c r="C595" s="64"/>
      <c r="D595" s="64"/>
      <c r="E595" s="23"/>
      <c r="F595" s="23"/>
      <c r="G595" s="68"/>
    </row>
    <row r="596" ht="15.75" customHeight="1">
      <c r="C596" s="64"/>
      <c r="D596" s="64"/>
      <c r="E596" s="23"/>
      <c r="F596" s="23"/>
      <c r="G596" s="68"/>
    </row>
    <row r="597" ht="15.75" customHeight="1">
      <c r="C597" s="64"/>
      <c r="D597" s="64"/>
      <c r="E597" s="23"/>
      <c r="F597" s="23"/>
      <c r="G597" s="68"/>
    </row>
    <row r="598" ht="15.75" customHeight="1">
      <c r="C598" s="64"/>
      <c r="D598" s="64"/>
      <c r="E598" s="23"/>
      <c r="F598" s="23"/>
      <c r="G598" s="68"/>
    </row>
    <row r="599" ht="15.75" customHeight="1">
      <c r="C599" s="64"/>
      <c r="D599" s="64"/>
      <c r="E599" s="23"/>
      <c r="F599" s="23"/>
      <c r="G599" s="68"/>
    </row>
    <row r="600" ht="15.75" customHeight="1">
      <c r="C600" s="64"/>
      <c r="D600" s="64"/>
      <c r="E600" s="23"/>
      <c r="F600" s="23"/>
      <c r="G600" s="68"/>
    </row>
    <row r="601" ht="15.75" customHeight="1">
      <c r="C601" s="64"/>
      <c r="D601" s="64"/>
      <c r="E601" s="23"/>
      <c r="F601" s="23"/>
      <c r="G601" s="68"/>
    </row>
    <row r="602" ht="15.75" customHeight="1">
      <c r="C602" s="64"/>
      <c r="D602" s="64"/>
      <c r="E602" s="23"/>
      <c r="F602" s="23"/>
      <c r="G602" s="68"/>
    </row>
    <row r="603" ht="15.75" customHeight="1">
      <c r="C603" s="64"/>
      <c r="D603" s="64"/>
      <c r="E603" s="23"/>
      <c r="F603" s="23"/>
      <c r="G603" s="68"/>
    </row>
    <row r="604" ht="15.75" customHeight="1">
      <c r="C604" s="64"/>
      <c r="D604" s="64"/>
      <c r="E604" s="23"/>
      <c r="F604" s="23"/>
      <c r="G604" s="68"/>
    </row>
    <row r="605" ht="15.75" customHeight="1">
      <c r="C605" s="64"/>
      <c r="D605" s="64"/>
      <c r="E605" s="23"/>
      <c r="F605" s="23"/>
      <c r="G605" s="68"/>
    </row>
    <row r="606" ht="15.75" customHeight="1">
      <c r="C606" s="64"/>
      <c r="D606" s="64"/>
      <c r="E606" s="23"/>
      <c r="F606" s="23"/>
      <c r="G606" s="68"/>
    </row>
    <row r="607" ht="15.75" customHeight="1">
      <c r="C607" s="64"/>
      <c r="D607" s="64"/>
      <c r="E607" s="23"/>
      <c r="F607" s="23"/>
      <c r="G607" s="68"/>
    </row>
    <row r="608" ht="15.75" customHeight="1">
      <c r="C608" s="64"/>
      <c r="D608" s="64"/>
      <c r="E608" s="23"/>
      <c r="F608" s="23"/>
      <c r="G608" s="68"/>
    </row>
    <row r="609" ht="15.75" customHeight="1">
      <c r="C609" s="64"/>
      <c r="D609" s="64"/>
      <c r="E609" s="23"/>
      <c r="F609" s="23"/>
      <c r="G609" s="68"/>
    </row>
    <row r="610" ht="15.75" customHeight="1">
      <c r="C610" s="64"/>
      <c r="D610" s="64"/>
      <c r="E610" s="23"/>
      <c r="F610" s="23"/>
      <c r="G610" s="68"/>
    </row>
    <row r="611" ht="15.75" customHeight="1">
      <c r="C611" s="64"/>
      <c r="D611" s="64"/>
      <c r="E611" s="23"/>
      <c r="F611" s="23"/>
      <c r="G611" s="68"/>
    </row>
    <row r="612" ht="15.75" customHeight="1">
      <c r="C612" s="64"/>
      <c r="D612" s="64"/>
      <c r="E612" s="23"/>
      <c r="F612" s="23"/>
      <c r="G612" s="68"/>
    </row>
    <row r="613" ht="15.75" customHeight="1">
      <c r="C613" s="64"/>
      <c r="D613" s="64"/>
      <c r="E613" s="23"/>
      <c r="F613" s="23"/>
      <c r="G613" s="68"/>
    </row>
    <row r="614" ht="15.75" customHeight="1">
      <c r="C614" s="64"/>
      <c r="D614" s="64"/>
      <c r="E614" s="23"/>
      <c r="F614" s="23"/>
      <c r="G614" s="68"/>
    </row>
    <row r="615" ht="15.75" customHeight="1">
      <c r="C615" s="64"/>
      <c r="D615" s="64"/>
      <c r="E615" s="23"/>
      <c r="F615" s="23"/>
      <c r="G615" s="68"/>
    </row>
    <row r="616" ht="15.75" customHeight="1">
      <c r="C616" s="64"/>
      <c r="D616" s="64"/>
      <c r="E616" s="23"/>
      <c r="F616" s="23"/>
      <c r="G616" s="68"/>
    </row>
    <row r="617" ht="15.75" customHeight="1">
      <c r="C617" s="64"/>
      <c r="D617" s="64"/>
      <c r="E617" s="23"/>
      <c r="F617" s="23"/>
      <c r="G617" s="68"/>
    </row>
    <row r="618" ht="15.75" customHeight="1">
      <c r="C618" s="64"/>
      <c r="D618" s="64"/>
      <c r="E618" s="23"/>
      <c r="F618" s="23"/>
      <c r="G618" s="68"/>
    </row>
    <row r="619" ht="15.75" customHeight="1">
      <c r="C619" s="64"/>
      <c r="D619" s="64"/>
      <c r="E619" s="23"/>
      <c r="F619" s="23"/>
      <c r="G619" s="68"/>
    </row>
    <row r="620" ht="15.75" customHeight="1">
      <c r="C620" s="64"/>
      <c r="D620" s="64"/>
      <c r="E620" s="23"/>
      <c r="F620" s="23"/>
      <c r="G620" s="68"/>
    </row>
    <row r="621" ht="15.75" customHeight="1">
      <c r="C621" s="64"/>
      <c r="D621" s="64"/>
      <c r="E621" s="23"/>
      <c r="F621" s="23"/>
      <c r="G621" s="68"/>
    </row>
    <row r="622" ht="15.75" customHeight="1">
      <c r="C622" s="64"/>
      <c r="D622" s="64"/>
      <c r="E622" s="23"/>
      <c r="F622" s="23"/>
      <c r="G622" s="68"/>
    </row>
    <row r="623" ht="15.75" customHeight="1">
      <c r="C623" s="64"/>
      <c r="D623" s="64"/>
      <c r="E623" s="23"/>
      <c r="F623" s="23"/>
      <c r="G623" s="68"/>
    </row>
    <row r="624" ht="15.75" customHeight="1">
      <c r="C624" s="64"/>
      <c r="D624" s="64"/>
      <c r="E624" s="23"/>
      <c r="F624" s="23"/>
      <c r="G624" s="68"/>
    </row>
    <row r="625" ht="15.75" customHeight="1">
      <c r="C625" s="64"/>
      <c r="D625" s="64"/>
      <c r="E625" s="23"/>
      <c r="F625" s="23"/>
      <c r="G625" s="68"/>
    </row>
    <row r="626" ht="15.75" customHeight="1">
      <c r="C626" s="64"/>
      <c r="D626" s="64"/>
      <c r="E626" s="23"/>
      <c r="F626" s="23"/>
      <c r="G626" s="68"/>
    </row>
    <row r="627" ht="15.75" customHeight="1">
      <c r="C627" s="64"/>
      <c r="D627" s="64"/>
      <c r="E627" s="23"/>
      <c r="F627" s="23"/>
      <c r="G627" s="68"/>
    </row>
    <row r="628" ht="15.75" customHeight="1">
      <c r="C628" s="64"/>
      <c r="D628" s="64"/>
      <c r="E628" s="23"/>
      <c r="F628" s="23"/>
      <c r="G628" s="68"/>
    </row>
    <row r="629" ht="15.75" customHeight="1">
      <c r="C629" s="64"/>
      <c r="D629" s="64"/>
      <c r="E629" s="23"/>
      <c r="F629" s="23"/>
      <c r="G629" s="68"/>
    </row>
    <row r="630" ht="15.75" customHeight="1">
      <c r="C630" s="64"/>
      <c r="D630" s="64"/>
      <c r="E630" s="23"/>
      <c r="F630" s="23"/>
      <c r="G630" s="68"/>
    </row>
    <row r="631" ht="15.75" customHeight="1">
      <c r="C631" s="64"/>
      <c r="D631" s="64"/>
      <c r="E631" s="23"/>
      <c r="F631" s="23"/>
      <c r="G631" s="68"/>
    </row>
    <row r="632" ht="15.75" customHeight="1">
      <c r="C632" s="64"/>
      <c r="D632" s="64"/>
      <c r="E632" s="23"/>
      <c r="F632" s="23"/>
      <c r="G632" s="68"/>
    </row>
    <row r="633" ht="15.75" customHeight="1">
      <c r="C633" s="64"/>
      <c r="D633" s="64"/>
      <c r="E633" s="23"/>
      <c r="F633" s="23"/>
      <c r="G633" s="68"/>
    </row>
    <row r="634" ht="15.75" customHeight="1">
      <c r="C634" s="64"/>
      <c r="D634" s="64"/>
      <c r="E634" s="23"/>
      <c r="F634" s="23"/>
      <c r="G634" s="68"/>
    </row>
    <row r="635" ht="15.75" customHeight="1">
      <c r="C635" s="64"/>
      <c r="D635" s="64"/>
      <c r="E635" s="23"/>
      <c r="F635" s="23"/>
      <c r="G635" s="68"/>
    </row>
    <row r="636" ht="15.75" customHeight="1">
      <c r="C636" s="64"/>
      <c r="D636" s="64"/>
      <c r="E636" s="23"/>
      <c r="F636" s="23"/>
      <c r="G636" s="68"/>
    </row>
    <row r="637" ht="15.75" customHeight="1">
      <c r="C637" s="64"/>
      <c r="D637" s="64"/>
      <c r="E637" s="23"/>
      <c r="F637" s="23"/>
      <c r="G637" s="68"/>
    </row>
    <row r="638" ht="15.75" customHeight="1">
      <c r="C638" s="64"/>
      <c r="D638" s="64"/>
      <c r="E638" s="23"/>
      <c r="F638" s="23"/>
      <c r="G638" s="68"/>
    </row>
    <row r="639" ht="15.75" customHeight="1">
      <c r="C639" s="64"/>
      <c r="D639" s="64"/>
      <c r="E639" s="23"/>
      <c r="F639" s="23"/>
      <c r="G639" s="68"/>
    </row>
    <row r="640" ht="15.75" customHeight="1">
      <c r="C640" s="64"/>
      <c r="D640" s="64"/>
      <c r="E640" s="23"/>
      <c r="F640" s="23"/>
      <c r="G640" s="68"/>
    </row>
    <row r="641" ht="15.75" customHeight="1">
      <c r="C641" s="64"/>
      <c r="D641" s="64"/>
      <c r="E641" s="23"/>
      <c r="F641" s="23"/>
      <c r="G641" s="68"/>
    </row>
    <row r="642" ht="15.75" customHeight="1">
      <c r="C642" s="64"/>
      <c r="D642" s="64"/>
      <c r="E642" s="23"/>
      <c r="F642" s="23"/>
      <c r="G642" s="68"/>
    </row>
    <row r="643" ht="15.75" customHeight="1">
      <c r="C643" s="64"/>
      <c r="D643" s="64"/>
      <c r="E643" s="23"/>
      <c r="F643" s="23"/>
      <c r="G643" s="68"/>
    </row>
    <row r="644" ht="15.75" customHeight="1">
      <c r="C644" s="64"/>
      <c r="D644" s="64"/>
      <c r="E644" s="23"/>
      <c r="F644" s="23"/>
      <c r="G644" s="68"/>
    </row>
    <row r="645" ht="15.75" customHeight="1">
      <c r="C645" s="64"/>
      <c r="D645" s="64"/>
      <c r="E645" s="23"/>
      <c r="F645" s="23"/>
      <c r="G645" s="68"/>
    </row>
    <row r="646" ht="15.75" customHeight="1">
      <c r="C646" s="64"/>
      <c r="D646" s="64"/>
      <c r="E646" s="23"/>
      <c r="F646" s="23"/>
      <c r="G646" s="68"/>
    </row>
    <row r="647" ht="15.75" customHeight="1">
      <c r="C647" s="64"/>
      <c r="D647" s="64"/>
      <c r="E647" s="23"/>
      <c r="F647" s="23"/>
      <c r="G647" s="68"/>
    </row>
    <row r="648" ht="15.75" customHeight="1">
      <c r="C648" s="64"/>
      <c r="D648" s="64"/>
      <c r="E648" s="23"/>
      <c r="F648" s="23"/>
      <c r="G648" s="68"/>
    </row>
    <row r="649" ht="15.75" customHeight="1">
      <c r="C649" s="64"/>
      <c r="D649" s="64"/>
      <c r="E649" s="23"/>
      <c r="F649" s="23"/>
      <c r="G649" s="68"/>
    </row>
    <row r="650" ht="15.75" customHeight="1">
      <c r="C650" s="64"/>
      <c r="D650" s="64"/>
      <c r="E650" s="23"/>
      <c r="F650" s="23"/>
      <c r="G650" s="68"/>
    </row>
    <row r="651" ht="15.75" customHeight="1">
      <c r="C651" s="64"/>
      <c r="D651" s="64"/>
      <c r="E651" s="23"/>
      <c r="F651" s="23"/>
      <c r="G651" s="68"/>
    </row>
    <row r="652" ht="15.75" customHeight="1">
      <c r="C652" s="64"/>
      <c r="D652" s="64"/>
      <c r="E652" s="23"/>
      <c r="F652" s="23"/>
      <c r="G652" s="68"/>
    </row>
    <row r="653" ht="15.75" customHeight="1">
      <c r="C653" s="64"/>
      <c r="D653" s="64"/>
      <c r="E653" s="23"/>
      <c r="F653" s="23"/>
      <c r="G653" s="68"/>
    </row>
    <row r="654" ht="15.75" customHeight="1">
      <c r="C654" s="64"/>
      <c r="D654" s="64"/>
      <c r="E654" s="23"/>
      <c r="F654" s="23"/>
      <c r="G654" s="68"/>
    </row>
    <row r="655" ht="15.75" customHeight="1">
      <c r="C655" s="64"/>
      <c r="D655" s="64"/>
      <c r="E655" s="23"/>
      <c r="F655" s="23"/>
      <c r="G655" s="68"/>
    </row>
    <row r="656" ht="15.75" customHeight="1">
      <c r="C656" s="64"/>
      <c r="D656" s="64"/>
      <c r="E656" s="23"/>
      <c r="F656" s="23"/>
      <c r="G656" s="68"/>
    </row>
    <row r="657" ht="15.75" customHeight="1">
      <c r="C657" s="64"/>
      <c r="D657" s="64"/>
      <c r="E657" s="23"/>
      <c r="F657" s="23"/>
      <c r="G657" s="68"/>
    </row>
    <row r="658" ht="15.75" customHeight="1">
      <c r="C658" s="64"/>
      <c r="D658" s="64"/>
      <c r="E658" s="23"/>
      <c r="F658" s="23"/>
      <c r="G658" s="68"/>
    </row>
    <row r="659" ht="15.75" customHeight="1">
      <c r="C659" s="64"/>
      <c r="D659" s="64"/>
      <c r="E659" s="23"/>
      <c r="F659" s="23"/>
      <c r="G659" s="68"/>
    </row>
    <row r="660" ht="15.75" customHeight="1">
      <c r="C660" s="64"/>
      <c r="D660" s="64"/>
      <c r="E660" s="23"/>
      <c r="F660" s="23"/>
      <c r="G660" s="68"/>
    </row>
    <row r="661" ht="15.75" customHeight="1">
      <c r="C661" s="64"/>
      <c r="D661" s="64"/>
      <c r="E661" s="23"/>
      <c r="F661" s="23"/>
      <c r="G661" s="68"/>
    </row>
    <row r="662" ht="15.75" customHeight="1">
      <c r="C662" s="64"/>
      <c r="D662" s="64"/>
      <c r="E662" s="23"/>
      <c r="F662" s="23"/>
      <c r="G662" s="68"/>
    </row>
    <row r="663" ht="15.75" customHeight="1">
      <c r="C663" s="64"/>
      <c r="D663" s="64"/>
      <c r="E663" s="23"/>
      <c r="F663" s="23"/>
      <c r="G663" s="68"/>
    </row>
    <row r="664" ht="15.75" customHeight="1">
      <c r="C664" s="64"/>
      <c r="D664" s="64"/>
      <c r="E664" s="23"/>
      <c r="F664" s="23"/>
      <c r="G664" s="68"/>
    </row>
    <row r="665" ht="15.75" customHeight="1">
      <c r="C665" s="64"/>
      <c r="D665" s="64"/>
      <c r="E665" s="23"/>
      <c r="F665" s="23"/>
      <c r="G665" s="68"/>
    </row>
    <row r="666" ht="15.75" customHeight="1">
      <c r="C666" s="64"/>
      <c r="D666" s="64"/>
      <c r="E666" s="23"/>
      <c r="F666" s="23"/>
      <c r="G666" s="68"/>
    </row>
    <row r="667" ht="15.75" customHeight="1">
      <c r="C667" s="64"/>
      <c r="D667" s="64"/>
      <c r="E667" s="23"/>
      <c r="F667" s="23"/>
      <c r="G667" s="68"/>
    </row>
    <row r="668" ht="15.75" customHeight="1">
      <c r="C668" s="64"/>
      <c r="D668" s="64"/>
      <c r="E668" s="23"/>
      <c r="F668" s="23"/>
      <c r="G668" s="68"/>
    </row>
    <row r="669" ht="15.75" customHeight="1">
      <c r="C669" s="64"/>
      <c r="D669" s="64"/>
      <c r="E669" s="23"/>
      <c r="F669" s="23"/>
      <c r="G669" s="68"/>
    </row>
    <row r="670" ht="15.75" customHeight="1">
      <c r="C670" s="64"/>
      <c r="D670" s="64"/>
      <c r="E670" s="23"/>
      <c r="F670" s="23"/>
      <c r="G670" s="68"/>
    </row>
    <row r="671" ht="15.75" customHeight="1">
      <c r="C671" s="64"/>
      <c r="D671" s="64"/>
      <c r="E671" s="23"/>
      <c r="F671" s="23"/>
      <c r="G671" s="68"/>
    </row>
    <row r="672" ht="15.75" customHeight="1">
      <c r="C672" s="64"/>
      <c r="D672" s="64"/>
      <c r="E672" s="23"/>
      <c r="F672" s="23"/>
      <c r="G672" s="68"/>
    </row>
    <row r="673" ht="15.75" customHeight="1">
      <c r="C673" s="64"/>
      <c r="D673" s="64"/>
      <c r="E673" s="23"/>
      <c r="F673" s="23"/>
      <c r="G673" s="68"/>
    </row>
    <row r="674" ht="15.75" customHeight="1">
      <c r="C674" s="64"/>
      <c r="D674" s="64"/>
      <c r="E674" s="23"/>
      <c r="F674" s="23"/>
      <c r="G674" s="68"/>
    </row>
    <row r="675" ht="15.75" customHeight="1">
      <c r="C675" s="64"/>
      <c r="D675" s="64"/>
      <c r="E675" s="23"/>
      <c r="F675" s="23"/>
      <c r="G675" s="68"/>
    </row>
    <row r="676" ht="15.75" customHeight="1">
      <c r="C676" s="64"/>
      <c r="D676" s="64"/>
      <c r="E676" s="23"/>
      <c r="F676" s="23"/>
      <c r="G676" s="68"/>
    </row>
    <row r="677" ht="15.75" customHeight="1">
      <c r="C677" s="64"/>
      <c r="D677" s="64"/>
      <c r="E677" s="23"/>
      <c r="F677" s="23"/>
      <c r="G677" s="68"/>
    </row>
    <row r="678" ht="15.75" customHeight="1">
      <c r="C678" s="64"/>
      <c r="D678" s="64"/>
      <c r="E678" s="23"/>
      <c r="F678" s="23"/>
      <c r="G678" s="68"/>
    </row>
    <row r="679" ht="15.75" customHeight="1">
      <c r="C679" s="64"/>
      <c r="D679" s="64"/>
      <c r="E679" s="23"/>
      <c r="F679" s="23"/>
      <c r="G679" s="68"/>
    </row>
    <row r="680" ht="15.75" customHeight="1">
      <c r="C680" s="64"/>
      <c r="D680" s="64"/>
      <c r="E680" s="23"/>
      <c r="F680" s="23"/>
      <c r="G680" s="68"/>
    </row>
    <row r="681" ht="15.75" customHeight="1">
      <c r="C681" s="64"/>
      <c r="D681" s="64"/>
      <c r="E681" s="23"/>
      <c r="F681" s="23"/>
      <c r="G681" s="68"/>
    </row>
    <row r="682" ht="15.75" customHeight="1">
      <c r="C682" s="64"/>
      <c r="D682" s="64"/>
      <c r="E682" s="23"/>
      <c r="F682" s="23"/>
      <c r="G682" s="68"/>
    </row>
    <row r="683" ht="15.75" customHeight="1">
      <c r="C683" s="64"/>
      <c r="D683" s="64"/>
      <c r="E683" s="23"/>
      <c r="F683" s="23"/>
      <c r="G683" s="68"/>
    </row>
    <row r="684" ht="15.75" customHeight="1">
      <c r="C684" s="64"/>
      <c r="D684" s="64"/>
      <c r="E684" s="23"/>
      <c r="F684" s="23"/>
      <c r="G684" s="68"/>
    </row>
    <row r="685" ht="15.75" customHeight="1">
      <c r="C685" s="64"/>
      <c r="D685" s="64"/>
      <c r="E685" s="23"/>
      <c r="F685" s="23"/>
      <c r="G685" s="68"/>
    </row>
    <row r="686" ht="15.75" customHeight="1">
      <c r="C686" s="64"/>
      <c r="D686" s="64"/>
      <c r="E686" s="23"/>
      <c r="F686" s="23"/>
      <c r="G686" s="68"/>
    </row>
    <row r="687" ht="15.75" customHeight="1">
      <c r="C687" s="64"/>
      <c r="D687" s="64"/>
      <c r="E687" s="23"/>
      <c r="F687" s="23"/>
      <c r="G687" s="68"/>
    </row>
    <row r="688" ht="15.75" customHeight="1">
      <c r="C688" s="64"/>
      <c r="D688" s="64"/>
      <c r="E688" s="23"/>
      <c r="F688" s="23"/>
      <c r="G688" s="68"/>
    </row>
    <row r="689" ht="15.75" customHeight="1">
      <c r="C689" s="64"/>
      <c r="D689" s="64"/>
      <c r="E689" s="23"/>
      <c r="F689" s="23"/>
      <c r="G689" s="68"/>
    </row>
    <row r="690" ht="15.75" customHeight="1">
      <c r="C690" s="64"/>
      <c r="D690" s="64"/>
      <c r="E690" s="23"/>
      <c r="F690" s="23"/>
      <c r="G690" s="68"/>
    </row>
    <row r="691" ht="15.75" customHeight="1">
      <c r="C691" s="64"/>
      <c r="D691" s="64"/>
      <c r="E691" s="23"/>
      <c r="F691" s="23"/>
      <c r="G691" s="68"/>
    </row>
    <row r="692" ht="15.75" customHeight="1">
      <c r="C692" s="64"/>
      <c r="D692" s="64"/>
      <c r="E692" s="23"/>
      <c r="F692" s="23"/>
      <c r="G692" s="68"/>
    </row>
    <row r="693" ht="15.75" customHeight="1">
      <c r="C693" s="64"/>
      <c r="D693" s="64"/>
      <c r="E693" s="23"/>
      <c r="F693" s="23"/>
      <c r="G693" s="68"/>
    </row>
    <row r="694" ht="15.75" customHeight="1">
      <c r="C694" s="64"/>
      <c r="D694" s="64"/>
      <c r="E694" s="23"/>
      <c r="F694" s="23"/>
      <c r="G694" s="68"/>
    </row>
    <row r="695" ht="15.75" customHeight="1">
      <c r="C695" s="64"/>
      <c r="D695" s="64"/>
      <c r="E695" s="23"/>
      <c r="F695" s="23"/>
      <c r="G695" s="68"/>
    </row>
    <row r="696" ht="15.75" customHeight="1">
      <c r="C696" s="64"/>
      <c r="D696" s="64"/>
      <c r="E696" s="23"/>
      <c r="F696" s="23"/>
      <c r="G696" s="68"/>
    </row>
    <row r="697" ht="15.75" customHeight="1">
      <c r="C697" s="64"/>
      <c r="D697" s="64"/>
      <c r="E697" s="23"/>
      <c r="F697" s="23"/>
      <c r="G697" s="68"/>
    </row>
    <row r="698" ht="15.75" customHeight="1">
      <c r="C698" s="64"/>
      <c r="D698" s="64"/>
      <c r="E698" s="23"/>
      <c r="F698" s="23"/>
      <c r="G698" s="68"/>
    </row>
    <row r="699" ht="15.75" customHeight="1">
      <c r="C699" s="64"/>
      <c r="D699" s="64"/>
      <c r="E699" s="23"/>
      <c r="F699" s="23"/>
      <c r="G699" s="68"/>
    </row>
    <row r="700" ht="15.75" customHeight="1">
      <c r="C700" s="64"/>
      <c r="D700" s="64"/>
      <c r="E700" s="23"/>
      <c r="F700" s="23"/>
      <c r="G700" s="68"/>
    </row>
    <row r="701" ht="15.75" customHeight="1">
      <c r="C701" s="64"/>
      <c r="D701" s="64"/>
      <c r="E701" s="23"/>
      <c r="F701" s="23"/>
      <c r="G701" s="68"/>
    </row>
    <row r="702" ht="15.75" customHeight="1">
      <c r="C702" s="64"/>
      <c r="D702" s="64"/>
      <c r="E702" s="23"/>
      <c r="F702" s="23"/>
      <c r="G702" s="68"/>
    </row>
    <row r="703" ht="15.75" customHeight="1">
      <c r="C703" s="64"/>
      <c r="D703" s="64"/>
      <c r="E703" s="23"/>
      <c r="F703" s="23"/>
      <c r="G703" s="68"/>
    </row>
    <row r="704" ht="15.75" customHeight="1">
      <c r="C704" s="64"/>
      <c r="D704" s="64"/>
      <c r="E704" s="23"/>
      <c r="F704" s="23"/>
      <c r="G704" s="68"/>
    </row>
    <row r="705" ht="15.75" customHeight="1">
      <c r="C705" s="64"/>
      <c r="D705" s="64"/>
      <c r="E705" s="23"/>
      <c r="F705" s="23"/>
      <c r="G705" s="68"/>
    </row>
    <row r="706" ht="15.75" customHeight="1">
      <c r="C706" s="64"/>
      <c r="D706" s="64"/>
      <c r="E706" s="23"/>
      <c r="F706" s="23"/>
      <c r="G706" s="68"/>
    </row>
    <row r="707" ht="15.75" customHeight="1">
      <c r="C707" s="64"/>
      <c r="D707" s="64"/>
      <c r="E707" s="23"/>
      <c r="F707" s="23"/>
      <c r="G707" s="68"/>
    </row>
    <row r="708" ht="15.75" customHeight="1">
      <c r="C708" s="64"/>
      <c r="D708" s="64"/>
      <c r="E708" s="23"/>
      <c r="F708" s="23"/>
      <c r="G708" s="68"/>
    </row>
    <row r="709" ht="15.75" customHeight="1">
      <c r="C709" s="64"/>
      <c r="D709" s="64"/>
      <c r="E709" s="23"/>
      <c r="F709" s="23"/>
      <c r="G709" s="68"/>
    </row>
    <row r="710" ht="15.75" customHeight="1">
      <c r="C710" s="64"/>
      <c r="D710" s="64"/>
      <c r="E710" s="23"/>
      <c r="F710" s="23"/>
      <c r="G710" s="68"/>
    </row>
    <row r="711" ht="15.75" customHeight="1">
      <c r="C711" s="64"/>
      <c r="D711" s="64"/>
      <c r="E711" s="23"/>
      <c r="F711" s="23"/>
      <c r="G711" s="68"/>
    </row>
    <row r="712" ht="15.75" customHeight="1">
      <c r="C712" s="64"/>
      <c r="D712" s="64"/>
      <c r="E712" s="23"/>
      <c r="F712" s="23"/>
      <c r="G712" s="68"/>
    </row>
    <row r="713" ht="15.75" customHeight="1">
      <c r="C713" s="64"/>
      <c r="D713" s="64"/>
      <c r="E713" s="23"/>
      <c r="F713" s="23"/>
      <c r="G713" s="68"/>
    </row>
    <row r="714" ht="15.75" customHeight="1">
      <c r="C714" s="64"/>
      <c r="D714" s="64"/>
      <c r="E714" s="23"/>
      <c r="F714" s="23"/>
      <c r="G714" s="68"/>
    </row>
    <row r="715" ht="15.75" customHeight="1">
      <c r="C715" s="64"/>
      <c r="D715" s="64"/>
      <c r="E715" s="23"/>
      <c r="F715" s="23"/>
      <c r="G715" s="68"/>
    </row>
    <row r="716" ht="15.75" customHeight="1">
      <c r="C716" s="64"/>
      <c r="D716" s="64"/>
      <c r="E716" s="23"/>
      <c r="F716" s="23"/>
      <c r="G716" s="68"/>
    </row>
    <row r="717" ht="15.75" customHeight="1">
      <c r="C717" s="64"/>
      <c r="D717" s="64"/>
      <c r="E717" s="23"/>
      <c r="F717" s="23"/>
      <c r="G717" s="68"/>
    </row>
    <row r="718" ht="15.75" customHeight="1">
      <c r="C718" s="64"/>
      <c r="D718" s="64"/>
      <c r="E718" s="23"/>
      <c r="F718" s="23"/>
      <c r="G718" s="68"/>
    </row>
    <row r="719" ht="15.75" customHeight="1">
      <c r="C719" s="64"/>
      <c r="D719" s="64"/>
      <c r="E719" s="23"/>
      <c r="F719" s="23"/>
      <c r="G719" s="68"/>
    </row>
    <row r="720" ht="15.75" customHeight="1">
      <c r="C720" s="64"/>
      <c r="D720" s="64"/>
      <c r="E720" s="23"/>
      <c r="F720" s="23"/>
      <c r="G720" s="68"/>
    </row>
    <row r="721" ht="15.75" customHeight="1">
      <c r="C721" s="64"/>
      <c r="D721" s="64"/>
      <c r="E721" s="23"/>
      <c r="F721" s="23"/>
      <c r="G721" s="68"/>
    </row>
    <row r="722" ht="15.75" customHeight="1">
      <c r="C722" s="64"/>
      <c r="D722" s="64"/>
      <c r="E722" s="23"/>
      <c r="F722" s="23"/>
      <c r="G722" s="68"/>
    </row>
    <row r="723" ht="15.75" customHeight="1">
      <c r="C723" s="64"/>
      <c r="D723" s="64"/>
      <c r="E723" s="23"/>
      <c r="F723" s="23"/>
      <c r="G723" s="68"/>
    </row>
    <row r="724" ht="15.75" customHeight="1">
      <c r="C724" s="64"/>
      <c r="D724" s="64"/>
      <c r="E724" s="23"/>
      <c r="F724" s="23"/>
      <c r="G724" s="68"/>
    </row>
    <row r="725" ht="15.75" customHeight="1">
      <c r="C725" s="64"/>
      <c r="D725" s="64"/>
      <c r="E725" s="23"/>
      <c r="F725" s="23"/>
      <c r="G725" s="68"/>
    </row>
    <row r="726" ht="15.75" customHeight="1">
      <c r="C726" s="64"/>
      <c r="D726" s="64"/>
      <c r="E726" s="23"/>
      <c r="F726" s="23"/>
      <c r="G726" s="68"/>
    </row>
    <row r="727" ht="15.75" customHeight="1">
      <c r="C727" s="64"/>
      <c r="D727" s="64"/>
      <c r="E727" s="23"/>
      <c r="F727" s="23"/>
      <c r="G727" s="68"/>
    </row>
    <row r="728" ht="15.75" customHeight="1">
      <c r="C728" s="64"/>
      <c r="D728" s="64"/>
      <c r="E728" s="23"/>
      <c r="F728" s="23"/>
      <c r="G728" s="68"/>
    </row>
    <row r="729" ht="15.75" customHeight="1">
      <c r="C729" s="64"/>
      <c r="D729" s="64"/>
      <c r="E729" s="23"/>
      <c r="F729" s="23"/>
      <c r="G729" s="68"/>
    </row>
    <row r="730" ht="15.75" customHeight="1">
      <c r="C730" s="64"/>
      <c r="D730" s="64"/>
      <c r="E730" s="23"/>
      <c r="F730" s="23"/>
      <c r="G730" s="68"/>
    </row>
    <row r="731" ht="15.75" customHeight="1">
      <c r="C731" s="64"/>
      <c r="D731" s="64"/>
      <c r="E731" s="23"/>
      <c r="F731" s="23"/>
      <c r="G731" s="68"/>
    </row>
    <row r="732" ht="15.75" customHeight="1">
      <c r="C732" s="64"/>
      <c r="D732" s="64"/>
      <c r="E732" s="23"/>
      <c r="F732" s="23"/>
      <c r="G732" s="68"/>
    </row>
    <row r="733" ht="15.75" customHeight="1">
      <c r="C733" s="64"/>
      <c r="D733" s="64"/>
      <c r="E733" s="23"/>
      <c r="F733" s="23"/>
      <c r="G733" s="68"/>
    </row>
    <row r="734" ht="15.75" customHeight="1">
      <c r="C734" s="64"/>
      <c r="D734" s="64"/>
      <c r="E734" s="23"/>
      <c r="F734" s="23"/>
      <c r="G734" s="68"/>
    </row>
    <row r="735" ht="15.75" customHeight="1">
      <c r="C735" s="64"/>
      <c r="D735" s="64"/>
      <c r="E735" s="23"/>
      <c r="F735" s="23"/>
      <c r="G735" s="68"/>
    </row>
    <row r="736" ht="15.75" customHeight="1">
      <c r="C736" s="64"/>
      <c r="D736" s="64"/>
      <c r="E736" s="23"/>
      <c r="F736" s="23"/>
      <c r="G736" s="68"/>
    </row>
    <row r="737" ht="15.75" customHeight="1">
      <c r="C737" s="64"/>
      <c r="D737" s="64"/>
      <c r="E737" s="23"/>
      <c r="F737" s="23"/>
      <c r="G737" s="68"/>
    </row>
    <row r="738" ht="15.75" customHeight="1">
      <c r="C738" s="64"/>
      <c r="D738" s="64"/>
      <c r="E738" s="23"/>
      <c r="F738" s="23"/>
      <c r="G738" s="68"/>
    </row>
    <row r="739" ht="15.75" customHeight="1">
      <c r="C739" s="64"/>
      <c r="D739" s="64"/>
      <c r="E739" s="23"/>
      <c r="F739" s="23"/>
      <c r="G739" s="68"/>
    </row>
    <row r="740" ht="15.75" customHeight="1">
      <c r="C740" s="64"/>
      <c r="D740" s="64"/>
      <c r="E740" s="23"/>
      <c r="F740" s="23"/>
      <c r="G740" s="68"/>
    </row>
    <row r="741" ht="15.75" customHeight="1">
      <c r="C741" s="64"/>
      <c r="D741" s="64"/>
      <c r="E741" s="23"/>
      <c r="F741" s="23"/>
      <c r="G741" s="68"/>
    </row>
    <row r="742" ht="15.75" customHeight="1">
      <c r="C742" s="64"/>
      <c r="D742" s="64"/>
      <c r="E742" s="23"/>
      <c r="F742" s="23"/>
      <c r="G742" s="68"/>
    </row>
    <row r="743" ht="15.75" customHeight="1">
      <c r="C743" s="64"/>
      <c r="D743" s="64"/>
      <c r="E743" s="23"/>
      <c r="F743" s="23"/>
      <c r="G743" s="68"/>
    </row>
    <row r="744" ht="15.75" customHeight="1">
      <c r="C744" s="64"/>
      <c r="D744" s="64"/>
      <c r="E744" s="23"/>
      <c r="F744" s="23"/>
      <c r="G744" s="68"/>
    </row>
    <row r="745" ht="15.75" customHeight="1">
      <c r="C745" s="64"/>
      <c r="D745" s="64"/>
      <c r="E745" s="23"/>
      <c r="F745" s="23"/>
      <c r="G745" s="68"/>
    </row>
    <row r="746" ht="15.75" customHeight="1">
      <c r="C746" s="64"/>
      <c r="D746" s="64"/>
      <c r="E746" s="23"/>
      <c r="F746" s="23"/>
      <c r="G746" s="68"/>
    </row>
    <row r="747" ht="15.75" customHeight="1">
      <c r="C747" s="64"/>
      <c r="D747" s="64"/>
      <c r="E747" s="23"/>
      <c r="F747" s="23"/>
      <c r="G747" s="68"/>
    </row>
    <row r="748" ht="15.75" customHeight="1">
      <c r="C748" s="64"/>
      <c r="D748" s="64"/>
      <c r="E748" s="23"/>
      <c r="F748" s="23"/>
      <c r="G748" s="68"/>
    </row>
    <row r="749" ht="15.75" customHeight="1">
      <c r="C749" s="64"/>
      <c r="D749" s="64"/>
      <c r="E749" s="23"/>
      <c r="F749" s="23"/>
      <c r="G749" s="68"/>
    </row>
    <row r="750" ht="15.75" customHeight="1">
      <c r="C750" s="64"/>
      <c r="D750" s="64"/>
      <c r="E750" s="23"/>
      <c r="F750" s="23"/>
      <c r="G750" s="68"/>
    </row>
    <row r="751" ht="15.75" customHeight="1">
      <c r="C751" s="64"/>
      <c r="D751" s="64"/>
      <c r="E751" s="23"/>
      <c r="F751" s="23"/>
      <c r="G751" s="68"/>
    </row>
    <row r="752" ht="15.75" customHeight="1">
      <c r="C752" s="64"/>
      <c r="D752" s="64"/>
      <c r="E752" s="23"/>
      <c r="F752" s="23"/>
      <c r="G752" s="68"/>
    </row>
    <row r="753" ht="15.75" customHeight="1">
      <c r="C753" s="64"/>
      <c r="D753" s="64"/>
      <c r="E753" s="23"/>
      <c r="F753" s="23"/>
      <c r="G753" s="68"/>
    </row>
    <row r="754" ht="15.75" customHeight="1">
      <c r="C754" s="64"/>
      <c r="D754" s="64"/>
      <c r="E754" s="23"/>
      <c r="F754" s="23"/>
      <c r="G754" s="68"/>
    </row>
    <row r="755" ht="15.75" customHeight="1">
      <c r="C755" s="64"/>
      <c r="D755" s="64"/>
      <c r="E755" s="23"/>
      <c r="F755" s="23"/>
      <c r="G755" s="68"/>
    </row>
    <row r="756" ht="15.75" customHeight="1">
      <c r="C756" s="64"/>
      <c r="D756" s="64"/>
      <c r="E756" s="23"/>
      <c r="F756" s="23"/>
      <c r="G756" s="68"/>
    </row>
    <row r="757" ht="15.75" customHeight="1">
      <c r="C757" s="64"/>
      <c r="D757" s="64"/>
      <c r="E757" s="23"/>
      <c r="F757" s="23"/>
      <c r="G757" s="68"/>
    </row>
    <row r="758" ht="15.75" customHeight="1">
      <c r="C758" s="64"/>
      <c r="D758" s="64"/>
      <c r="E758" s="23"/>
      <c r="F758" s="23"/>
      <c r="G758" s="68"/>
    </row>
    <row r="759" ht="15.75" customHeight="1">
      <c r="C759" s="64"/>
      <c r="D759" s="64"/>
      <c r="E759" s="23"/>
      <c r="F759" s="23"/>
      <c r="G759" s="68"/>
    </row>
    <row r="760" ht="15.75" customHeight="1">
      <c r="C760" s="64"/>
      <c r="D760" s="64"/>
      <c r="E760" s="23"/>
      <c r="F760" s="23"/>
      <c r="G760" s="68"/>
    </row>
    <row r="761" ht="15.75" customHeight="1">
      <c r="C761" s="64"/>
      <c r="D761" s="64"/>
      <c r="E761" s="23"/>
      <c r="F761" s="23"/>
      <c r="G761" s="68"/>
    </row>
    <row r="762" ht="15.75" customHeight="1">
      <c r="C762" s="64"/>
      <c r="D762" s="64"/>
      <c r="E762" s="23"/>
      <c r="F762" s="23"/>
      <c r="G762" s="68"/>
    </row>
    <row r="763" ht="15.75" customHeight="1">
      <c r="C763" s="64"/>
      <c r="D763" s="64"/>
      <c r="E763" s="23"/>
      <c r="F763" s="23"/>
      <c r="G763" s="68"/>
    </row>
    <row r="764" ht="15.75" customHeight="1">
      <c r="C764" s="64"/>
      <c r="D764" s="64"/>
      <c r="E764" s="23"/>
      <c r="F764" s="23"/>
      <c r="G764" s="68"/>
    </row>
    <row r="765" ht="15.75" customHeight="1">
      <c r="C765" s="64"/>
      <c r="D765" s="64"/>
      <c r="E765" s="23"/>
      <c r="F765" s="23"/>
      <c r="G765" s="68"/>
    </row>
    <row r="766" ht="15.75" customHeight="1">
      <c r="C766" s="64"/>
      <c r="D766" s="64"/>
      <c r="E766" s="23"/>
      <c r="F766" s="23"/>
      <c r="G766" s="68"/>
    </row>
    <row r="767" ht="15.75" customHeight="1">
      <c r="C767" s="64"/>
      <c r="D767" s="64"/>
      <c r="E767" s="23"/>
      <c r="F767" s="23"/>
      <c r="G767" s="68"/>
    </row>
    <row r="768" ht="15.75" customHeight="1">
      <c r="C768" s="64"/>
      <c r="D768" s="64"/>
      <c r="E768" s="23"/>
      <c r="F768" s="23"/>
      <c r="G768" s="68"/>
    </row>
    <row r="769" ht="15.75" customHeight="1">
      <c r="C769" s="64"/>
      <c r="D769" s="64"/>
      <c r="E769" s="23"/>
      <c r="F769" s="23"/>
      <c r="G769" s="68"/>
    </row>
    <row r="770" ht="15.75" customHeight="1">
      <c r="C770" s="64"/>
      <c r="D770" s="64"/>
      <c r="E770" s="23"/>
      <c r="F770" s="23"/>
      <c r="G770" s="68"/>
    </row>
    <row r="771" ht="15.75" customHeight="1">
      <c r="C771" s="64"/>
      <c r="D771" s="64"/>
      <c r="E771" s="23"/>
      <c r="F771" s="23"/>
      <c r="G771" s="68"/>
    </row>
    <row r="772" ht="15.75" customHeight="1">
      <c r="C772" s="64"/>
      <c r="D772" s="64"/>
      <c r="E772" s="23"/>
      <c r="F772" s="23"/>
      <c r="G772" s="68"/>
    </row>
    <row r="773" ht="15.75" customHeight="1">
      <c r="C773" s="64"/>
      <c r="D773" s="64"/>
      <c r="E773" s="23"/>
      <c r="F773" s="23"/>
      <c r="G773" s="68"/>
    </row>
    <row r="774" ht="15.75" customHeight="1">
      <c r="C774" s="64"/>
      <c r="D774" s="64"/>
      <c r="E774" s="23"/>
      <c r="F774" s="23"/>
      <c r="G774" s="68"/>
    </row>
    <row r="775" ht="15.75" customHeight="1">
      <c r="C775" s="64"/>
      <c r="D775" s="64"/>
      <c r="E775" s="23"/>
      <c r="F775" s="23"/>
      <c r="G775" s="68"/>
    </row>
    <row r="776" ht="15.75" customHeight="1">
      <c r="C776" s="64"/>
      <c r="D776" s="64"/>
      <c r="E776" s="23"/>
      <c r="F776" s="23"/>
      <c r="G776" s="68"/>
    </row>
    <row r="777" ht="15.75" customHeight="1">
      <c r="C777" s="64"/>
      <c r="D777" s="64"/>
      <c r="E777" s="23"/>
      <c r="F777" s="23"/>
      <c r="G777" s="68"/>
    </row>
    <row r="778" ht="15.75" customHeight="1">
      <c r="C778" s="64"/>
      <c r="D778" s="64"/>
      <c r="E778" s="23"/>
      <c r="F778" s="23"/>
      <c r="G778" s="68"/>
    </row>
    <row r="779" ht="15.75" customHeight="1">
      <c r="C779" s="64"/>
      <c r="D779" s="64"/>
      <c r="E779" s="23"/>
      <c r="F779" s="23"/>
      <c r="G779" s="68"/>
    </row>
    <row r="780" ht="15.75" customHeight="1">
      <c r="C780" s="64"/>
      <c r="D780" s="64"/>
      <c r="E780" s="23"/>
      <c r="F780" s="23"/>
      <c r="G780" s="68"/>
    </row>
    <row r="781" ht="15.75" customHeight="1">
      <c r="C781" s="64"/>
      <c r="D781" s="64"/>
      <c r="E781" s="23"/>
      <c r="F781" s="23"/>
      <c r="G781" s="68"/>
    </row>
    <row r="782" ht="15.75" customHeight="1">
      <c r="C782" s="64"/>
      <c r="D782" s="64"/>
      <c r="E782" s="23"/>
      <c r="F782" s="23"/>
      <c r="G782" s="68"/>
    </row>
    <row r="783" ht="15.75" customHeight="1">
      <c r="C783" s="64"/>
      <c r="D783" s="64"/>
      <c r="E783" s="23"/>
      <c r="F783" s="23"/>
      <c r="G783" s="68"/>
    </row>
    <row r="784" ht="15.75" customHeight="1">
      <c r="C784" s="64"/>
      <c r="D784" s="64"/>
      <c r="E784" s="23"/>
      <c r="F784" s="23"/>
      <c r="G784" s="68"/>
    </row>
    <row r="785" ht="15.75" customHeight="1">
      <c r="C785" s="64"/>
      <c r="D785" s="64"/>
      <c r="E785" s="23"/>
      <c r="F785" s="23"/>
      <c r="G785" s="68"/>
    </row>
    <row r="786" ht="15.75" customHeight="1">
      <c r="C786" s="64"/>
      <c r="D786" s="64"/>
      <c r="E786" s="23"/>
      <c r="F786" s="23"/>
      <c r="G786" s="68"/>
    </row>
    <row r="787" ht="15.75" customHeight="1">
      <c r="C787" s="64"/>
      <c r="D787" s="64"/>
      <c r="E787" s="23"/>
      <c r="F787" s="23"/>
      <c r="G787" s="68"/>
    </row>
    <row r="788" ht="15.75" customHeight="1">
      <c r="C788" s="64"/>
      <c r="D788" s="64"/>
      <c r="E788" s="23"/>
      <c r="F788" s="23"/>
      <c r="G788" s="68"/>
    </row>
    <row r="789" ht="15.75" customHeight="1">
      <c r="C789" s="64"/>
      <c r="D789" s="64"/>
      <c r="E789" s="23"/>
      <c r="F789" s="23"/>
      <c r="G789" s="68"/>
    </row>
    <row r="790" ht="15.75" customHeight="1">
      <c r="C790" s="64"/>
      <c r="D790" s="64"/>
      <c r="E790" s="23"/>
      <c r="F790" s="23"/>
      <c r="G790" s="68"/>
    </row>
    <row r="791" ht="15.75" customHeight="1">
      <c r="C791" s="64"/>
      <c r="D791" s="64"/>
      <c r="E791" s="23"/>
      <c r="F791" s="23"/>
      <c r="G791" s="68"/>
    </row>
    <row r="792" ht="15.75" customHeight="1">
      <c r="C792" s="64"/>
      <c r="D792" s="64"/>
      <c r="E792" s="23"/>
      <c r="F792" s="23"/>
      <c r="G792" s="68"/>
    </row>
    <row r="793" ht="15.75" customHeight="1">
      <c r="C793" s="64"/>
      <c r="D793" s="64"/>
      <c r="E793" s="23"/>
      <c r="F793" s="23"/>
      <c r="G793" s="68"/>
    </row>
    <row r="794" ht="15.75" customHeight="1">
      <c r="C794" s="64"/>
      <c r="D794" s="64"/>
      <c r="E794" s="23"/>
      <c r="F794" s="23"/>
      <c r="G794" s="68"/>
    </row>
    <row r="795" ht="15.75" customHeight="1">
      <c r="C795" s="64"/>
      <c r="D795" s="64"/>
      <c r="E795" s="23"/>
      <c r="F795" s="23"/>
      <c r="G795" s="68"/>
    </row>
    <row r="796" ht="15.75" customHeight="1">
      <c r="C796" s="64"/>
      <c r="D796" s="64"/>
      <c r="E796" s="23"/>
      <c r="F796" s="23"/>
      <c r="G796" s="68"/>
    </row>
    <row r="797" ht="15.75" customHeight="1">
      <c r="C797" s="64"/>
      <c r="D797" s="64"/>
      <c r="E797" s="23"/>
      <c r="F797" s="23"/>
      <c r="G797" s="68"/>
    </row>
    <row r="798" ht="15.75" customHeight="1">
      <c r="C798" s="64"/>
      <c r="D798" s="64"/>
      <c r="E798" s="23"/>
      <c r="F798" s="23"/>
      <c r="G798" s="68"/>
    </row>
    <row r="799" ht="15.75" customHeight="1">
      <c r="C799" s="64"/>
      <c r="D799" s="64"/>
      <c r="E799" s="23"/>
      <c r="F799" s="23"/>
      <c r="G799" s="68"/>
    </row>
    <row r="800" ht="15.75" customHeight="1">
      <c r="C800" s="64"/>
      <c r="D800" s="64"/>
      <c r="E800" s="23"/>
      <c r="F800" s="23"/>
      <c r="G800" s="68"/>
    </row>
    <row r="801" ht="15.75" customHeight="1">
      <c r="C801" s="64"/>
      <c r="D801" s="64"/>
      <c r="E801" s="23"/>
      <c r="F801" s="23"/>
      <c r="G801" s="68"/>
    </row>
    <row r="802" ht="15.75" customHeight="1">
      <c r="C802" s="64"/>
      <c r="D802" s="64"/>
      <c r="E802" s="23"/>
      <c r="F802" s="23"/>
      <c r="G802" s="68"/>
    </row>
    <row r="803" ht="15.75" customHeight="1">
      <c r="C803" s="64"/>
      <c r="D803" s="64"/>
      <c r="E803" s="23"/>
      <c r="F803" s="23"/>
      <c r="G803" s="68"/>
    </row>
    <row r="804" ht="15.75" customHeight="1">
      <c r="C804" s="64"/>
      <c r="D804" s="64"/>
      <c r="E804" s="23"/>
      <c r="F804" s="23"/>
      <c r="G804" s="68"/>
    </row>
    <row r="805" ht="15.75" customHeight="1">
      <c r="C805" s="64"/>
      <c r="D805" s="64"/>
      <c r="E805" s="23"/>
      <c r="F805" s="23"/>
      <c r="G805" s="68"/>
    </row>
    <row r="806" ht="15.75" customHeight="1">
      <c r="C806" s="64"/>
      <c r="D806" s="64"/>
      <c r="E806" s="23"/>
      <c r="F806" s="23"/>
      <c r="G806" s="68"/>
    </row>
    <row r="807" ht="15.75" customHeight="1">
      <c r="C807" s="64"/>
      <c r="D807" s="64"/>
      <c r="E807" s="23"/>
      <c r="F807" s="23"/>
      <c r="G807" s="68"/>
    </row>
    <row r="808" ht="15.75" customHeight="1">
      <c r="C808" s="64"/>
      <c r="D808" s="64"/>
      <c r="E808" s="23"/>
      <c r="F808" s="23"/>
      <c r="G808" s="68"/>
    </row>
    <row r="809" ht="15.75" customHeight="1">
      <c r="C809" s="64"/>
      <c r="D809" s="64"/>
      <c r="E809" s="23"/>
      <c r="F809" s="23"/>
      <c r="G809" s="68"/>
    </row>
    <row r="810" ht="15.75" customHeight="1">
      <c r="C810" s="64"/>
      <c r="D810" s="64"/>
      <c r="E810" s="23"/>
      <c r="F810" s="23"/>
      <c r="G810" s="68"/>
    </row>
    <row r="811" ht="15.75" customHeight="1">
      <c r="C811" s="64"/>
      <c r="D811" s="64"/>
      <c r="E811" s="23"/>
      <c r="F811" s="23"/>
      <c r="G811" s="68"/>
    </row>
    <row r="812" ht="15.75" customHeight="1">
      <c r="C812" s="64"/>
      <c r="D812" s="64"/>
      <c r="E812" s="23"/>
      <c r="F812" s="23"/>
      <c r="G812" s="68"/>
    </row>
    <row r="813" ht="15.75" customHeight="1">
      <c r="C813" s="64"/>
      <c r="D813" s="64"/>
      <c r="E813" s="23"/>
      <c r="F813" s="23"/>
      <c r="G813" s="68"/>
    </row>
    <row r="814" ht="15.75" customHeight="1">
      <c r="C814" s="64"/>
      <c r="D814" s="64"/>
      <c r="E814" s="23"/>
      <c r="F814" s="23"/>
      <c r="G814" s="68"/>
    </row>
    <row r="815" ht="15.75" customHeight="1">
      <c r="C815" s="64"/>
      <c r="D815" s="64"/>
      <c r="E815" s="23"/>
      <c r="F815" s="23"/>
      <c r="G815" s="68"/>
    </row>
    <row r="816" ht="15.75" customHeight="1">
      <c r="C816" s="64"/>
      <c r="D816" s="64"/>
      <c r="E816" s="23"/>
      <c r="F816" s="23"/>
      <c r="G816" s="68"/>
    </row>
    <row r="817" ht="15.75" customHeight="1">
      <c r="C817" s="64"/>
      <c r="D817" s="64"/>
      <c r="E817" s="23"/>
      <c r="F817" s="23"/>
      <c r="G817" s="68"/>
    </row>
    <row r="818" ht="15.75" customHeight="1">
      <c r="C818" s="64"/>
      <c r="D818" s="64"/>
      <c r="E818" s="23"/>
      <c r="F818" s="23"/>
      <c r="G818" s="68"/>
    </row>
    <row r="819" ht="15.75" customHeight="1">
      <c r="C819" s="64"/>
      <c r="D819" s="64"/>
      <c r="E819" s="23"/>
      <c r="F819" s="23"/>
      <c r="G819" s="68"/>
    </row>
    <row r="820" ht="15.75" customHeight="1">
      <c r="C820" s="64"/>
      <c r="D820" s="64"/>
      <c r="E820" s="23"/>
      <c r="F820" s="23"/>
      <c r="G820" s="68"/>
    </row>
    <row r="821" ht="15.75" customHeight="1">
      <c r="C821" s="64"/>
      <c r="D821" s="64"/>
      <c r="E821" s="23"/>
      <c r="F821" s="23"/>
      <c r="G821" s="68"/>
    </row>
    <row r="822" ht="15.75" customHeight="1">
      <c r="C822" s="64"/>
      <c r="D822" s="64"/>
      <c r="E822" s="23"/>
      <c r="F822" s="23"/>
      <c r="G822" s="68"/>
    </row>
    <row r="823" ht="15.75" customHeight="1">
      <c r="C823" s="64"/>
      <c r="D823" s="64"/>
      <c r="E823" s="23"/>
      <c r="F823" s="23"/>
      <c r="G823" s="68"/>
    </row>
    <row r="824" ht="15.75" customHeight="1">
      <c r="C824" s="64"/>
      <c r="D824" s="64"/>
      <c r="E824" s="23"/>
      <c r="F824" s="23"/>
      <c r="G824" s="68"/>
    </row>
    <row r="825" ht="15.75" customHeight="1">
      <c r="C825" s="64"/>
      <c r="D825" s="64"/>
      <c r="E825" s="23"/>
      <c r="F825" s="23"/>
      <c r="G825" s="68"/>
    </row>
    <row r="826" ht="15.75" customHeight="1">
      <c r="C826" s="64"/>
      <c r="D826" s="64"/>
      <c r="E826" s="23"/>
      <c r="F826" s="23"/>
      <c r="G826" s="68"/>
    </row>
    <row r="827" ht="15.75" customHeight="1">
      <c r="C827" s="64"/>
      <c r="D827" s="64"/>
      <c r="E827" s="23"/>
      <c r="F827" s="23"/>
      <c r="G827" s="68"/>
    </row>
    <row r="828" ht="15.75" customHeight="1">
      <c r="C828" s="64"/>
      <c r="D828" s="64"/>
      <c r="E828" s="23"/>
      <c r="F828" s="23"/>
      <c r="G828" s="68"/>
    </row>
    <row r="829" ht="15.75" customHeight="1">
      <c r="C829" s="64"/>
      <c r="D829" s="64"/>
      <c r="E829" s="23"/>
      <c r="F829" s="23"/>
      <c r="G829" s="68"/>
    </row>
    <row r="830" ht="15.75" customHeight="1">
      <c r="C830" s="64"/>
      <c r="D830" s="64"/>
      <c r="E830" s="23"/>
      <c r="F830" s="23"/>
      <c r="G830" s="68"/>
    </row>
    <row r="831" ht="15.75" customHeight="1">
      <c r="C831" s="64"/>
      <c r="D831" s="64"/>
      <c r="E831" s="23"/>
      <c r="F831" s="23"/>
      <c r="G831" s="68"/>
    </row>
    <row r="832" ht="15.75" customHeight="1">
      <c r="C832" s="64"/>
      <c r="D832" s="64"/>
      <c r="E832" s="23"/>
      <c r="F832" s="23"/>
      <c r="G832" s="68"/>
    </row>
    <row r="833" ht="15.75" customHeight="1">
      <c r="C833" s="64"/>
      <c r="D833" s="64"/>
      <c r="E833" s="23"/>
      <c r="F833" s="23"/>
      <c r="G833" s="68"/>
    </row>
    <row r="834" ht="15.75" customHeight="1">
      <c r="C834" s="64"/>
      <c r="D834" s="64"/>
      <c r="E834" s="23"/>
      <c r="F834" s="23"/>
      <c r="G834" s="68"/>
    </row>
    <row r="835" ht="15.75" customHeight="1">
      <c r="C835" s="64"/>
      <c r="D835" s="64"/>
      <c r="E835" s="23"/>
      <c r="F835" s="23"/>
      <c r="G835" s="68"/>
    </row>
    <row r="836" ht="15.75" customHeight="1">
      <c r="C836" s="64"/>
      <c r="D836" s="64"/>
      <c r="E836" s="23"/>
      <c r="F836" s="23"/>
      <c r="G836" s="68"/>
    </row>
    <row r="837" ht="15.75" customHeight="1">
      <c r="C837" s="64"/>
      <c r="D837" s="64"/>
      <c r="E837" s="23"/>
      <c r="F837" s="23"/>
      <c r="G837" s="68"/>
    </row>
    <row r="838" ht="15.75" customHeight="1">
      <c r="C838" s="64"/>
      <c r="D838" s="64"/>
      <c r="E838" s="23"/>
      <c r="F838" s="23"/>
      <c r="G838" s="68"/>
    </row>
    <row r="839" ht="15.75" customHeight="1">
      <c r="C839" s="64"/>
      <c r="D839" s="64"/>
      <c r="E839" s="23"/>
      <c r="F839" s="23"/>
      <c r="G839" s="68"/>
    </row>
    <row r="840" ht="15.75" customHeight="1">
      <c r="C840" s="64"/>
      <c r="D840" s="64"/>
      <c r="E840" s="23"/>
      <c r="F840" s="23"/>
      <c r="G840" s="68"/>
    </row>
    <row r="841" ht="15.75" customHeight="1">
      <c r="C841" s="64"/>
      <c r="D841" s="64"/>
      <c r="E841" s="23"/>
      <c r="F841" s="23"/>
      <c r="G841" s="68"/>
    </row>
    <row r="842" ht="15.75" customHeight="1">
      <c r="C842" s="64"/>
      <c r="D842" s="64"/>
      <c r="E842" s="23"/>
      <c r="F842" s="23"/>
      <c r="G842" s="68"/>
    </row>
    <row r="843" ht="15.75" customHeight="1">
      <c r="C843" s="64"/>
      <c r="D843" s="64"/>
      <c r="E843" s="23"/>
      <c r="F843" s="23"/>
      <c r="G843" s="68"/>
    </row>
    <row r="844" ht="15.75" customHeight="1">
      <c r="C844" s="64"/>
      <c r="D844" s="64"/>
      <c r="E844" s="23"/>
      <c r="F844" s="23"/>
      <c r="G844" s="68"/>
    </row>
    <row r="845" ht="15.75" customHeight="1">
      <c r="C845" s="64"/>
      <c r="D845" s="64"/>
      <c r="E845" s="23"/>
      <c r="F845" s="23"/>
      <c r="G845" s="68"/>
    </row>
    <row r="846" ht="15.75" customHeight="1">
      <c r="C846" s="64"/>
      <c r="D846" s="64"/>
      <c r="E846" s="23"/>
      <c r="F846" s="23"/>
      <c r="G846" s="68"/>
    </row>
    <row r="847" ht="15.75" customHeight="1">
      <c r="C847" s="64"/>
      <c r="D847" s="64"/>
      <c r="E847" s="23"/>
      <c r="F847" s="23"/>
      <c r="G847" s="68"/>
    </row>
    <row r="848" ht="15.75" customHeight="1">
      <c r="C848" s="64"/>
      <c r="D848" s="64"/>
      <c r="E848" s="23"/>
      <c r="F848" s="23"/>
      <c r="G848" s="68"/>
    </row>
    <row r="849" ht="15.75" customHeight="1">
      <c r="C849" s="64"/>
      <c r="D849" s="64"/>
      <c r="E849" s="23"/>
      <c r="F849" s="23"/>
      <c r="G849" s="68"/>
    </row>
    <row r="850" ht="15.75" customHeight="1">
      <c r="C850" s="64"/>
      <c r="D850" s="64"/>
      <c r="E850" s="23"/>
      <c r="F850" s="23"/>
      <c r="G850" s="68"/>
    </row>
    <row r="851" ht="15.75" customHeight="1">
      <c r="C851" s="64"/>
      <c r="D851" s="64"/>
      <c r="E851" s="23"/>
      <c r="F851" s="23"/>
      <c r="G851" s="68"/>
    </row>
    <row r="852" ht="15.75" customHeight="1">
      <c r="C852" s="64"/>
      <c r="D852" s="64"/>
      <c r="E852" s="23"/>
      <c r="F852" s="23"/>
      <c r="G852" s="68"/>
    </row>
    <row r="853" ht="15.75" customHeight="1">
      <c r="C853" s="64"/>
      <c r="D853" s="64"/>
      <c r="E853" s="23"/>
      <c r="F853" s="23"/>
      <c r="G853" s="68"/>
    </row>
    <row r="854" ht="15.75" customHeight="1">
      <c r="C854" s="64"/>
      <c r="D854" s="64"/>
      <c r="E854" s="23"/>
      <c r="F854" s="23"/>
      <c r="G854" s="68"/>
    </row>
    <row r="855" ht="15.75" customHeight="1">
      <c r="C855" s="64"/>
      <c r="D855" s="64"/>
      <c r="E855" s="23"/>
      <c r="F855" s="23"/>
      <c r="G855" s="68"/>
    </row>
    <row r="856" ht="15.75" customHeight="1">
      <c r="C856" s="64"/>
      <c r="D856" s="64"/>
      <c r="E856" s="23"/>
      <c r="F856" s="23"/>
      <c r="G856" s="68"/>
    </row>
    <row r="857" ht="15.75" customHeight="1">
      <c r="C857" s="64"/>
      <c r="D857" s="64"/>
      <c r="E857" s="23"/>
      <c r="F857" s="23"/>
      <c r="G857" s="68"/>
    </row>
    <row r="858" ht="15.75" customHeight="1">
      <c r="C858" s="64"/>
      <c r="D858" s="64"/>
      <c r="E858" s="23"/>
      <c r="F858" s="23"/>
      <c r="G858" s="68"/>
    </row>
    <row r="859" ht="15.75" customHeight="1">
      <c r="C859" s="64"/>
      <c r="D859" s="64"/>
      <c r="E859" s="23"/>
      <c r="F859" s="23"/>
      <c r="G859" s="68"/>
    </row>
    <row r="860" ht="15.75" customHeight="1">
      <c r="C860" s="64"/>
      <c r="D860" s="64"/>
      <c r="E860" s="23"/>
      <c r="F860" s="23"/>
      <c r="G860" s="68"/>
    </row>
    <row r="861" ht="15.75" customHeight="1">
      <c r="C861" s="64"/>
      <c r="D861" s="64"/>
      <c r="E861" s="23"/>
      <c r="F861" s="23"/>
      <c r="G861" s="68"/>
    </row>
    <row r="862" ht="15.75" customHeight="1">
      <c r="C862" s="64"/>
      <c r="D862" s="64"/>
      <c r="E862" s="23"/>
      <c r="F862" s="23"/>
      <c r="G862" s="68"/>
    </row>
    <row r="863" ht="15.75" customHeight="1">
      <c r="C863" s="64"/>
      <c r="D863" s="64"/>
      <c r="E863" s="23"/>
      <c r="F863" s="23"/>
      <c r="G863" s="68"/>
    </row>
    <row r="864" ht="15.75" customHeight="1">
      <c r="C864" s="64"/>
      <c r="D864" s="64"/>
      <c r="E864" s="23"/>
      <c r="F864" s="23"/>
      <c r="G864" s="68"/>
    </row>
    <row r="865" ht="15.75" customHeight="1">
      <c r="C865" s="64"/>
      <c r="D865" s="64"/>
      <c r="E865" s="23"/>
      <c r="F865" s="23"/>
      <c r="G865" s="68"/>
    </row>
    <row r="866" ht="15.75" customHeight="1">
      <c r="C866" s="64"/>
      <c r="D866" s="64"/>
      <c r="E866" s="23"/>
      <c r="F866" s="23"/>
      <c r="G866" s="68"/>
    </row>
    <row r="867" ht="15.75" customHeight="1">
      <c r="C867" s="64"/>
      <c r="D867" s="64"/>
      <c r="E867" s="23"/>
      <c r="F867" s="23"/>
      <c r="G867" s="68"/>
    </row>
    <row r="868" ht="15.75" customHeight="1">
      <c r="C868" s="64"/>
      <c r="D868" s="64"/>
      <c r="E868" s="23"/>
      <c r="F868" s="23"/>
      <c r="G868" s="68"/>
    </row>
    <row r="869" ht="15.75" customHeight="1">
      <c r="C869" s="64"/>
      <c r="D869" s="64"/>
      <c r="E869" s="23"/>
      <c r="F869" s="23"/>
      <c r="G869" s="68"/>
    </row>
    <row r="870" ht="15.75" customHeight="1">
      <c r="C870" s="64"/>
      <c r="D870" s="64"/>
      <c r="E870" s="23"/>
      <c r="F870" s="23"/>
      <c r="G870" s="68"/>
    </row>
    <row r="871" ht="15.75" customHeight="1">
      <c r="C871" s="64"/>
      <c r="D871" s="64"/>
      <c r="E871" s="23"/>
      <c r="F871" s="23"/>
      <c r="G871" s="68"/>
    </row>
    <row r="872" ht="15.75" customHeight="1">
      <c r="C872" s="64"/>
      <c r="D872" s="64"/>
      <c r="E872" s="23"/>
      <c r="F872" s="23"/>
      <c r="G872" s="68"/>
    </row>
    <row r="873" ht="15.75" customHeight="1">
      <c r="C873" s="64"/>
      <c r="D873" s="64"/>
      <c r="E873" s="23"/>
      <c r="F873" s="23"/>
      <c r="G873" s="68"/>
    </row>
    <row r="874" ht="15.75" customHeight="1">
      <c r="C874" s="64"/>
      <c r="D874" s="64"/>
      <c r="E874" s="23"/>
      <c r="F874" s="23"/>
      <c r="G874" s="68"/>
    </row>
    <row r="875" ht="15.75" customHeight="1">
      <c r="C875" s="64"/>
      <c r="D875" s="64"/>
      <c r="E875" s="23"/>
      <c r="F875" s="23"/>
      <c r="G875" s="68"/>
    </row>
    <row r="876" ht="15.75" customHeight="1">
      <c r="C876" s="64"/>
      <c r="D876" s="64"/>
      <c r="E876" s="23"/>
      <c r="F876" s="23"/>
      <c r="G876" s="68"/>
    </row>
    <row r="877" ht="15.75" customHeight="1">
      <c r="C877" s="64"/>
      <c r="D877" s="64"/>
      <c r="E877" s="23"/>
      <c r="F877" s="23"/>
      <c r="G877" s="68"/>
    </row>
    <row r="878" ht="15.75" customHeight="1">
      <c r="C878" s="64"/>
      <c r="D878" s="64"/>
      <c r="E878" s="23"/>
      <c r="F878" s="23"/>
      <c r="G878" s="68"/>
    </row>
    <row r="879" ht="15.75" customHeight="1">
      <c r="C879" s="64"/>
      <c r="D879" s="64"/>
      <c r="E879" s="23"/>
      <c r="F879" s="23"/>
      <c r="G879" s="68"/>
    </row>
    <row r="880" ht="15.75" customHeight="1">
      <c r="C880" s="64"/>
      <c r="D880" s="64"/>
      <c r="E880" s="23"/>
      <c r="F880" s="23"/>
      <c r="G880" s="68"/>
    </row>
    <row r="881" ht="15.75" customHeight="1">
      <c r="C881" s="64"/>
      <c r="D881" s="64"/>
      <c r="E881" s="23"/>
      <c r="F881" s="23"/>
      <c r="G881" s="68"/>
    </row>
    <row r="882" ht="15.75" customHeight="1">
      <c r="C882" s="64"/>
      <c r="D882" s="64"/>
      <c r="E882" s="23"/>
      <c r="F882" s="23"/>
      <c r="G882" s="68"/>
    </row>
    <row r="883" ht="15.75" customHeight="1">
      <c r="C883" s="64"/>
      <c r="D883" s="64"/>
      <c r="E883" s="23"/>
      <c r="F883" s="23"/>
      <c r="G883" s="68"/>
    </row>
    <row r="884" ht="15.75" customHeight="1">
      <c r="C884" s="64"/>
      <c r="D884" s="64"/>
      <c r="E884" s="23"/>
      <c r="F884" s="23"/>
      <c r="G884" s="68"/>
    </row>
    <row r="885" ht="15.75" customHeight="1">
      <c r="C885" s="64"/>
      <c r="D885" s="64"/>
      <c r="E885" s="23"/>
      <c r="F885" s="23"/>
      <c r="G885" s="68"/>
    </row>
    <row r="886" ht="15.75" customHeight="1">
      <c r="C886" s="64"/>
      <c r="D886" s="64"/>
      <c r="E886" s="23"/>
      <c r="F886" s="23"/>
      <c r="G886" s="68"/>
    </row>
    <row r="887" ht="15.75" customHeight="1">
      <c r="C887" s="64"/>
      <c r="D887" s="64"/>
      <c r="E887" s="23"/>
      <c r="F887" s="23"/>
      <c r="G887" s="68"/>
    </row>
    <row r="888" ht="15.75" customHeight="1">
      <c r="C888" s="64"/>
      <c r="D888" s="64"/>
      <c r="E888" s="23"/>
      <c r="F888" s="23"/>
      <c r="G888" s="68"/>
    </row>
    <row r="889" ht="15.75" customHeight="1">
      <c r="C889" s="64"/>
      <c r="D889" s="64"/>
      <c r="E889" s="23"/>
      <c r="F889" s="23"/>
      <c r="G889" s="68"/>
    </row>
    <row r="890" ht="15.75" customHeight="1">
      <c r="C890" s="64"/>
      <c r="D890" s="64"/>
      <c r="E890" s="23"/>
      <c r="F890" s="23"/>
      <c r="G890" s="68"/>
    </row>
    <row r="891" ht="15.75" customHeight="1">
      <c r="C891" s="64"/>
      <c r="D891" s="64"/>
      <c r="E891" s="23"/>
      <c r="F891" s="23"/>
      <c r="G891" s="68"/>
    </row>
    <row r="892" ht="15.75" customHeight="1">
      <c r="C892" s="64"/>
      <c r="D892" s="64"/>
      <c r="E892" s="23"/>
      <c r="F892" s="23"/>
      <c r="G892" s="68"/>
    </row>
    <row r="893" ht="15.75" customHeight="1">
      <c r="C893" s="64"/>
      <c r="D893" s="64"/>
      <c r="E893" s="23"/>
      <c r="F893" s="23"/>
      <c r="G893" s="68"/>
    </row>
    <row r="894" ht="15.75" customHeight="1">
      <c r="C894" s="64"/>
      <c r="D894" s="64"/>
      <c r="E894" s="23"/>
      <c r="F894" s="23"/>
      <c r="G894" s="68"/>
    </row>
    <row r="895" ht="15.75" customHeight="1">
      <c r="C895" s="64"/>
      <c r="D895" s="64"/>
      <c r="E895" s="23"/>
      <c r="F895" s="23"/>
      <c r="G895" s="68"/>
    </row>
    <row r="896" ht="15.75" customHeight="1">
      <c r="C896" s="64"/>
      <c r="D896" s="64"/>
      <c r="E896" s="23"/>
      <c r="F896" s="23"/>
      <c r="G896" s="68"/>
    </row>
    <row r="897" ht="15.75" customHeight="1">
      <c r="C897" s="64"/>
      <c r="D897" s="64"/>
      <c r="E897" s="23"/>
      <c r="F897" s="23"/>
      <c r="G897" s="68"/>
    </row>
    <row r="898" ht="15.75" customHeight="1">
      <c r="C898" s="64"/>
      <c r="D898" s="64"/>
      <c r="E898" s="23"/>
      <c r="F898" s="23"/>
      <c r="G898" s="68"/>
    </row>
    <row r="899" ht="15.75" customHeight="1">
      <c r="C899" s="64"/>
      <c r="D899" s="64"/>
      <c r="E899" s="23"/>
      <c r="F899" s="23"/>
      <c r="G899" s="68"/>
    </row>
    <row r="900" ht="15.75" customHeight="1">
      <c r="C900" s="64"/>
      <c r="D900" s="64"/>
      <c r="E900" s="23"/>
      <c r="F900" s="23"/>
      <c r="G900" s="68"/>
    </row>
    <row r="901" ht="15.75" customHeight="1">
      <c r="C901" s="64"/>
      <c r="D901" s="64"/>
      <c r="E901" s="23"/>
      <c r="F901" s="23"/>
      <c r="G901" s="68"/>
    </row>
    <row r="902" ht="15.75" customHeight="1">
      <c r="C902" s="64"/>
      <c r="D902" s="64"/>
      <c r="E902" s="23"/>
      <c r="F902" s="23"/>
      <c r="G902" s="68"/>
    </row>
    <row r="903" ht="15.75" customHeight="1">
      <c r="C903" s="64"/>
      <c r="D903" s="64"/>
      <c r="E903" s="23"/>
      <c r="F903" s="23"/>
      <c r="G903" s="68"/>
    </row>
    <row r="904" ht="15.75" customHeight="1">
      <c r="C904" s="64"/>
      <c r="D904" s="64"/>
      <c r="E904" s="23"/>
      <c r="F904" s="23"/>
      <c r="G904" s="68"/>
    </row>
    <row r="905" ht="15.75" customHeight="1">
      <c r="C905" s="64"/>
      <c r="D905" s="64"/>
      <c r="E905" s="23"/>
      <c r="F905" s="23"/>
      <c r="G905" s="68"/>
    </row>
    <row r="906" ht="15.75" customHeight="1">
      <c r="C906" s="64"/>
      <c r="D906" s="64"/>
      <c r="E906" s="23"/>
      <c r="F906" s="23"/>
      <c r="G906" s="68"/>
    </row>
    <row r="907" ht="15.75" customHeight="1">
      <c r="C907" s="64"/>
      <c r="D907" s="64"/>
      <c r="E907" s="23"/>
      <c r="F907" s="23"/>
      <c r="G907" s="68"/>
    </row>
    <row r="908" ht="15.75" customHeight="1">
      <c r="C908" s="64"/>
      <c r="D908" s="64"/>
      <c r="E908" s="23"/>
      <c r="F908" s="23"/>
      <c r="G908" s="68"/>
    </row>
    <row r="909" ht="15.75" customHeight="1">
      <c r="C909" s="64"/>
      <c r="D909" s="64"/>
      <c r="E909" s="23"/>
      <c r="F909" s="23"/>
      <c r="G909" s="68"/>
    </row>
    <row r="910" ht="15.75" customHeight="1">
      <c r="C910" s="64"/>
      <c r="D910" s="64"/>
      <c r="E910" s="23"/>
      <c r="F910" s="23"/>
      <c r="G910" s="68"/>
    </row>
    <row r="911" ht="15.75" customHeight="1">
      <c r="C911" s="64"/>
      <c r="D911" s="64"/>
      <c r="E911" s="23"/>
      <c r="F911" s="23"/>
      <c r="G911" s="68"/>
    </row>
    <row r="912" ht="15.75" customHeight="1">
      <c r="C912" s="64"/>
      <c r="D912" s="64"/>
      <c r="E912" s="23"/>
      <c r="F912" s="23"/>
      <c r="G912" s="68"/>
    </row>
    <row r="913" ht="15.75" customHeight="1">
      <c r="C913" s="64"/>
      <c r="D913" s="64"/>
      <c r="E913" s="23"/>
      <c r="F913" s="23"/>
      <c r="G913" s="68"/>
    </row>
    <row r="914" ht="15.75" customHeight="1">
      <c r="C914" s="64"/>
      <c r="D914" s="64"/>
      <c r="E914" s="23"/>
      <c r="F914" s="23"/>
      <c r="G914" s="68"/>
    </row>
    <row r="915" ht="15.75" customHeight="1">
      <c r="C915" s="64"/>
      <c r="D915" s="64"/>
      <c r="E915" s="23"/>
      <c r="F915" s="23"/>
      <c r="G915" s="68"/>
    </row>
    <row r="916" ht="15.75" customHeight="1">
      <c r="C916" s="64"/>
      <c r="D916" s="64"/>
      <c r="E916" s="23"/>
      <c r="F916" s="23"/>
      <c r="G916" s="68"/>
    </row>
    <row r="917" ht="15.75" customHeight="1">
      <c r="C917" s="64"/>
      <c r="D917" s="64"/>
      <c r="E917" s="23"/>
      <c r="F917" s="23"/>
      <c r="G917" s="68"/>
    </row>
    <row r="918" ht="15.75" customHeight="1">
      <c r="C918" s="64"/>
      <c r="D918" s="64"/>
      <c r="E918" s="23"/>
      <c r="F918" s="23"/>
      <c r="G918" s="68"/>
    </row>
    <row r="919" ht="15.75" customHeight="1">
      <c r="C919" s="64"/>
      <c r="D919" s="64"/>
      <c r="E919" s="23"/>
      <c r="F919" s="23"/>
      <c r="G919" s="68"/>
    </row>
    <row r="920" ht="15.75" customHeight="1">
      <c r="C920" s="64"/>
      <c r="D920" s="64"/>
      <c r="E920" s="23"/>
      <c r="F920" s="23"/>
      <c r="G920" s="68"/>
    </row>
    <row r="921" ht="15.75" customHeight="1">
      <c r="C921" s="64"/>
      <c r="D921" s="64"/>
      <c r="E921" s="23"/>
      <c r="F921" s="23"/>
      <c r="G921" s="68"/>
    </row>
    <row r="922" ht="15.75" customHeight="1">
      <c r="C922" s="64"/>
      <c r="D922" s="64"/>
      <c r="E922" s="23"/>
      <c r="F922" s="23"/>
      <c r="G922" s="68"/>
    </row>
    <row r="923" ht="15.75" customHeight="1">
      <c r="C923" s="64"/>
      <c r="D923" s="64"/>
      <c r="E923" s="23"/>
      <c r="F923" s="23"/>
      <c r="G923" s="68"/>
    </row>
    <row r="924" ht="15.75" customHeight="1">
      <c r="C924" s="64"/>
      <c r="D924" s="64"/>
      <c r="E924" s="23"/>
      <c r="F924" s="23"/>
      <c r="G924" s="68"/>
    </row>
    <row r="925" ht="15.75" customHeight="1">
      <c r="C925" s="64"/>
      <c r="D925" s="64"/>
      <c r="E925" s="23"/>
      <c r="F925" s="23"/>
      <c r="G925" s="68"/>
    </row>
    <row r="926" ht="15.75" customHeight="1">
      <c r="C926" s="64"/>
      <c r="D926" s="64"/>
      <c r="E926" s="23"/>
      <c r="F926" s="23"/>
      <c r="G926" s="68"/>
    </row>
    <row r="927" ht="15.75" customHeight="1">
      <c r="C927" s="64"/>
      <c r="D927" s="64"/>
      <c r="E927" s="23"/>
      <c r="F927" s="23"/>
      <c r="G927" s="68"/>
    </row>
    <row r="928" ht="15.75" customHeight="1">
      <c r="C928" s="64"/>
      <c r="D928" s="64"/>
      <c r="E928" s="23"/>
      <c r="F928" s="23"/>
      <c r="G928" s="68"/>
    </row>
    <row r="929" ht="15.75" customHeight="1">
      <c r="C929" s="64"/>
      <c r="D929" s="64"/>
      <c r="E929" s="23"/>
      <c r="F929" s="23"/>
      <c r="G929" s="68"/>
    </row>
    <row r="930" ht="15.75" customHeight="1">
      <c r="C930" s="64"/>
      <c r="D930" s="64"/>
      <c r="E930" s="23"/>
      <c r="F930" s="23"/>
      <c r="G930" s="68"/>
    </row>
    <row r="931" ht="15.75" customHeight="1">
      <c r="C931" s="64"/>
      <c r="D931" s="64"/>
      <c r="E931" s="23"/>
      <c r="F931" s="23"/>
      <c r="G931" s="68"/>
    </row>
    <row r="932" ht="15.75" customHeight="1">
      <c r="C932" s="64"/>
      <c r="D932" s="64"/>
      <c r="E932" s="23"/>
      <c r="F932" s="23"/>
      <c r="G932" s="68"/>
    </row>
    <row r="933" ht="15.75" customHeight="1">
      <c r="C933" s="64"/>
      <c r="D933" s="64"/>
      <c r="E933" s="23"/>
      <c r="F933" s="23"/>
      <c r="G933" s="68"/>
    </row>
    <row r="934" ht="15.75" customHeight="1">
      <c r="C934" s="64"/>
      <c r="D934" s="64"/>
      <c r="E934" s="23"/>
      <c r="F934" s="23"/>
      <c r="G934" s="68"/>
    </row>
    <row r="935" ht="15.75" customHeight="1">
      <c r="C935" s="64"/>
      <c r="D935" s="64"/>
      <c r="E935" s="23"/>
      <c r="F935" s="23"/>
      <c r="G935" s="68"/>
    </row>
    <row r="936" ht="15.75" customHeight="1">
      <c r="C936" s="64"/>
      <c r="D936" s="64"/>
      <c r="E936" s="23"/>
      <c r="F936" s="23"/>
      <c r="G936" s="68"/>
    </row>
    <row r="937" ht="15.75" customHeight="1">
      <c r="C937" s="64"/>
      <c r="D937" s="64"/>
      <c r="E937" s="23"/>
      <c r="F937" s="23"/>
      <c r="G937" s="68"/>
    </row>
    <row r="938" ht="15.75" customHeight="1">
      <c r="C938" s="64"/>
      <c r="D938" s="64"/>
      <c r="E938" s="23"/>
      <c r="F938" s="23"/>
      <c r="G938" s="68"/>
    </row>
    <row r="939" ht="15.75" customHeight="1">
      <c r="C939" s="64"/>
      <c r="D939" s="64"/>
      <c r="E939" s="23"/>
      <c r="F939" s="23"/>
      <c r="G939" s="68"/>
    </row>
    <row r="940" ht="15.75" customHeight="1">
      <c r="C940" s="64"/>
      <c r="D940" s="64"/>
      <c r="E940" s="23"/>
      <c r="F940" s="23"/>
      <c r="G940" s="68"/>
    </row>
    <row r="941" ht="15.75" customHeight="1">
      <c r="C941" s="64"/>
      <c r="D941" s="64"/>
      <c r="E941" s="23"/>
      <c r="F941" s="23"/>
      <c r="G941" s="68"/>
    </row>
    <row r="942" ht="15.75" customHeight="1">
      <c r="C942" s="64"/>
      <c r="D942" s="64"/>
      <c r="E942" s="23"/>
      <c r="F942" s="23"/>
      <c r="G942" s="68"/>
    </row>
    <row r="943" ht="15.75" customHeight="1">
      <c r="C943" s="64"/>
      <c r="D943" s="64"/>
      <c r="E943" s="23"/>
      <c r="F943" s="23"/>
      <c r="G943" s="68"/>
    </row>
    <row r="944" ht="15.75" customHeight="1">
      <c r="C944" s="64"/>
      <c r="D944" s="64"/>
      <c r="E944" s="23"/>
      <c r="F944" s="23"/>
      <c r="G944" s="68"/>
    </row>
    <row r="945" ht="15.75" customHeight="1">
      <c r="C945" s="64"/>
      <c r="D945" s="64"/>
      <c r="E945" s="23"/>
      <c r="F945" s="23"/>
      <c r="G945" s="68"/>
    </row>
    <row r="946" ht="15.75" customHeight="1">
      <c r="C946" s="64"/>
      <c r="D946" s="64"/>
      <c r="E946" s="23"/>
      <c r="F946" s="23"/>
      <c r="G946" s="68"/>
    </row>
    <row r="947" ht="15.75" customHeight="1">
      <c r="C947" s="64"/>
      <c r="D947" s="64"/>
      <c r="E947" s="23"/>
      <c r="F947" s="23"/>
      <c r="G947" s="68"/>
    </row>
    <row r="948" ht="15.75" customHeight="1">
      <c r="C948" s="64"/>
      <c r="D948" s="64"/>
      <c r="E948" s="23"/>
      <c r="F948" s="23"/>
      <c r="G948" s="68"/>
    </row>
    <row r="949" ht="15.75" customHeight="1">
      <c r="C949" s="64"/>
      <c r="D949" s="64"/>
      <c r="E949" s="23"/>
      <c r="F949" s="23"/>
      <c r="G949" s="68"/>
    </row>
    <row r="950" ht="15.75" customHeight="1">
      <c r="C950" s="64"/>
      <c r="D950" s="64"/>
      <c r="E950" s="23"/>
      <c r="F950" s="23"/>
      <c r="G950" s="68"/>
    </row>
    <row r="951" ht="15.75" customHeight="1">
      <c r="C951" s="64"/>
      <c r="D951" s="64"/>
      <c r="E951" s="23"/>
      <c r="F951" s="23"/>
      <c r="G951" s="68"/>
    </row>
    <row r="952" ht="15.75" customHeight="1">
      <c r="C952" s="64"/>
      <c r="D952" s="64"/>
      <c r="E952" s="23"/>
      <c r="F952" s="23"/>
      <c r="G952" s="68"/>
    </row>
    <row r="953" ht="15.75" customHeight="1">
      <c r="C953" s="64"/>
      <c r="D953" s="64"/>
      <c r="E953" s="23"/>
      <c r="F953" s="23"/>
      <c r="G953" s="68"/>
    </row>
    <row r="954" ht="15.75" customHeight="1">
      <c r="C954" s="64"/>
      <c r="D954" s="64"/>
      <c r="E954" s="23"/>
      <c r="F954" s="23"/>
      <c r="G954" s="68"/>
    </row>
    <row r="955" ht="15.75" customHeight="1">
      <c r="C955" s="64"/>
      <c r="D955" s="64"/>
      <c r="E955" s="23"/>
      <c r="F955" s="23"/>
      <c r="G955" s="68"/>
    </row>
    <row r="956" ht="15.75" customHeight="1">
      <c r="C956" s="64"/>
      <c r="D956" s="64"/>
      <c r="E956" s="23"/>
      <c r="F956" s="23"/>
      <c r="G956" s="68"/>
    </row>
    <row r="957" ht="15.75" customHeight="1">
      <c r="C957" s="64"/>
      <c r="D957" s="64"/>
      <c r="E957" s="23"/>
      <c r="F957" s="23"/>
      <c r="G957" s="68"/>
    </row>
    <row r="958" ht="15.75" customHeight="1">
      <c r="C958" s="64"/>
      <c r="D958" s="64"/>
      <c r="E958" s="23"/>
      <c r="F958" s="23"/>
      <c r="G958" s="68"/>
    </row>
    <row r="959" ht="15.75" customHeight="1">
      <c r="C959" s="64"/>
      <c r="D959" s="64"/>
      <c r="E959" s="23"/>
      <c r="F959" s="23"/>
      <c r="G959" s="68"/>
    </row>
    <row r="960" ht="15.75" customHeight="1">
      <c r="C960" s="64"/>
      <c r="D960" s="64"/>
      <c r="E960" s="23"/>
      <c r="F960" s="23"/>
      <c r="G960" s="68"/>
    </row>
    <row r="961" ht="15.75" customHeight="1">
      <c r="C961" s="64"/>
      <c r="D961" s="64"/>
      <c r="E961" s="23"/>
      <c r="F961" s="23"/>
      <c r="G961" s="68"/>
    </row>
    <row r="962" ht="15.75" customHeight="1">
      <c r="C962" s="64"/>
      <c r="D962" s="64"/>
      <c r="E962" s="23"/>
      <c r="F962" s="23"/>
      <c r="G962" s="68"/>
    </row>
    <row r="963" ht="15.75" customHeight="1">
      <c r="C963" s="64"/>
      <c r="D963" s="64"/>
      <c r="E963" s="23"/>
      <c r="F963" s="23"/>
      <c r="G963" s="68"/>
    </row>
    <row r="964" ht="15.75" customHeight="1">
      <c r="C964" s="64"/>
      <c r="D964" s="64"/>
      <c r="E964" s="23"/>
      <c r="F964" s="23"/>
      <c r="G964" s="68"/>
    </row>
    <row r="965" ht="15.75" customHeight="1">
      <c r="C965" s="64"/>
      <c r="D965" s="64"/>
      <c r="E965" s="23"/>
      <c r="F965" s="23"/>
      <c r="G965" s="68"/>
    </row>
    <row r="966" ht="15.75" customHeight="1">
      <c r="C966" s="64"/>
      <c r="D966" s="64"/>
      <c r="E966" s="23"/>
      <c r="F966" s="23"/>
      <c r="G966" s="68"/>
    </row>
    <row r="967" ht="15.75" customHeight="1">
      <c r="C967" s="64"/>
      <c r="D967" s="64"/>
      <c r="E967" s="23"/>
      <c r="F967" s="23"/>
      <c r="G967" s="68"/>
    </row>
    <row r="968" ht="15.75" customHeight="1">
      <c r="C968" s="64"/>
      <c r="D968" s="64"/>
      <c r="E968" s="23"/>
      <c r="F968" s="23"/>
      <c r="G968" s="68"/>
    </row>
    <row r="969" ht="15.75" customHeight="1">
      <c r="C969" s="64"/>
      <c r="D969" s="64"/>
      <c r="E969" s="23"/>
      <c r="F969" s="23"/>
      <c r="G969" s="68"/>
    </row>
    <row r="970" ht="15.75" customHeight="1">
      <c r="C970" s="64"/>
      <c r="D970" s="64"/>
      <c r="E970" s="23"/>
      <c r="F970" s="23"/>
      <c r="G970" s="68"/>
    </row>
    <row r="971" ht="15.75" customHeight="1">
      <c r="C971" s="64"/>
      <c r="D971" s="64"/>
      <c r="E971" s="23"/>
      <c r="F971" s="23"/>
      <c r="G971" s="68"/>
    </row>
    <row r="972" ht="15.75" customHeight="1">
      <c r="C972" s="64"/>
      <c r="D972" s="64"/>
      <c r="E972" s="23"/>
      <c r="F972" s="23"/>
      <c r="G972" s="68"/>
    </row>
    <row r="973" ht="15.75" customHeight="1">
      <c r="C973" s="64"/>
      <c r="D973" s="64"/>
      <c r="E973" s="23"/>
      <c r="F973" s="23"/>
      <c r="G973" s="68"/>
    </row>
    <row r="974" ht="15.75" customHeight="1">
      <c r="C974" s="64"/>
      <c r="D974" s="64"/>
      <c r="E974" s="23"/>
      <c r="F974" s="23"/>
      <c r="G974" s="68"/>
    </row>
    <row r="975" ht="15.75" customHeight="1">
      <c r="C975" s="64"/>
      <c r="D975" s="64"/>
      <c r="E975" s="23"/>
      <c r="F975" s="23"/>
      <c r="G975" s="68"/>
    </row>
    <row r="976" ht="15.75" customHeight="1">
      <c r="C976" s="64"/>
      <c r="D976" s="64"/>
      <c r="E976" s="23"/>
      <c r="F976" s="23"/>
      <c r="G976" s="68"/>
    </row>
    <row r="977" ht="15.75" customHeight="1">
      <c r="C977" s="64"/>
      <c r="D977" s="64"/>
      <c r="E977" s="23"/>
      <c r="F977" s="23"/>
      <c r="G977" s="68"/>
    </row>
    <row r="978" ht="15.75" customHeight="1">
      <c r="C978" s="64"/>
      <c r="D978" s="64"/>
      <c r="E978" s="23"/>
      <c r="F978" s="23"/>
      <c r="G978" s="68"/>
    </row>
    <row r="979" ht="15.75" customHeight="1">
      <c r="C979" s="64"/>
      <c r="D979" s="64"/>
      <c r="E979" s="23"/>
      <c r="F979" s="23"/>
      <c r="G979" s="68"/>
    </row>
    <row r="980" ht="15.75" customHeight="1">
      <c r="C980" s="64"/>
      <c r="D980" s="64"/>
      <c r="E980" s="23"/>
      <c r="F980" s="23"/>
      <c r="G980" s="68"/>
    </row>
    <row r="981" ht="15.75" customHeight="1">
      <c r="C981" s="64"/>
      <c r="D981" s="64"/>
      <c r="E981" s="23"/>
      <c r="F981" s="23"/>
      <c r="G981" s="68"/>
    </row>
    <row r="982" ht="15.75" customHeight="1">
      <c r="C982" s="64"/>
      <c r="D982" s="64"/>
      <c r="E982" s="23"/>
      <c r="F982" s="23"/>
      <c r="G982" s="68"/>
    </row>
    <row r="983" ht="15.75" customHeight="1">
      <c r="C983" s="64"/>
      <c r="D983" s="64"/>
      <c r="E983" s="23"/>
      <c r="F983" s="23"/>
      <c r="G983" s="68"/>
    </row>
    <row r="984" ht="15.75" customHeight="1">
      <c r="C984" s="64"/>
      <c r="D984" s="64"/>
      <c r="E984" s="23"/>
      <c r="F984" s="23"/>
      <c r="G984" s="68"/>
    </row>
    <row r="985" ht="15.75" customHeight="1">
      <c r="C985" s="64"/>
      <c r="D985" s="64"/>
      <c r="E985" s="23"/>
      <c r="F985" s="23"/>
      <c r="G985" s="68"/>
    </row>
    <row r="986" ht="15.75" customHeight="1">
      <c r="C986" s="64"/>
      <c r="D986" s="64"/>
      <c r="E986" s="23"/>
      <c r="F986" s="23"/>
      <c r="G986" s="68"/>
    </row>
    <row r="987" ht="15.75" customHeight="1">
      <c r="C987" s="64"/>
      <c r="D987" s="64"/>
      <c r="E987" s="23"/>
      <c r="F987" s="23"/>
      <c r="G987" s="68"/>
    </row>
    <row r="988" ht="15.75" customHeight="1">
      <c r="C988" s="64"/>
      <c r="D988" s="64"/>
      <c r="E988" s="23"/>
      <c r="F988" s="23"/>
      <c r="G988" s="68"/>
    </row>
    <row r="989" ht="15.75" customHeight="1">
      <c r="C989" s="64"/>
      <c r="D989" s="64"/>
      <c r="E989" s="23"/>
      <c r="F989" s="23"/>
      <c r="G989" s="68"/>
    </row>
    <row r="990" ht="15.75" customHeight="1">
      <c r="C990" s="64"/>
      <c r="D990" s="64"/>
      <c r="E990" s="23"/>
      <c r="F990" s="23"/>
      <c r="G990" s="68"/>
    </row>
    <row r="991" ht="15.75" customHeight="1">
      <c r="C991" s="64"/>
      <c r="D991" s="64"/>
      <c r="E991" s="23"/>
      <c r="F991" s="23"/>
      <c r="G991" s="68"/>
    </row>
    <row r="992" ht="15.75" customHeight="1">
      <c r="C992" s="64"/>
      <c r="D992" s="64"/>
      <c r="E992" s="23"/>
      <c r="F992" s="23"/>
      <c r="G992" s="68"/>
    </row>
    <row r="993" ht="15.75" customHeight="1">
      <c r="C993" s="64"/>
      <c r="D993" s="64"/>
      <c r="E993" s="23"/>
      <c r="F993" s="23"/>
      <c r="G993" s="68"/>
    </row>
    <row r="994" ht="15.75" customHeight="1">
      <c r="C994" s="64"/>
      <c r="D994" s="64"/>
      <c r="E994" s="23"/>
      <c r="F994" s="23"/>
      <c r="G994" s="68"/>
    </row>
    <row r="995" ht="15.75" customHeight="1">
      <c r="C995" s="64"/>
      <c r="D995" s="64"/>
      <c r="E995" s="23"/>
      <c r="F995" s="23"/>
      <c r="G995" s="68"/>
    </row>
    <row r="996" ht="15.75" customHeight="1">
      <c r="C996" s="64"/>
      <c r="D996" s="64"/>
      <c r="E996" s="23"/>
      <c r="F996" s="23"/>
      <c r="G996" s="68"/>
    </row>
  </sheetData>
  <dataValidations>
    <dataValidation type="list" allowBlank="1" sqref="C2:C996">
      <formula1>"Dorm A,Dorm B,Dorm D,Dorm E,Meikokan"</formula1>
    </dataValidation>
    <dataValidation type="list" allowBlank="1" sqref="D2:D996">
      <formula1>"Active,Inactive"</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0.13"/>
    <col customWidth="1" min="2" max="2" width="14.88"/>
    <col customWidth="1" min="3" max="3" width="171.63"/>
  </cols>
  <sheetData>
    <row r="1">
      <c r="A1" s="19" t="s">
        <v>340</v>
      </c>
      <c r="B1" s="51">
        <v>46290.26747709491</v>
      </c>
    </row>
    <row r="2">
      <c r="A2" s="19" t="s">
        <v>341</v>
      </c>
      <c r="B2" s="34">
        <v>16.0</v>
      </c>
    </row>
    <row r="4">
      <c r="A4" s="24" t="s">
        <v>342</v>
      </c>
      <c r="B4" s="24" t="s">
        <v>343</v>
      </c>
      <c r="C4" s="24" t="s">
        <v>344</v>
      </c>
    </row>
    <row r="5">
      <c r="A5" s="19" t="s">
        <v>345</v>
      </c>
      <c r="B5" s="34">
        <v>3.0</v>
      </c>
      <c r="C5" s="19" t="s">
        <v>346</v>
      </c>
    </row>
    <row r="6">
      <c r="A6" s="19" t="s">
        <v>347</v>
      </c>
      <c r="B6" s="34">
        <v>8.0</v>
      </c>
      <c r="C6" s="19" t="s">
        <v>348</v>
      </c>
    </row>
    <row r="7">
      <c r="A7" s="19" t="s">
        <v>347</v>
      </c>
      <c r="B7" s="34">
        <v>9.0</v>
      </c>
      <c r="C7" s="19" t="s">
        <v>349</v>
      </c>
    </row>
    <row r="8">
      <c r="A8" s="19" t="s">
        <v>347</v>
      </c>
      <c r="B8" s="34">
        <v>10.0</v>
      </c>
      <c r="C8" s="19" t="s">
        <v>350</v>
      </c>
    </row>
    <row r="9">
      <c r="A9" s="19" t="s">
        <v>347</v>
      </c>
      <c r="B9" s="34">
        <v>15.0</v>
      </c>
      <c r="C9" s="19" t="s">
        <v>351</v>
      </c>
    </row>
    <row r="10">
      <c r="A10" s="19" t="s">
        <v>347</v>
      </c>
      <c r="B10" s="34">
        <v>17.0</v>
      </c>
      <c r="C10" s="19" t="s">
        <v>352</v>
      </c>
    </row>
    <row r="11">
      <c r="A11" s="19" t="s">
        <v>347</v>
      </c>
      <c r="B11" s="34">
        <v>18.0</v>
      </c>
      <c r="C11" s="19" t="s">
        <v>353</v>
      </c>
    </row>
    <row r="12">
      <c r="A12" s="19" t="s">
        <v>347</v>
      </c>
      <c r="B12" s="34">
        <v>20.0</v>
      </c>
      <c r="C12" s="19" t="s">
        <v>354</v>
      </c>
    </row>
    <row r="13">
      <c r="A13" s="19" t="s">
        <v>347</v>
      </c>
      <c r="B13" s="34">
        <v>21.0</v>
      </c>
      <c r="C13" s="19" t="s">
        <v>355</v>
      </c>
    </row>
    <row r="14">
      <c r="A14" s="19" t="s">
        <v>347</v>
      </c>
      <c r="B14" s="34">
        <v>25.0</v>
      </c>
      <c r="C14" s="19" t="s">
        <v>356</v>
      </c>
    </row>
    <row r="15">
      <c r="A15" s="19" t="s">
        <v>347</v>
      </c>
      <c r="B15" s="34">
        <v>26.0</v>
      </c>
      <c r="C15" s="19" t="s">
        <v>357</v>
      </c>
    </row>
    <row r="16">
      <c r="A16" s="19" t="s">
        <v>347</v>
      </c>
      <c r="B16" s="34">
        <v>29.0</v>
      </c>
      <c r="C16" s="19" t="s">
        <v>358</v>
      </c>
    </row>
    <row r="17">
      <c r="A17" s="19" t="s">
        <v>347</v>
      </c>
      <c r="B17" s="34">
        <v>33.0</v>
      </c>
      <c r="C17" s="19" t="s">
        <v>359</v>
      </c>
    </row>
    <row r="18">
      <c r="A18" s="19" t="s">
        <v>347</v>
      </c>
      <c r="B18" s="34">
        <v>40.0</v>
      </c>
      <c r="C18" s="19" t="s">
        <v>360</v>
      </c>
    </row>
    <row r="19">
      <c r="A19" s="19" t="s">
        <v>361</v>
      </c>
      <c r="B19" s="34">
        <v>8.0</v>
      </c>
      <c r="C19" s="19" t="s">
        <v>362</v>
      </c>
    </row>
    <row r="20">
      <c r="A20" s="19" t="s">
        <v>361</v>
      </c>
      <c r="B20" s="34">
        <v>27.0</v>
      </c>
      <c r="C20" s="19" t="s">
        <v>363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0"/>
    <col customWidth="1" min="2" max="2" width="34.0"/>
    <col customWidth="1" min="3" max="3" width="18.75"/>
    <col customWidth="1" min="4" max="4" width="30.0"/>
    <col customWidth="1" min="5" max="5" width="18.0"/>
    <col customWidth="1" min="6" max="25" width="8.63"/>
  </cols>
  <sheetData>
    <row r="1">
      <c r="A1" s="58" t="s">
        <v>364</v>
      </c>
      <c r="B1" s="58" t="s">
        <v>69</v>
      </c>
      <c r="C1" s="58" t="s">
        <v>70</v>
      </c>
      <c r="D1" s="58" t="s">
        <v>365</v>
      </c>
      <c r="E1" s="58" t="s">
        <v>366</v>
      </c>
      <c r="F1" s="5" t="s">
        <v>367</v>
      </c>
      <c r="G1" s="16"/>
    </row>
    <row r="2">
      <c r="A2" s="53" t="s">
        <v>368</v>
      </c>
      <c r="B2" s="53" t="s">
        <v>369</v>
      </c>
      <c r="C2" s="55">
        <v>46276.0</v>
      </c>
      <c r="D2" s="53" t="s">
        <v>370</v>
      </c>
      <c r="E2" s="70">
        <v>46307.91980549769</v>
      </c>
      <c r="F2" s="53" t="s">
        <v>42</v>
      </c>
      <c r="G2" s="16"/>
    </row>
    <row r="3">
      <c r="A3" s="53" t="s">
        <v>371</v>
      </c>
      <c r="B3" s="53" t="s">
        <v>74</v>
      </c>
      <c r="C3" s="55">
        <v>46275.33333333333</v>
      </c>
      <c r="D3" s="53" t="s">
        <v>361</v>
      </c>
      <c r="E3" s="70">
        <v>46307.91980549769</v>
      </c>
      <c r="F3" s="53" t="s">
        <v>43</v>
      </c>
      <c r="G3" s="16"/>
    </row>
    <row r="4">
      <c r="A4" s="53" t="s">
        <v>372</v>
      </c>
      <c r="B4" s="53" t="s">
        <v>373</v>
      </c>
      <c r="C4" s="71">
        <v>46276.0</v>
      </c>
      <c r="D4" s="53" t="s">
        <v>374</v>
      </c>
      <c r="E4" s="71">
        <v>46307.91980549769</v>
      </c>
      <c r="F4" s="53" t="s">
        <v>44</v>
      </c>
      <c r="G4" s="16"/>
    </row>
    <row r="5">
      <c r="A5" s="53" t="s">
        <v>375</v>
      </c>
      <c r="B5" s="53" t="s">
        <v>376</v>
      </c>
      <c r="C5" s="71">
        <v>46275.0</v>
      </c>
      <c r="D5" s="53" t="s">
        <v>377</v>
      </c>
      <c r="E5" s="71">
        <v>46307.91980549769</v>
      </c>
      <c r="F5" s="53" t="s">
        <v>41</v>
      </c>
      <c r="G5" s="16"/>
    </row>
    <row r="6">
      <c r="A6" s="53" t="s">
        <v>378</v>
      </c>
      <c r="B6" s="53" t="s">
        <v>379</v>
      </c>
      <c r="C6" s="71">
        <v>46283.6875</v>
      </c>
      <c r="D6" s="53" t="s">
        <v>347</v>
      </c>
      <c r="E6" s="71">
        <v>46307.91980549769</v>
      </c>
      <c r="F6" s="53" t="s">
        <v>45</v>
      </c>
      <c r="G6" s="16"/>
    </row>
    <row r="7">
      <c r="A7" s="53" t="s">
        <v>380</v>
      </c>
      <c r="B7" s="53" t="s">
        <v>381</v>
      </c>
      <c r="C7" s="71">
        <v>46289.33333333333</v>
      </c>
      <c r="D7" s="53" t="s">
        <v>382</v>
      </c>
      <c r="E7" s="71">
        <v>46307.91980549769</v>
      </c>
      <c r="F7" s="53" t="s">
        <v>41</v>
      </c>
      <c r="G7" s="16"/>
    </row>
    <row r="8">
      <c r="A8" s="53" t="s">
        <v>383</v>
      </c>
      <c r="B8" s="53" t="s">
        <v>384</v>
      </c>
      <c r="C8" s="71">
        <v>46303.33333333333</v>
      </c>
      <c r="D8" s="53" t="s">
        <v>385</v>
      </c>
      <c r="E8" s="71">
        <v>46307.91980549769</v>
      </c>
      <c r="F8" s="53" t="s">
        <v>45</v>
      </c>
      <c r="G8" s="16"/>
    </row>
    <row r="9">
      <c r="A9" s="53" t="s">
        <v>386</v>
      </c>
      <c r="B9" s="53" t="s">
        <v>387</v>
      </c>
      <c r="C9" s="71">
        <v>46304.0</v>
      </c>
      <c r="D9" s="53" t="s">
        <v>388</v>
      </c>
      <c r="E9" s="71">
        <v>46307.91980549769</v>
      </c>
      <c r="F9" s="53" t="s">
        <v>42</v>
      </c>
      <c r="G9" s="16"/>
    </row>
    <row r="10">
      <c r="A10" s="53" t="s">
        <v>389</v>
      </c>
      <c r="B10" s="53" t="s">
        <v>390</v>
      </c>
      <c r="C10" s="71">
        <v>46303.33333333333</v>
      </c>
      <c r="D10" s="53" t="s">
        <v>391</v>
      </c>
      <c r="E10" s="71">
        <v>46307.91980549769</v>
      </c>
      <c r="F10" s="53" t="s">
        <v>44</v>
      </c>
      <c r="G10" s="16"/>
    </row>
    <row r="11">
      <c r="A11" s="53" t="s">
        <v>392</v>
      </c>
      <c r="B11" s="53" t="s">
        <v>74</v>
      </c>
      <c r="C11" s="71">
        <v>46303.33333333333</v>
      </c>
      <c r="D11" s="53" t="s">
        <v>393</v>
      </c>
      <c r="E11" s="71">
        <v>46307.91980549769</v>
      </c>
      <c r="F11" s="53" t="s">
        <v>43</v>
      </c>
      <c r="G11" s="16"/>
    </row>
    <row r="12">
      <c r="A12" s="53" t="s">
        <v>394</v>
      </c>
      <c r="B12" s="53" t="s">
        <v>395</v>
      </c>
      <c r="C12" s="71">
        <v>46306.0</v>
      </c>
      <c r="D12" s="53" t="s">
        <v>396</v>
      </c>
      <c r="E12" s="71">
        <v>46307.91980549769</v>
      </c>
      <c r="F12" s="53" t="s">
        <v>42</v>
      </c>
      <c r="G12" s="16"/>
    </row>
    <row r="13">
      <c r="A13" s="53" t="s">
        <v>397</v>
      </c>
      <c r="B13" s="53" t="s">
        <v>398</v>
      </c>
      <c r="C13" s="71">
        <v>46305.33333333333</v>
      </c>
      <c r="D13" s="53" t="s">
        <v>399</v>
      </c>
      <c r="E13" s="71">
        <v>46307.91980549769</v>
      </c>
      <c r="F13" s="53"/>
      <c r="G13" s="16"/>
    </row>
    <row r="14">
      <c r="A14" s="16"/>
      <c r="B14" s="16"/>
      <c r="C14" s="56"/>
      <c r="D14" s="16"/>
      <c r="E14" s="72"/>
      <c r="F14" s="16"/>
      <c r="G14" s="16"/>
    </row>
    <row r="15">
      <c r="A15" s="16"/>
      <c r="B15" s="16"/>
      <c r="C15" s="56"/>
      <c r="D15" s="16"/>
      <c r="E15" s="72"/>
      <c r="F15" s="16"/>
      <c r="G15" s="16"/>
    </row>
    <row r="16">
      <c r="A16" s="16"/>
      <c r="B16" s="16"/>
      <c r="C16" s="56"/>
      <c r="D16" s="16"/>
      <c r="E16" s="72"/>
      <c r="F16" s="16"/>
      <c r="G16" s="16"/>
    </row>
    <row r="17">
      <c r="A17" s="16"/>
      <c r="B17" s="16"/>
      <c r="C17" s="56"/>
      <c r="D17" s="16"/>
      <c r="E17" s="72"/>
      <c r="F17" s="16"/>
      <c r="G17" s="16"/>
    </row>
    <row r="18">
      <c r="A18" s="16"/>
      <c r="B18" s="16"/>
      <c r="C18" s="56"/>
      <c r="D18" s="16"/>
      <c r="E18" s="72"/>
      <c r="F18" s="16"/>
      <c r="G18" s="16"/>
    </row>
    <row r="19">
      <c r="A19" s="16"/>
      <c r="B19" s="16"/>
      <c r="C19" s="56"/>
      <c r="D19" s="16"/>
      <c r="E19" s="72"/>
      <c r="F19" s="16"/>
      <c r="G19" s="16"/>
    </row>
    <row r="20">
      <c r="A20" s="16"/>
      <c r="B20" s="16"/>
      <c r="C20" s="56"/>
      <c r="D20" s="16"/>
      <c r="E20" s="72"/>
      <c r="F20" s="16"/>
      <c r="G20" s="16"/>
    </row>
    <row r="21" ht="15.75" customHeight="1">
      <c r="A21" s="16"/>
      <c r="B21" s="16"/>
      <c r="C21" s="56"/>
      <c r="D21" s="16"/>
      <c r="E21" s="72"/>
      <c r="F21" s="16"/>
      <c r="G21" s="16"/>
    </row>
    <row r="22" ht="15.75" customHeight="1">
      <c r="A22" s="16"/>
      <c r="B22" s="16"/>
      <c r="C22" s="56"/>
      <c r="D22" s="16"/>
      <c r="E22" s="72"/>
      <c r="F22" s="16"/>
      <c r="G22" s="16"/>
    </row>
    <row r="23" ht="15.75" customHeight="1">
      <c r="A23" s="16"/>
      <c r="B23" s="16"/>
      <c r="C23" s="56"/>
      <c r="D23" s="16"/>
      <c r="E23" s="72"/>
      <c r="F23" s="16"/>
      <c r="G23" s="16"/>
    </row>
    <row r="24" ht="15.75" customHeight="1">
      <c r="A24" s="16"/>
      <c r="B24" s="16"/>
      <c r="C24" s="56"/>
      <c r="D24" s="16"/>
      <c r="E24" s="72"/>
      <c r="F24" s="16"/>
      <c r="G24" s="16"/>
    </row>
    <row r="25" ht="15.75" customHeight="1">
      <c r="A25" s="16"/>
      <c r="B25" s="16"/>
      <c r="C25" s="56"/>
      <c r="D25" s="16"/>
      <c r="E25" s="72"/>
      <c r="F25" s="16"/>
      <c r="G25" s="16"/>
    </row>
    <row r="26" ht="15.75" customHeight="1">
      <c r="A26" s="16"/>
      <c r="B26" s="16"/>
      <c r="C26" s="56"/>
      <c r="D26" s="16"/>
      <c r="E26" s="72"/>
      <c r="F26" s="16"/>
      <c r="G26" s="16"/>
    </row>
    <row r="27" ht="15.75" customHeight="1">
      <c r="A27" s="16"/>
      <c r="B27" s="16"/>
      <c r="C27" s="56"/>
      <c r="D27" s="16"/>
      <c r="E27" s="72"/>
      <c r="F27" s="16"/>
      <c r="G27" s="16"/>
    </row>
    <row r="28" ht="15.75" customHeight="1">
      <c r="A28" s="16"/>
      <c r="B28" s="16"/>
      <c r="C28" s="56"/>
      <c r="D28" s="16"/>
      <c r="E28" s="72"/>
      <c r="F28" s="16"/>
      <c r="G28" s="16"/>
    </row>
    <row r="29" ht="15.75" customHeight="1">
      <c r="A29" s="16"/>
      <c r="B29" s="16"/>
      <c r="C29" s="56"/>
      <c r="D29" s="16"/>
      <c r="E29" s="72"/>
      <c r="F29" s="16"/>
      <c r="G29" s="16"/>
    </row>
    <row r="30" ht="15.75" customHeight="1">
      <c r="A30" s="16"/>
      <c r="B30" s="16"/>
      <c r="C30" s="56"/>
      <c r="D30" s="16"/>
      <c r="E30" s="72"/>
      <c r="F30" s="16"/>
      <c r="G30" s="16"/>
    </row>
    <row r="31" ht="15.75" customHeight="1">
      <c r="A31" s="16"/>
      <c r="B31" s="16"/>
      <c r="C31" s="56"/>
      <c r="D31" s="16"/>
      <c r="E31" s="72"/>
      <c r="F31" s="16"/>
      <c r="G31" s="16"/>
    </row>
    <row r="32" ht="15.75" customHeight="1">
      <c r="A32" s="16"/>
      <c r="B32" s="16"/>
      <c r="C32" s="56"/>
      <c r="D32" s="16"/>
      <c r="E32" s="72"/>
      <c r="F32" s="16"/>
      <c r="G32" s="16"/>
    </row>
    <row r="33" ht="15.75" customHeight="1">
      <c r="A33" s="16"/>
      <c r="B33" s="16"/>
      <c r="C33" s="56"/>
      <c r="D33" s="16"/>
      <c r="E33" s="72"/>
      <c r="F33" s="16"/>
      <c r="G33" s="16"/>
    </row>
    <row r="34" ht="15.75" customHeight="1">
      <c r="A34" s="16"/>
      <c r="B34" s="16"/>
      <c r="C34" s="56"/>
      <c r="D34" s="16"/>
      <c r="E34" s="72"/>
      <c r="F34" s="16"/>
      <c r="G34" s="16"/>
    </row>
    <row r="35" ht="15.75" customHeight="1">
      <c r="A35" s="16"/>
      <c r="B35" s="16"/>
      <c r="C35" s="56"/>
      <c r="D35" s="16"/>
      <c r="E35" s="72"/>
      <c r="F35" s="16"/>
      <c r="G35" s="16"/>
    </row>
    <row r="36" ht="15.75" customHeight="1">
      <c r="A36" s="16"/>
      <c r="B36" s="16"/>
      <c r="C36" s="56"/>
      <c r="D36" s="16"/>
      <c r="E36" s="72"/>
      <c r="F36" s="16"/>
      <c r="G36" s="16"/>
    </row>
    <row r="37" ht="15.75" customHeight="1">
      <c r="A37" s="16"/>
      <c r="B37" s="16"/>
      <c r="C37" s="56"/>
      <c r="D37" s="16"/>
      <c r="E37" s="72"/>
      <c r="F37" s="16"/>
      <c r="G37" s="16"/>
    </row>
    <row r="38" ht="15.75" customHeight="1">
      <c r="A38" s="16"/>
      <c r="B38" s="16"/>
      <c r="C38" s="56"/>
      <c r="D38" s="16"/>
      <c r="E38" s="72"/>
      <c r="F38" s="16"/>
      <c r="G38" s="16"/>
    </row>
    <row r="39" ht="15.75" customHeight="1">
      <c r="A39" s="16"/>
      <c r="B39" s="16"/>
      <c r="C39" s="56"/>
      <c r="D39" s="16"/>
      <c r="E39" s="72"/>
      <c r="F39" s="16"/>
      <c r="G39" s="16"/>
    </row>
    <row r="40" ht="15.75" customHeight="1">
      <c r="A40" s="16"/>
      <c r="B40" s="16"/>
      <c r="C40" s="56"/>
      <c r="D40" s="16"/>
      <c r="E40" s="72"/>
      <c r="F40" s="16"/>
      <c r="G40" s="16"/>
    </row>
    <row r="41" ht="15.75" customHeight="1">
      <c r="A41" s="16"/>
      <c r="B41" s="16"/>
      <c r="C41" s="56"/>
      <c r="D41" s="16"/>
      <c r="E41" s="72"/>
      <c r="F41" s="16"/>
      <c r="G41" s="16"/>
    </row>
    <row r="42" ht="15.75" customHeight="1">
      <c r="A42" s="16"/>
      <c r="B42" s="16"/>
      <c r="C42" s="56"/>
      <c r="D42" s="16"/>
      <c r="E42" s="72"/>
      <c r="F42" s="16"/>
      <c r="G42" s="16"/>
    </row>
    <row r="43" ht="15.75" customHeight="1">
      <c r="A43" s="16"/>
      <c r="B43" s="16"/>
      <c r="C43" s="56"/>
      <c r="D43" s="16"/>
      <c r="E43" s="72"/>
      <c r="F43" s="16"/>
      <c r="G43" s="16"/>
    </row>
    <row r="44" ht="15.75" customHeight="1">
      <c r="A44" s="16"/>
      <c r="B44" s="16"/>
      <c r="C44" s="56"/>
      <c r="D44" s="16"/>
      <c r="E44" s="72"/>
      <c r="F44" s="16"/>
      <c r="G44" s="16"/>
    </row>
    <row r="45" ht="15.75" customHeight="1">
      <c r="A45" s="16"/>
      <c r="B45" s="16"/>
      <c r="C45" s="56"/>
      <c r="D45" s="16"/>
      <c r="E45" s="72"/>
      <c r="F45" s="16"/>
      <c r="G45" s="16"/>
    </row>
    <row r="46" ht="15.75" customHeight="1">
      <c r="A46" s="16"/>
      <c r="B46" s="16"/>
      <c r="C46" s="56"/>
      <c r="D46" s="16"/>
      <c r="E46" s="72"/>
      <c r="F46" s="16"/>
      <c r="G46" s="16"/>
    </row>
    <row r="47" ht="15.75" customHeight="1">
      <c r="A47" s="16"/>
      <c r="B47" s="16"/>
      <c r="C47" s="56"/>
      <c r="D47" s="16"/>
      <c r="E47" s="72"/>
      <c r="F47" s="16"/>
      <c r="G47" s="16"/>
    </row>
    <row r="48" ht="15.75" customHeight="1">
      <c r="A48" s="16"/>
      <c r="B48" s="16"/>
      <c r="C48" s="56"/>
      <c r="D48" s="16"/>
      <c r="E48" s="72"/>
      <c r="F48" s="16"/>
      <c r="G48" s="16"/>
    </row>
    <row r="49" ht="15.75" customHeight="1">
      <c r="A49" s="16"/>
      <c r="B49" s="16"/>
      <c r="C49" s="56"/>
      <c r="D49" s="16"/>
      <c r="E49" s="72"/>
      <c r="F49" s="16"/>
      <c r="G49" s="16"/>
    </row>
    <row r="50" ht="15.75" customHeight="1">
      <c r="A50" s="16"/>
      <c r="B50" s="16"/>
      <c r="C50" s="56"/>
      <c r="D50" s="16"/>
      <c r="E50" s="72"/>
      <c r="F50" s="16"/>
      <c r="G50" s="16"/>
    </row>
    <row r="51" ht="15.75" customHeight="1">
      <c r="A51" s="16"/>
      <c r="B51" s="16"/>
      <c r="C51" s="56"/>
      <c r="D51" s="16"/>
      <c r="E51" s="72"/>
      <c r="F51" s="16"/>
      <c r="G51" s="16"/>
    </row>
    <row r="52" ht="15.75" customHeight="1">
      <c r="A52" s="16"/>
      <c r="B52" s="16"/>
      <c r="C52" s="56"/>
      <c r="D52" s="16"/>
      <c r="E52" s="72"/>
      <c r="F52" s="16"/>
      <c r="G52" s="16"/>
    </row>
    <row r="53" ht="15.75" customHeight="1">
      <c r="A53" s="16"/>
      <c r="B53" s="16"/>
      <c r="C53" s="56"/>
      <c r="D53" s="16"/>
      <c r="E53" s="72"/>
      <c r="F53" s="16"/>
      <c r="G53" s="16"/>
    </row>
    <row r="54" ht="15.75" customHeight="1">
      <c r="A54" s="16"/>
      <c r="B54" s="16"/>
      <c r="C54" s="56"/>
      <c r="D54" s="16"/>
      <c r="E54" s="72"/>
      <c r="F54" s="16"/>
      <c r="G54" s="16"/>
    </row>
    <row r="55" ht="15.75" customHeight="1">
      <c r="A55" s="16"/>
      <c r="B55" s="16"/>
      <c r="C55" s="56"/>
      <c r="D55" s="16"/>
      <c r="E55" s="72"/>
      <c r="F55" s="16"/>
      <c r="G55" s="16"/>
    </row>
    <row r="56" ht="15.75" customHeight="1">
      <c r="A56" s="16"/>
      <c r="B56" s="16"/>
      <c r="C56" s="56"/>
      <c r="D56" s="16"/>
      <c r="E56" s="72"/>
      <c r="F56" s="16"/>
      <c r="G56" s="16"/>
    </row>
    <row r="57" ht="15.75" customHeight="1">
      <c r="A57" s="16"/>
      <c r="B57" s="16"/>
      <c r="C57" s="56"/>
      <c r="D57" s="16"/>
      <c r="E57" s="72"/>
      <c r="F57" s="16"/>
      <c r="G57" s="16"/>
    </row>
    <row r="58" ht="15.75" customHeight="1">
      <c r="A58" s="16"/>
      <c r="B58" s="16"/>
      <c r="C58" s="56"/>
      <c r="D58" s="16"/>
      <c r="E58" s="72"/>
      <c r="F58" s="16"/>
      <c r="G58" s="16"/>
    </row>
    <row r="59" ht="15.75" customHeight="1">
      <c r="A59" s="16"/>
      <c r="B59" s="16"/>
      <c r="C59" s="56"/>
      <c r="D59" s="16"/>
      <c r="E59" s="72"/>
      <c r="F59" s="16"/>
      <c r="G59" s="16"/>
    </row>
    <row r="60" ht="15.75" customHeight="1">
      <c r="A60" s="16"/>
      <c r="B60" s="16"/>
      <c r="C60" s="56"/>
      <c r="D60" s="16"/>
      <c r="E60" s="72"/>
      <c r="F60" s="16"/>
      <c r="G60" s="16"/>
    </row>
    <row r="61" ht="15.75" customHeight="1">
      <c r="A61" s="16"/>
      <c r="B61" s="16"/>
      <c r="C61" s="56"/>
      <c r="D61" s="16"/>
      <c r="E61" s="72"/>
      <c r="F61" s="16"/>
      <c r="G61" s="16"/>
    </row>
    <row r="62" ht="15.75" customHeight="1">
      <c r="A62" s="16"/>
      <c r="B62" s="16"/>
      <c r="C62" s="56"/>
      <c r="D62" s="16"/>
      <c r="E62" s="72"/>
      <c r="F62" s="16"/>
      <c r="G62" s="16"/>
    </row>
    <row r="63" ht="15.75" customHeight="1">
      <c r="A63" s="16"/>
      <c r="B63" s="16"/>
      <c r="C63" s="56"/>
      <c r="D63" s="16"/>
      <c r="E63" s="72"/>
      <c r="F63" s="16"/>
      <c r="G63" s="16"/>
    </row>
    <row r="64" ht="15.75" customHeight="1">
      <c r="A64" s="16"/>
      <c r="B64" s="16"/>
      <c r="C64" s="56"/>
      <c r="D64" s="16"/>
      <c r="E64" s="72"/>
      <c r="F64" s="16"/>
      <c r="G64" s="16"/>
    </row>
    <row r="65" ht="15.75" customHeight="1">
      <c r="A65" s="16"/>
      <c r="B65" s="16"/>
      <c r="C65" s="56"/>
      <c r="D65" s="16"/>
      <c r="E65" s="72"/>
      <c r="F65" s="16"/>
      <c r="G65" s="16"/>
    </row>
    <row r="66" ht="15.75" customHeight="1">
      <c r="A66" s="16"/>
      <c r="B66" s="16"/>
      <c r="C66" s="56"/>
      <c r="D66" s="16"/>
      <c r="E66" s="72"/>
      <c r="F66" s="16"/>
      <c r="G66" s="16"/>
    </row>
    <row r="67" ht="15.75" customHeight="1">
      <c r="A67" s="16"/>
      <c r="B67" s="16"/>
      <c r="C67" s="56"/>
      <c r="D67" s="16"/>
      <c r="E67" s="72"/>
      <c r="F67" s="16"/>
      <c r="G67" s="16"/>
    </row>
    <row r="68" ht="15.75" customHeight="1">
      <c r="A68" s="16"/>
      <c r="B68" s="16"/>
      <c r="C68" s="56"/>
      <c r="D68" s="16"/>
      <c r="E68" s="72"/>
      <c r="F68" s="16"/>
      <c r="G68" s="16"/>
    </row>
    <row r="69" ht="15.75" customHeight="1">
      <c r="A69" s="16"/>
      <c r="B69" s="16"/>
      <c r="C69" s="56"/>
      <c r="D69" s="16"/>
      <c r="E69" s="72"/>
      <c r="F69" s="16"/>
      <c r="G69" s="16"/>
    </row>
    <row r="70" ht="15.75" customHeight="1">
      <c r="A70" s="16"/>
      <c r="B70" s="16"/>
      <c r="C70" s="56"/>
      <c r="D70" s="16"/>
      <c r="E70" s="72"/>
      <c r="F70" s="16"/>
      <c r="G70" s="16"/>
    </row>
    <row r="71" ht="15.75" customHeight="1">
      <c r="A71" s="16"/>
      <c r="B71" s="16"/>
      <c r="C71" s="56"/>
      <c r="D71" s="16"/>
      <c r="E71" s="72"/>
      <c r="F71" s="16"/>
      <c r="G71" s="16"/>
    </row>
    <row r="72" ht="15.75" customHeight="1">
      <c r="A72" s="16"/>
      <c r="B72" s="16"/>
      <c r="C72" s="56"/>
      <c r="D72" s="16"/>
      <c r="E72" s="72"/>
      <c r="F72" s="16"/>
      <c r="G72" s="16"/>
    </row>
    <row r="73" ht="15.75" customHeight="1">
      <c r="A73" s="16"/>
      <c r="B73" s="16"/>
      <c r="C73" s="56"/>
      <c r="D73" s="16"/>
      <c r="E73" s="72"/>
      <c r="F73" s="16"/>
      <c r="G73" s="16"/>
    </row>
    <row r="74" ht="15.75" customHeight="1">
      <c r="A74" s="16"/>
      <c r="B74" s="16"/>
      <c r="C74" s="56"/>
      <c r="D74" s="16"/>
      <c r="E74" s="72"/>
      <c r="F74" s="16"/>
      <c r="G74" s="16"/>
    </row>
    <row r="75" ht="15.75" customHeight="1">
      <c r="A75" s="16"/>
      <c r="B75" s="16"/>
      <c r="C75" s="56"/>
      <c r="D75" s="16"/>
      <c r="E75" s="72"/>
      <c r="F75" s="16"/>
      <c r="G75" s="16"/>
    </row>
    <row r="76" ht="15.75" customHeight="1">
      <c r="A76" s="16"/>
      <c r="B76" s="16"/>
      <c r="C76" s="56"/>
      <c r="D76" s="16"/>
      <c r="E76" s="72"/>
      <c r="F76" s="16"/>
      <c r="G76" s="16"/>
    </row>
    <row r="77" ht="15.75" customHeight="1">
      <c r="A77" s="16"/>
      <c r="B77" s="16"/>
      <c r="C77" s="56"/>
      <c r="D77" s="16"/>
      <c r="E77" s="72"/>
      <c r="F77" s="16"/>
      <c r="G77" s="16"/>
    </row>
    <row r="78" ht="15.75" customHeight="1">
      <c r="A78" s="16"/>
      <c r="B78" s="16"/>
      <c r="C78" s="56"/>
      <c r="D78" s="16"/>
      <c r="E78" s="72"/>
      <c r="F78" s="16"/>
      <c r="G78" s="16"/>
    </row>
    <row r="79" ht="15.75" customHeight="1">
      <c r="A79" s="16"/>
      <c r="B79" s="16"/>
      <c r="C79" s="56"/>
      <c r="D79" s="16"/>
      <c r="E79" s="72"/>
      <c r="F79" s="16"/>
      <c r="G79" s="16"/>
    </row>
    <row r="80" ht="15.75" customHeight="1">
      <c r="A80" s="16"/>
      <c r="B80" s="16"/>
      <c r="C80" s="56"/>
      <c r="D80" s="16"/>
      <c r="E80" s="72"/>
      <c r="F80" s="16"/>
      <c r="G80" s="16"/>
    </row>
    <row r="81" ht="15.75" customHeight="1">
      <c r="A81" s="16"/>
      <c r="B81" s="16"/>
      <c r="C81" s="56"/>
      <c r="D81" s="16"/>
      <c r="E81" s="72"/>
      <c r="F81" s="16"/>
      <c r="G81" s="16"/>
    </row>
    <row r="82" ht="15.75" customHeight="1">
      <c r="A82" s="16"/>
      <c r="B82" s="16"/>
      <c r="C82" s="56"/>
      <c r="D82" s="16"/>
      <c r="E82" s="72"/>
      <c r="F82" s="16"/>
      <c r="G82" s="16"/>
    </row>
    <row r="83" ht="15.75" customHeight="1">
      <c r="A83" s="16"/>
      <c r="B83" s="16"/>
      <c r="C83" s="56"/>
      <c r="D83" s="16"/>
      <c r="E83" s="72"/>
      <c r="F83" s="16"/>
      <c r="G83" s="16"/>
    </row>
    <row r="84" ht="15.75" customHeight="1">
      <c r="A84" s="16"/>
      <c r="B84" s="16"/>
      <c r="C84" s="56"/>
      <c r="D84" s="16"/>
      <c r="E84" s="72"/>
      <c r="F84" s="16"/>
      <c r="G84" s="16"/>
    </row>
    <row r="85" ht="15.75" customHeight="1">
      <c r="A85" s="16"/>
      <c r="B85" s="16"/>
      <c r="C85" s="56"/>
      <c r="D85" s="16"/>
      <c r="E85" s="72"/>
      <c r="F85" s="16"/>
      <c r="G85" s="16"/>
    </row>
    <row r="86" ht="15.75" customHeight="1">
      <c r="A86" s="16"/>
      <c r="B86" s="16"/>
      <c r="C86" s="56"/>
      <c r="D86" s="16"/>
      <c r="E86" s="72"/>
      <c r="F86" s="16"/>
      <c r="G86" s="16"/>
    </row>
    <row r="87" ht="15.75" customHeight="1">
      <c r="A87" s="16"/>
      <c r="B87" s="16"/>
      <c r="C87" s="56"/>
      <c r="D87" s="16"/>
      <c r="E87" s="72"/>
      <c r="F87" s="16"/>
      <c r="G87" s="16"/>
    </row>
    <row r="88" ht="15.75" customHeight="1">
      <c r="A88" s="16"/>
      <c r="B88" s="16"/>
      <c r="C88" s="56"/>
      <c r="D88" s="16"/>
      <c r="E88" s="72"/>
      <c r="F88" s="16"/>
      <c r="G88" s="16"/>
    </row>
    <row r="89" ht="15.75" customHeight="1">
      <c r="A89" s="16"/>
      <c r="B89" s="16"/>
      <c r="C89" s="56"/>
      <c r="D89" s="16"/>
      <c r="E89" s="72"/>
      <c r="F89" s="16"/>
      <c r="G89" s="16"/>
    </row>
    <row r="90" ht="15.75" customHeight="1">
      <c r="A90" s="16"/>
      <c r="B90" s="16"/>
      <c r="C90" s="56"/>
      <c r="D90" s="16"/>
      <c r="E90" s="72"/>
      <c r="F90" s="16"/>
      <c r="G90" s="16"/>
    </row>
    <row r="91" ht="15.75" customHeight="1">
      <c r="A91" s="16"/>
      <c r="B91" s="16"/>
      <c r="C91" s="56"/>
      <c r="D91" s="16"/>
      <c r="E91" s="72"/>
      <c r="F91" s="16"/>
      <c r="G91" s="16"/>
    </row>
    <row r="92" ht="15.75" customHeight="1">
      <c r="A92" s="16"/>
      <c r="B92" s="16"/>
      <c r="C92" s="56"/>
      <c r="D92" s="16"/>
      <c r="E92" s="72"/>
      <c r="F92" s="16"/>
      <c r="G92" s="16"/>
    </row>
    <row r="93" ht="15.75" customHeight="1">
      <c r="A93" s="16"/>
      <c r="B93" s="16"/>
      <c r="C93" s="56"/>
      <c r="D93" s="16"/>
      <c r="E93" s="72"/>
      <c r="F93" s="16"/>
      <c r="G93" s="16"/>
    </row>
    <row r="94" ht="15.75" customHeight="1">
      <c r="A94" s="16"/>
      <c r="B94" s="16"/>
      <c r="C94" s="56"/>
      <c r="D94" s="16"/>
      <c r="E94" s="72"/>
      <c r="F94" s="16"/>
      <c r="G94" s="16"/>
    </row>
    <row r="95" ht="15.75" customHeight="1">
      <c r="A95" s="16"/>
      <c r="B95" s="16"/>
      <c r="C95" s="56"/>
      <c r="D95" s="16"/>
      <c r="E95" s="72"/>
      <c r="F95" s="16"/>
      <c r="G95" s="16"/>
    </row>
    <row r="96" ht="15.75" customHeight="1">
      <c r="A96" s="16"/>
      <c r="B96" s="16"/>
      <c r="C96" s="56"/>
      <c r="D96" s="16"/>
      <c r="E96" s="72"/>
      <c r="F96" s="16"/>
      <c r="G96" s="16"/>
    </row>
    <row r="97" ht="15.75" customHeight="1">
      <c r="A97" s="16"/>
      <c r="B97" s="16"/>
      <c r="C97" s="56"/>
      <c r="D97" s="16"/>
      <c r="E97" s="72"/>
      <c r="F97" s="16"/>
      <c r="G97" s="16"/>
    </row>
    <row r="98" ht="15.75" customHeight="1">
      <c r="A98" s="16"/>
      <c r="B98" s="16"/>
      <c r="C98" s="56"/>
      <c r="D98" s="16"/>
      <c r="E98" s="72"/>
      <c r="F98" s="16"/>
      <c r="G98" s="16"/>
    </row>
    <row r="99" ht="15.75" customHeight="1">
      <c r="A99" s="16"/>
      <c r="B99" s="16"/>
      <c r="C99" s="56"/>
      <c r="D99" s="16"/>
      <c r="E99" s="72"/>
      <c r="F99" s="16"/>
      <c r="G99" s="16"/>
    </row>
    <row r="100" ht="15.75" customHeight="1">
      <c r="A100" s="16"/>
      <c r="B100" s="16"/>
      <c r="C100" s="56"/>
      <c r="D100" s="16"/>
      <c r="E100" s="72"/>
      <c r="F100" s="16"/>
      <c r="G100" s="16"/>
    </row>
    <row r="101" ht="15.75" customHeight="1">
      <c r="C101" s="61"/>
      <c r="E101" s="73"/>
    </row>
    <row r="102" ht="15.75" customHeight="1">
      <c r="C102" s="61"/>
      <c r="E102" s="73"/>
    </row>
    <row r="103" ht="15.75" customHeight="1">
      <c r="C103" s="61"/>
      <c r="E103" s="73"/>
    </row>
    <row r="104" ht="15.75" customHeight="1">
      <c r="C104" s="61"/>
      <c r="E104" s="73"/>
    </row>
    <row r="105" ht="15.75" customHeight="1">
      <c r="C105" s="61"/>
      <c r="E105" s="73"/>
    </row>
    <row r="106" ht="15.75" customHeight="1">
      <c r="C106" s="61"/>
      <c r="E106" s="73"/>
    </row>
    <row r="107" ht="15.75" customHeight="1">
      <c r="C107" s="61"/>
      <c r="E107" s="73"/>
    </row>
    <row r="108" ht="15.75" customHeight="1">
      <c r="C108" s="61"/>
      <c r="E108" s="73"/>
    </row>
    <row r="109" ht="15.75" customHeight="1">
      <c r="C109" s="61"/>
      <c r="E109" s="73"/>
    </row>
    <row r="110" ht="15.75" customHeight="1">
      <c r="C110" s="61"/>
      <c r="E110" s="73"/>
    </row>
    <row r="111" ht="15.75" customHeight="1">
      <c r="C111" s="61"/>
      <c r="E111" s="73"/>
    </row>
    <row r="112" ht="15.75" customHeight="1">
      <c r="C112" s="61"/>
      <c r="E112" s="73"/>
    </row>
    <row r="113" ht="15.75" customHeight="1">
      <c r="C113" s="61"/>
      <c r="E113" s="73"/>
    </row>
    <row r="114" ht="15.75" customHeight="1">
      <c r="C114" s="61"/>
      <c r="E114" s="73"/>
    </row>
    <row r="115" ht="15.75" customHeight="1">
      <c r="C115" s="61"/>
      <c r="E115" s="73"/>
    </row>
    <row r="116" ht="15.75" customHeight="1">
      <c r="C116" s="61"/>
      <c r="E116" s="73"/>
    </row>
    <row r="117" ht="15.75" customHeight="1">
      <c r="C117" s="61"/>
      <c r="E117" s="73"/>
    </row>
    <row r="118" ht="15.75" customHeight="1">
      <c r="C118" s="61"/>
      <c r="E118" s="73"/>
    </row>
    <row r="119" ht="15.75" customHeight="1">
      <c r="C119" s="61"/>
      <c r="E119" s="73"/>
    </row>
    <row r="120" ht="15.75" customHeight="1">
      <c r="C120" s="61"/>
      <c r="E120" s="73"/>
    </row>
    <row r="121" ht="15.75" customHeight="1">
      <c r="C121" s="61"/>
      <c r="E121" s="73"/>
    </row>
    <row r="122" ht="15.75" customHeight="1">
      <c r="C122" s="61"/>
      <c r="E122" s="73"/>
    </row>
    <row r="123" ht="15.75" customHeight="1">
      <c r="C123" s="61"/>
      <c r="E123" s="73"/>
    </row>
    <row r="124" ht="15.75" customHeight="1">
      <c r="C124" s="61"/>
      <c r="E124" s="73"/>
    </row>
    <row r="125" ht="15.75" customHeight="1">
      <c r="C125" s="61"/>
      <c r="E125" s="73"/>
    </row>
    <row r="126" ht="15.75" customHeight="1">
      <c r="C126" s="61"/>
      <c r="E126" s="73"/>
    </row>
    <row r="127" ht="15.75" customHeight="1">
      <c r="C127" s="61"/>
      <c r="E127" s="73"/>
    </row>
    <row r="128" ht="15.75" customHeight="1">
      <c r="C128" s="61"/>
      <c r="E128" s="73"/>
    </row>
    <row r="129" ht="15.75" customHeight="1">
      <c r="C129" s="61"/>
      <c r="E129" s="73"/>
    </row>
    <row r="130" ht="15.75" customHeight="1">
      <c r="C130" s="61"/>
      <c r="E130" s="73"/>
    </row>
    <row r="131" ht="15.75" customHeight="1">
      <c r="C131" s="61"/>
      <c r="E131" s="73"/>
    </row>
    <row r="132" ht="15.75" customHeight="1">
      <c r="C132" s="61"/>
      <c r="E132" s="73"/>
    </row>
    <row r="133" ht="15.75" customHeight="1">
      <c r="C133" s="61"/>
      <c r="E133" s="73"/>
    </row>
    <row r="134" ht="15.75" customHeight="1">
      <c r="C134" s="61"/>
      <c r="E134" s="73"/>
    </row>
    <row r="135" ht="15.75" customHeight="1">
      <c r="C135" s="61"/>
      <c r="E135" s="73"/>
    </row>
    <row r="136" ht="15.75" customHeight="1">
      <c r="C136" s="61"/>
      <c r="E136" s="73"/>
    </row>
    <row r="137" ht="15.75" customHeight="1">
      <c r="C137" s="61"/>
      <c r="E137" s="73"/>
    </row>
    <row r="138" ht="15.75" customHeight="1">
      <c r="C138" s="61"/>
      <c r="E138" s="73"/>
    </row>
    <row r="139" ht="15.75" customHeight="1">
      <c r="C139" s="61"/>
      <c r="E139" s="73"/>
    </row>
    <row r="140" ht="15.75" customHeight="1">
      <c r="C140" s="61"/>
      <c r="E140" s="73"/>
    </row>
    <row r="141" ht="15.75" customHeight="1">
      <c r="C141" s="61"/>
      <c r="E141" s="73"/>
    </row>
    <row r="142" ht="15.75" customHeight="1">
      <c r="C142" s="61"/>
      <c r="E142" s="73"/>
    </row>
    <row r="143" ht="15.75" customHeight="1">
      <c r="C143" s="61"/>
      <c r="E143" s="73"/>
    </row>
    <row r="144" ht="15.75" customHeight="1">
      <c r="C144" s="61"/>
      <c r="E144" s="73"/>
    </row>
    <row r="145" ht="15.75" customHeight="1">
      <c r="C145" s="61"/>
      <c r="E145" s="73"/>
    </row>
    <row r="146" ht="15.75" customHeight="1">
      <c r="C146" s="61"/>
      <c r="E146" s="73"/>
    </row>
    <row r="147" ht="15.75" customHeight="1">
      <c r="C147" s="61"/>
      <c r="E147" s="73"/>
    </row>
    <row r="148" ht="15.75" customHeight="1">
      <c r="C148" s="61"/>
      <c r="E148" s="73"/>
    </row>
    <row r="149" ht="15.75" customHeight="1">
      <c r="C149" s="61"/>
      <c r="E149" s="73"/>
    </row>
    <row r="150" ht="15.75" customHeight="1">
      <c r="C150" s="61"/>
      <c r="E150" s="73"/>
    </row>
    <row r="151" ht="15.75" customHeight="1">
      <c r="C151" s="61"/>
      <c r="E151" s="73"/>
    </row>
    <row r="152" ht="15.75" customHeight="1">
      <c r="C152" s="61"/>
      <c r="E152" s="73"/>
    </row>
    <row r="153" ht="15.75" customHeight="1">
      <c r="C153" s="61"/>
      <c r="E153" s="73"/>
    </row>
    <row r="154" ht="15.75" customHeight="1">
      <c r="C154" s="61"/>
      <c r="E154" s="73"/>
    </row>
    <row r="155" ht="15.75" customHeight="1">
      <c r="C155" s="61"/>
      <c r="E155" s="73"/>
    </row>
    <row r="156" ht="15.75" customHeight="1">
      <c r="C156" s="61"/>
      <c r="E156" s="73"/>
    </row>
    <row r="157" ht="15.75" customHeight="1">
      <c r="C157" s="61"/>
      <c r="E157" s="73"/>
    </row>
    <row r="158" ht="15.75" customHeight="1">
      <c r="C158" s="61"/>
      <c r="E158" s="73"/>
    </row>
    <row r="159" ht="15.75" customHeight="1">
      <c r="C159" s="61"/>
      <c r="E159" s="73"/>
    </row>
    <row r="160" ht="15.75" customHeight="1">
      <c r="C160" s="61"/>
      <c r="E160" s="73"/>
    </row>
    <row r="161" ht="15.75" customHeight="1">
      <c r="C161" s="61"/>
      <c r="E161" s="73"/>
    </row>
    <row r="162" ht="15.75" customHeight="1">
      <c r="C162" s="61"/>
      <c r="E162" s="73"/>
    </row>
    <row r="163" ht="15.75" customHeight="1">
      <c r="C163" s="61"/>
      <c r="E163" s="73"/>
    </row>
    <row r="164" ht="15.75" customHeight="1">
      <c r="C164" s="61"/>
      <c r="E164" s="73"/>
    </row>
    <row r="165" ht="15.75" customHeight="1">
      <c r="C165" s="61"/>
      <c r="E165" s="73"/>
    </row>
    <row r="166" ht="15.75" customHeight="1">
      <c r="C166" s="61"/>
      <c r="E166" s="73"/>
    </row>
    <row r="167" ht="15.75" customHeight="1">
      <c r="C167" s="61"/>
      <c r="E167" s="73"/>
    </row>
    <row r="168" ht="15.75" customHeight="1">
      <c r="C168" s="61"/>
      <c r="E168" s="73"/>
    </row>
    <row r="169" ht="15.75" customHeight="1">
      <c r="C169" s="61"/>
      <c r="E169" s="73"/>
    </row>
    <row r="170" ht="15.75" customHeight="1">
      <c r="C170" s="61"/>
      <c r="E170" s="73"/>
    </row>
    <row r="171" ht="15.75" customHeight="1">
      <c r="C171" s="61"/>
      <c r="E171" s="73"/>
    </row>
    <row r="172" ht="15.75" customHeight="1">
      <c r="C172" s="61"/>
      <c r="E172" s="73"/>
    </row>
    <row r="173" ht="15.75" customHeight="1">
      <c r="C173" s="61"/>
      <c r="E173" s="73"/>
    </row>
    <row r="174" ht="15.75" customHeight="1">
      <c r="C174" s="61"/>
      <c r="E174" s="73"/>
    </row>
    <row r="175" ht="15.75" customHeight="1">
      <c r="C175" s="61"/>
      <c r="E175" s="73"/>
    </row>
    <row r="176" ht="15.75" customHeight="1">
      <c r="C176" s="61"/>
      <c r="E176" s="73"/>
    </row>
    <row r="177" ht="15.75" customHeight="1">
      <c r="C177" s="61"/>
      <c r="E177" s="73"/>
    </row>
    <row r="178" ht="15.75" customHeight="1">
      <c r="C178" s="61"/>
      <c r="E178" s="73"/>
    </row>
    <row r="179" ht="15.75" customHeight="1">
      <c r="C179" s="61"/>
      <c r="E179" s="73"/>
    </row>
    <row r="180" ht="15.75" customHeight="1">
      <c r="C180" s="61"/>
      <c r="E180" s="73"/>
    </row>
    <row r="181" ht="15.75" customHeight="1">
      <c r="C181" s="61"/>
      <c r="E181" s="73"/>
    </row>
    <row r="182" ht="15.75" customHeight="1">
      <c r="C182" s="61"/>
      <c r="E182" s="73"/>
    </row>
    <row r="183" ht="15.75" customHeight="1">
      <c r="C183" s="61"/>
      <c r="E183" s="73"/>
    </row>
    <row r="184" ht="15.75" customHeight="1">
      <c r="C184" s="61"/>
      <c r="E184" s="73"/>
    </row>
    <row r="185" ht="15.75" customHeight="1">
      <c r="C185" s="61"/>
      <c r="E185" s="73"/>
    </row>
    <row r="186" ht="15.75" customHeight="1">
      <c r="C186" s="61"/>
      <c r="E186" s="73"/>
    </row>
    <row r="187" ht="15.75" customHeight="1">
      <c r="C187" s="61"/>
      <c r="E187" s="73"/>
    </row>
    <row r="188" ht="15.75" customHeight="1">
      <c r="C188" s="61"/>
      <c r="E188" s="73"/>
    </row>
    <row r="189" ht="15.75" customHeight="1">
      <c r="C189" s="61"/>
      <c r="E189" s="73"/>
    </row>
    <row r="190" ht="15.75" customHeight="1">
      <c r="C190" s="61"/>
      <c r="E190" s="73"/>
    </row>
    <row r="191" ht="15.75" customHeight="1">
      <c r="C191" s="61"/>
      <c r="E191" s="73"/>
    </row>
    <row r="192" ht="15.75" customHeight="1">
      <c r="C192" s="61"/>
      <c r="E192" s="73"/>
    </row>
    <row r="193" ht="15.75" customHeight="1">
      <c r="C193" s="61"/>
      <c r="E193" s="73"/>
    </row>
    <row r="194" ht="15.75" customHeight="1">
      <c r="C194" s="61"/>
      <c r="E194" s="73"/>
    </row>
    <row r="195" ht="15.75" customHeight="1">
      <c r="C195" s="61"/>
      <c r="E195" s="73"/>
    </row>
    <row r="196" ht="15.75" customHeight="1">
      <c r="C196" s="61"/>
      <c r="E196" s="73"/>
    </row>
    <row r="197" ht="15.75" customHeight="1">
      <c r="C197" s="61"/>
      <c r="E197" s="73"/>
    </row>
    <row r="198" ht="15.75" customHeight="1">
      <c r="C198" s="61"/>
      <c r="E198" s="73"/>
    </row>
    <row r="199" ht="15.75" customHeight="1">
      <c r="C199" s="61"/>
      <c r="E199" s="73"/>
    </row>
    <row r="200" ht="15.75" customHeight="1">
      <c r="C200" s="61"/>
      <c r="E200" s="73"/>
    </row>
    <row r="201" ht="15.75" customHeight="1">
      <c r="C201" s="61"/>
      <c r="E201" s="73"/>
    </row>
    <row r="202" ht="15.75" customHeight="1">
      <c r="C202" s="61"/>
      <c r="E202" s="73"/>
    </row>
    <row r="203" ht="15.75" customHeight="1">
      <c r="C203" s="61"/>
      <c r="E203" s="73"/>
    </row>
    <row r="204" ht="15.75" customHeight="1">
      <c r="C204" s="61"/>
      <c r="E204" s="73"/>
    </row>
    <row r="205" ht="15.75" customHeight="1">
      <c r="C205" s="61"/>
      <c r="E205" s="73"/>
    </row>
    <row r="206" ht="15.75" customHeight="1">
      <c r="C206" s="61"/>
      <c r="E206" s="73"/>
    </row>
    <row r="207" ht="15.75" customHeight="1">
      <c r="C207" s="61"/>
      <c r="E207" s="73"/>
    </row>
    <row r="208" ht="15.75" customHeight="1">
      <c r="C208" s="61"/>
      <c r="E208" s="73"/>
    </row>
    <row r="209" ht="15.75" customHeight="1">
      <c r="C209" s="61"/>
      <c r="E209" s="73"/>
    </row>
    <row r="210" ht="15.75" customHeight="1">
      <c r="C210" s="61"/>
      <c r="E210" s="73"/>
    </row>
    <row r="211" ht="15.75" customHeight="1">
      <c r="C211" s="61"/>
      <c r="E211" s="73"/>
    </row>
    <row r="212" ht="15.75" customHeight="1">
      <c r="C212" s="61"/>
      <c r="E212" s="73"/>
    </row>
    <row r="213" ht="15.75" customHeight="1">
      <c r="C213" s="61"/>
      <c r="E213" s="73"/>
    </row>
    <row r="214" ht="15.75" customHeight="1">
      <c r="C214" s="61"/>
      <c r="E214" s="73"/>
    </row>
    <row r="215" ht="15.75" customHeight="1">
      <c r="C215" s="61"/>
      <c r="E215" s="73"/>
    </row>
    <row r="216" ht="15.75" customHeight="1">
      <c r="C216" s="61"/>
      <c r="E216" s="73"/>
    </row>
    <row r="217" ht="15.75" customHeight="1">
      <c r="C217" s="61"/>
      <c r="E217" s="73"/>
    </row>
    <row r="218" ht="15.75" customHeight="1">
      <c r="C218" s="61"/>
      <c r="E218" s="73"/>
    </row>
    <row r="219" ht="15.75" customHeight="1">
      <c r="C219" s="61"/>
      <c r="E219" s="73"/>
    </row>
    <row r="220" ht="15.75" customHeight="1">
      <c r="C220" s="61"/>
      <c r="E220" s="73"/>
    </row>
    <row r="221" ht="15.75" customHeight="1">
      <c r="C221" s="20"/>
      <c r="E221" s="23"/>
    </row>
    <row r="222" ht="15.75" customHeight="1">
      <c r="C222" s="20"/>
      <c r="E222" s="23"/>
    </row>
    <row r="223" ht="15.75" customHeight="1">
      <c r="C223" s="20"/>
      <c r="E223" s="23"/>
    </row>
    <row r="224" ht="15.75" customHeight="1">
      <c r="C224" s="20"/>
      <c r="E224" s="23"/>
    </row>
    <row r="225" ht="15.75" customHeight="1">
      <c r="C225" s="20"/>
      <c r="E225" s="23"/>
    </row>
    <row r="226" ht="15.75" customHeight="1">
      <c r="C226" s="20"/>
      <c r="E226" s="23"/>
    </row>
    <row r="227" ht="15.75" customHeight="1">
      <c r="C227" s="20"/>
      <c r="E227" s="23"/>
    </row>
    <row r="228" ht="15.75" customHeight="1">
      <c r="C228" s="20"/>
      <c r="E228" s="23"/>
    </row>
    <row r="229" ht="15.75" customHeight="1">
      <c r="C229" s="20"/>
      <c r="E229" s="23"/>
    </row>
    <row r="230" ht="15.75" customHeight="1">
      <c r="C230" s="20"/>
      <c r="E230" s="23"/>
    </row>
    <row r="231" ht="15.75" customHeight="1">
      <c r="C231" s="20"/>
      <c r="E231" s="23"/>
    </row>
    <row r="232" ht="15.75" customHeight="1">
      <c r="C232" s="20"/>
      <c r="E232" s="23"/>
    </row>
    <row r="233" ht="15.75" customHeight="1">
      <c r="C233" s="20"/>
      <c r="E233" s="23"/>
    </row>
    <row r="234" ht="15.75" customHeight="1">
      <c r="C234" s="20"/>
      <c r="E234" s="23"/>
    </row>
    <row r="235" ht="15.75" customHeight="1">
      <c r="C235" s="20"/>
      <c r="E235" s="23"/>
    </row>
    <row r="236" ht="15.75" customHeight="1">
      <c r="C236" s="20"/>
      <c r="E236" s="23"/>
    </row>
    <row r="237" ht="15.75" customHeight="1">
      <c r="C237" s="20"/>
      <c r="E237" s="23"/>
    </row>
    <row r="238" ht="15.75" customHeight="1">
      <c r="C238" s="20"/>
      <c r="E238" s="23"/>
    </row>
    <row r="239" ht="15.75" customHeight="1">
      <c r="C239" s="20"/>
      <c r="E239" s="23"/>
    </row>
    <row r="240" ht="15.75" customHeight="1">
      <c r="C240" s="20"/>
      <c r="E240" s="23"/>
    </row>
    <row r="241" ht="15.75" customHeight="1">
      <c r="C241" s="20"/>
      <c r="E241" s="23"/>
    </row>
    <row r="242" ht="15.75" customHeight="1">
      <c r="C242" s="20"/>
      <c r="E242" s="23"/>
    </row>
    <row r="243" ht="15.75" customHeight="1">
      <c r="C243" s="20"/>
      <c r="E243" s="23"/>
    </row>
    <row r="244" ht="15.75" customHeight="1">
      <c r="C244" s="20"/>
      <c r="E244" s="23"/>
    </row>
    <row r="245" ht="15.75" customHeight="1">
      <c r="C245" s="20"/>
      <c r="E245" s="23"/>
    </row>
    <row r="246" ht="15.75" customHeight="1">
      <c r="C246" s="20"/>
      <c r="E246" s="23"/>
    </row>
    <row r="247" ht="15.75" customHeight="1">
      <c r="C247" s="20"/>
      <c r="E247" s="23"/>
    </row>
    <row r="248" ht="15.75" customHeight="1">
      <c r="C248" s="20"/>
      <c r="E248" s="23"/>
    </row>
    <row r="249" ht="15.75" customHeight="1">
      <c r="C249" s="20"/>
      <c r="E249" s="23"/>
    </row>
    <row r="250" ht="15.75" customHeight="1">
      <c r="C250" s="20"/>
      <c r="E250" s="23"/>
    </row>
    <row r="251" ht="15.75" customHeight="1">
      <c r="C251" s="20"/>
      <c r="E251" s="23"/>
    </row>
    <row r="252" ht="15.75" customHeight="1">
      <c r="C252" s="20"/>
      <c r="E252" s="23"/>
    </row>
    <row r="253" ht="15.75" customHeight="1">
      <c r="C253" s="20"/>
      <c r="E253" s="23"/>
    </row>
    <row r="254" ht="15.75" customHeight="1">
      <c r="C254" s="20"/>
      <c r="E254" s="23"/>
    </row>
    <row r="255" ht="15.75" customHeight="1">
      <c r="C255" s="20"/>
      <c r="E255" s="23"/>
    </row>
    <row r="256" ht="15.75" customHeight="1">
      <c r="C256" s="20"/>
      <c r="E256" s="23"/>
    </row>
    <row r="257" ht="15.75" customHeight="1">
      <c r="C257" s="20"/>
      <c r="E257" s="23"/>
    </row>
    <row r="258" ht="15.75" customHeight="1">
      <c r="C258" s="20"/>
      <c r="E258" s="23"/>
    </row>
    <row r="259" ht="15.75" customHeight="1">
      <c r="C259" s="20"/>
      <c r="E259" s="23"/>
    </row>
    <row r="260" ht="15.75" customHeight="1">
      <c r="C260" s="20"/>
      <c r="E260" s="23"/>
    </row>
    <row r="261" ht="15.75" customHeight="1">
      <c r="C261" s="20"/>
      <c r="E261" s="23"/>
    </row>
    <row r="262" ht="15.75" customHeight="1">
      <c r="C262" s="20"/>
      <c r="E262" s="23"/>
    </row>
    <row r="263" ht="15.75" customHeight="1">
      <c r="C263" s="20"/>
      <c r="E263" s="23"/>
    </row>
    <row r="264" ht="15.75" customHeight="1">
      <c r="C264" s="20"/>
      <c r="E264" s="23"/>
    </row>
    <row r="265" ht="15.75" customHeight="1">
      <c r="C265" s="20"/>
      <c r="E265" s="23"/>
    </row>
    <row r="266" ht="15.75" customHeight="1">
      <c r="C266" s="20"/>
      <c r="E266" s="23"/>
    </row>
    <row r="267" ht="15.75" customHeight="1">
      <c r="C267" s="20"/>
      <c r="E267" s="23"/>
    </row>
    <row r="268" ht="15.75" customHeight="1">
      <c r="C268" s="20"/>
      <c r="E268" s="23"/>
    </row>
    <row r="269" ht="15.75" customHeight="1">
      <c r="C269" s="20"/>
      <c r="E269" s="23"/>
    </row>
    <row r="270" ht="15.75" customHeight="1">
      <c r="C270" s="20"/>
      <c r="E270" s="23"/>
    </row>
    <row r="271" ht="15.75" customHeight="1">
      <c r="C271" s="20"/>
      <c r="E271" s="23"/>
    </row>
    <row r="272" ht="15.75" customHeight="1">
      <c r="C272" s="20"/>
      <c r="E272" s="23"/>
    </row>
    <row r="273" ht="15.75" customHeight="1">
      <c r="C273" s="20"/>
      <c r="E273" s="23"/>
    </row>
    <row r="274" ht="15.75" customHeight="1">
      <c r="C274" s="20"/>
      <c r="E274" s="23"/>
    </row>
    <row r="275" ht="15.75" customHeight="1">
      <c r="C275" s="20"/>
      <c r="E275" s="23"/>
    </row>
    <row r="276" ht="15.75" customHeight="1">
      <c r="C276" s="20"/>
      <c r="E276" s="23"/>
    </row>
    <row r="277" ht="15.75" customHeight="1">
      <c r="C277" s="20"/>
      <c r="E277" s="23"/>
    </row>
    <row r="278" ht="15.75" customHeight="1">
      <c r="C278" s="20"/>
      <c r="E278" s="23"/>
    </row>
    <row r="279" ht="15.75" customHeight="1">
      <c r="C279" s="20"/>
      <c r="E279" s="23"/>
    </row>
    <row r="280" ht="15.75" customHeight="1">
      <c r="C280" s="20"/>
      <c r="E280" s="23"/>
    </row>
    <row r="281" ht="15.75" customHeight="1">
      <c r="C281" s="20"/>
      <c r="E281" s="23"/>
    </row>
    <row r="282" ht="15.75" customHeight="1">
      <c r="C282" s="20"/>
      <c r="E282" s="23"/>
    </row>
    <row r="283" ht="15.75" customHeight="1">
      <c r="C283" s="20"/>
      <c r="E283" s="23"/>
    </row>
    <row r="284" ht="15.75" customHeight="1">
      <c r="C284" s="20"/>
      <c r="E284" s="23"/>
    </row>
    <row r="285" ht="15.75" customHeight="1">
      <c r="C285" s="20"/>
      <c r="E285" s="23"/>
    </row>
    <row r="286" ht="15.75" customHeight="1">
      <c r="C286" s="20"/>
      <c r="E286" s="23"/>
    </row>
    <row r="287" ht="15.75" customHeight="1">
      <c r="C287" s="20"/>
      <c r="E287" s="23"/>
    </row>
    <row r="288" ht="15.75" customHeight="1">
      <c r="C288" s="20"/>
      <c r="E288" s="23"/>
    </row>
    <row r="289" ht="15.75" customHeight="1">
      <c r="C289" s="20"/>
      <c r="E289" s="23"/>
    </row>
    <row r="290" ht="15.75" customHeight="1">
      <c r="C290" s="20"/>
      <c r="E290" s="23"/>
    </row>
    <row r="291" ht="15.75" customHeight="1">
      <c r="C291" s="20"/>
      <c r="E291" s="23"/>
    </row>
    <row r="292" ht="15.75" customHeight="1">
      <c r="C292" s="20"/>
      <c r="E292" s="23"/>
    </row>
    <row r="293" ht="15.75" customHeight="1">
      <c r="C293" s="20"/>
      <c r="E293" s="23"/>
    </row>
    <row r="294" ht="15.75" customHeight="1">
      <c r="C294" s="20"/>
      <c r="E294" s="23"/>
    </row>
    <row r="295" ht="15.75" customHeight="1">
      <c r="C295" s="20"/>
      <c r="E295" s="23"/>
    </row>
    <row r="296" ht="15.75" customHeight="1">
      <c r="C296" s="20"/>
      <c r="E296" s="23"/>
    </row>
    <row r="297" ht="15.75" customHeight="1">
      <c r="C297" s="20"/>
      <c r="E297" s="23"/>
    </row>
    <row r="298" ht="15.75" customHeight="1">
      <c r="C298" s="20"/>
      <c r="E298" s="23"/>
    </row>
    <row r="299" ht="15.75" customHeight="1">
      <c r="C299" s="20"/>
      <c r="E299" s="23"/>
    </row>
    <row r="300" ht="15.75" customHeight="1">
      <c r="C300" s="20"/>
      <c r="E300" s="23"/>
    </row>
    <row r="301" ht="15.75" customHeight="1">
      <c r="C301" s="20"/>
      <c r="E301" s="23"/>
    </row>
    <row r="302" ht="15.75" customHeight="1">
      <c r="C302" s="20"/>
      <c r="E302" s="23"/>
    </row>
    <row r="303" ht="15.75" customHeight="1">
      <c r="C303" s="20"/>
      <c r="E303" s="23"/>
    </row>
    <row r="304" ht="15.75" customHeight="1">
      <c r="C304" s="20"/>
      <c r="E304" s="23"/>
    </row>
    <row r="305" ht="15.75" customHeight="1">
      <c r="C305" s="20"/>
      <c r="E305" s="23"/>
    </row>
    <row r="306" ht="15.75" customHeight="1">
      <c r="C306" s="20"/>
      <c r="E306" s="23"/>
    </row>
    <row r="307" ht="15.75" customHeight="1">
      <c r="C307" s="20"/>
      <c r="E307" s="23"/>
    </row>
    <row r="308" ht="15.75" customHeight="1">
      <c r="C308" s="20"/>
      <c r="E308" s="23"/>
    </row>
    <row r="309" ht="15.75" customHeight="1">
      <c r="C309" s="20"/>
      <c r="E309" s="23"/>
    </row>
    <row r="310" ht="15.75" customHeight="1">
      <c r="C310" s="20"/>
      <c r="E310" s="23"/>
    </row>
    <row r="311" ht="15.75" customHeight="1">
      <c r="C311" s="20"/>
      <c r="E311" s="23"/>
    </row>
    <row r="312" ht="15.75" customHeight="1">
      <c r="C312" s="20"/>
      <c r="E312" s="23"/>
    </row>
    <row r="313" ht="15.75" customHeight="1">
      <c r="C313" s="20"/>
      <c r="E313" s="23"/>
    </row>
    <row r="314" ht="15.75" customHeight="1">
      <c r="C314" s="20"/>
      <c r="E314" s="23"/>
    </row>
    <row r="315" ht="15.75" customHeight="1">
      <c r="C315" s="20"/>
      <c r="E315" s="23"/>
    </row>
    <row r="316" ht="15.75" customHeight="1">
      <c r="C316" s="20"/>
      <c r="E316" s="23"/>
    </row>
    <row r="317" ht="15.75" customHeight="1">
      <c r="C317" s="20"/>
      <c r="E317" s="23"/>
    </row>
    <row r="318" ht="15.75" customHeight="1">
      <c r="C318" s="20"/>
      <c r="E318" s="23"/>
    </row>
    <row r="319" ht="15.75" customHeight="1">
      <c r="C319" s="20"/>
      <c r="E319" s="23"/>
    </row>
    <row r="320" ht="15.75" customHeight="1">
      <c r="C320" s="20"/>
      <c r="E320" s="23"/>
    </row>
    <row r="321" ht="15.75" customHeight="1">
      <c r="C321" s="20"/>
      <c r="E321" s="23"/>
    </row>
    <row r="322" ht="15.75" customHeight="1">
      <c r="C322" s="20"/>
      <c r="E322" s="23"/>
    </row>
    <row r="323" ht="15.75" customHeight="1">
      <c r="C323" s="20"/>
      <c r="E323" s="23"/>
    </row>
    <row r="324" ht="15.75" customHeight="1">
      <c r="C324" s="20"/>
      <c r="E324" s="23"/>
    </row>
    <row r="325" ht="15.75" customHeight="1">
      <c r="C325" s="20"/>
      <c r="E325" s="23"/>
    </row>
    <row r="326" ht="15.75" customHeight="1">
      <c r="C326" s="20"/>
      <c r="E326" s="23"/>
    </row>
    <row r="327" ht="15.75" customHeight="1">
      <c r="C327" s="20"/>
      <c r="E327" s="23"/>
    </row>
    <row r="328" ht="15.75" customHeight="1">
      <c r="C328" s="20"/>
      <c r="E328" s="23"/>
    </row>
    <row r="329" ht="15.75" customHeight="1">
      <c r="C329" s="20"/>
      <c r="E329" s="23"/>
    </row>
    <row r="330" ht="15.75" customHeight="1">
      <c r="C330" s="20"/>
      <c r="E330" s="23"/>
    </row>
    <row r="331" ht="15.75" customHeight="1">
      <c r="C331" s="20"/>
      <c r="E331" s="23"/>
    </row>
    <row r="332" ht="15.75" customHeight="1">
      <c r="C332" s="20"/>
      <c r="E332" s="23"/>
    </row>
    <row r="333" ht="15.75" customHeight="1">
      <c r="C333" s="20"/>
      <c r="E333" s="23"/>
    </row>
    <row r="334" ht="15.75" customHeight="1">
      <c r="C334" s="20"/>
      <c r="E334" s="23"/>
    </row>
    <row r="335" ht="15.75" customHeight="1">
      <c r="C335" s="20"/>
      <c r="E335" s="23"/>
    </row>
    <row r="336" ht="15.75" customHeight="1">
      <c r="C336" s="20"/>
      <c r="E336" s="23"/>
    </row>
    <row r="337" ht="15.75" customHeight="1">
      <c r="C337" s="20"/>
      <c r="E337" s="23"/>
    </row>
    <row r="338" ht="15.75" customHeight="1">
      <c r="C338" s="20"/>
      <c r="E338" s="23"/>
    </row>
    <row r="339" ht="15.75" customHeight="1">
      <c r="C339" s="20"/>
      <c r="E339" s="23"/>
    </row>
    <row r="340" ht="15.75" customHeight="1">
      <c r="C340" s="20"/>
      <c r="E340" s="23"/>
    </row>
    <row r="341" ht="15.75" customHeight="1">
      <c r="C341" s="20"/>
      <c r="E341" s="23"/>
    </row>
    <row r="342" ht="15.75" customHeight="1">
      <c r="C342" s="20"/>
      <c r="E342" s="23"/>
    </row>
    <row r="343" ht="15.75" customHeight="1">
      <c r="C343" s="20"/>
      <c r="E343" s="23"/>
    </row>
    <row r="344" ht="15.75" customHeight="1">
      <c r="C344" s="20"/>
      <c r="E344" s="23"/>
    </row>
    <row r="345" ht="15.75" customHeight="1">
      <c r="C345" s="20"/>
      <c r="E345" s="23"/>
    </row>
    <row r="346" ht="15.75" customHeight="1">
      <c r="C346" s="20"/>
      <c r="E346" s="23"/>
    </row>
    <row r="347" ht="15.75" customHeight="1">
      <c r="C347" s="20"/>
      <c r="E347" s="23"/>
    </row>
    <row r="348" ht="15.75" customHeight="1">
      <c r="C348" s="20"/>
      <c r="E348" s="23"/>
    </row>
    <row r="349" ht="15.75" customHeight="1">
      <c r="C349" s="20"/>
      <c r="E349" s="23"/>
    </row>
    <row r="350" ht="15.75" customHeight="1">
      <c r="C350" s="20"/>
      <c r="E350" s="23"/>
    </row>
    <row r="351" ht="15.75" customHeight="1">
      <c r="C351" s="20"/>
      <c r="E351" s="23"/>
    </row>
    <row r="352" ht="15.75" customHeight="1">
      <c r="C352" s="20"/>
      <c r="E352" s="23"/>
    </row>
    <row r="353" ht="15.75" customHeight="1">
      <c r="C353" s="20"/>
      <c r="E353" s="23"/>
    </row>
    <row r="354" ht="15.75" customHeight="1">
      <c r="C354" s="20"/>
      <c r="E354" s="23"/>
    </row>
    <row r="355" ht="15.75" customHeight="1">
      <c r="C355" s="20"/>
      <c r="E355" s="23"/>
    </row>
    <row r="356" ht="15.75" customHeight="1">
      <c r="C356" s="20"/>
      <c r="E356" s="23"/>
    </row>
    <row r="357" ht="15.75" customHeight="1">
      <c r="C357" s="20"/>
      <c r="E357" s="23"/>
    </row>
    <row r="358" ht="15.75" customHeight="1">
      <c r="C358" s="20"/>
      <c r="E358" s="23"/>
    </row>
    <row r="359" ht="15.75" customHeight="1">
      <c r="C359" s="20"/>
      <c r="E359" s="23"/>
    </row>
    <row r="360" ht="15.75" customHeight="1">
      <c r="C360" s="20"/>
      <c r="E360" s="23"/>
    </row>
    <row r="361" ht="15.75" customHeight="1">
      <c r="C361" s="20"/>
      <c r="E361" s="23"/>
    </row>
    <row r="362" ht="15.75" customHeight="1">
      <c r="C362" s="20"/>
      <c r="E362" s="23"/>
    </row>
    <row r="363" ht="15.75" customHeight="1">
      <c r="C363" s="20"/>
      <c r="E363" s="23"/>
    </row>
    <row r="364" ht="15.75" customHeight="1">
      <c r="C364" s="20"/>
      <c r="E364" s="23"/>
    </row>
    <row r="365" ht="15.75" customHeight="1">
      <c r="C365" s="20"/>
      <c r="E365" s="23"/>
    </row>
    <row r="366" ht="15.75" customHeight="1">
      <c r="C366" s="20"/>
      <c r="E366" s="23"/>
    </row>
    <row r="367" ht="15.75" customHeight="1">
      <c r="C367" s="20"/>
      <c r="E367" s="23"/>
    </row>
    <row r="368" ht="15.75" customHeight="1">
      <c r="C368" s="20"/>
      <c r="E368" s="23"/>
    </row>
    <row r="369" ht="15.75" customHeight="1">
      <c r="C369" s="20"/>
      <c r="E369" s="23"/>
    </row>
    <row r="370" ht="15.75" customHeight="1">
      <c r="C370" s="20"/>
      <c r="E370" s="23"/>
    </row>
    <row r="371" ht="15.75" customHeight="1">
      <c r="C371" s="20"/>
      <c r="E371" s="23"/>
    </row>
    <row r="372" ht="15.75" customHeight="1">
      <c r="C372" s="20"/>
      <c r="E372" s="23"/>
    </row>
    <row r="373" ht="15.75" customHeight="1">
      <c r="C373" s="20"/>
      <c r="E373" s="23"/>
    </row>
    <row r="374" ht="15.75" customHeight="1">
      <c r="C374" s="20"/>
      <c r="E374" s="23"/>
    </row>
    <row r="375" ht="15.75" customHeight="1">
      <c r="C375" s="20"/>
      <c r="E375" s="23"/>
    </row>
    <row r="376" ht="15.75" customHeight="1">
      <c r="C376" s="20"/>
      <c r="E376" s="23"/>
    </row>
    <row r="377" ht="15.75" customHeight="1">
      <c r="C377" s="20"/>
      <c r="E377" s="23"/>
    </row>
    <row r="378" ht="15.75" customHeight="1">
      <c r="C378" s="20"/>
      <c r="E378" s="23"/>
    </row>
    <row r="379" ht="15.75" customHeight="1">
      <c r="C379" s="20"/>
      <c r="E379" s="23"/>
    </row>
    <row r="380" ht="15.75" customHeight="1">
      <c r="C380" s="20"/>
      <c r="E380" s="23"/>
    </row>
    <row r="381" ht="15.75" customHeight="1">
      <c r="C381" s="20"/>
      <c r="E381" s="23"/>
    </row>
    <row r="382" ht="15.75" customHeight="1">
      <c r="C382" s="20"/>
      <c r="E382" s="23"/>
    </row>
    <row r="383" ht="15.75" customHeight="1">
      <c r="C383" s="20"/>
      <c r="E383" s="23"/>
    </row>
    <row r="384" ht="15.75" customHeight="1">
      <c r="C384" s="20"/>
      <c r="E384" s="23"/>
    </row>
    <row r="385" ht="15.75" customHeight="1">
      <c r="C385" s="20"/>
      <c r="E385" s="23"/>
    </row>
    <row r="386" ht="15.75" customHeight="1">
      <c r="C386" s="20"/>
      <c r="E386" s="23"/>
    </row>
    <row r="387" ht="15.75" customHeight="1">
      <c r="C387" s="20"/>
      <c r="E387" s="23"/>
    </row>
    <row r="388" ht="15.75" customHeight="1">
      <c r="C388" s="20"/>
      <c r="E388" s="23"/>
    </row>
    <row r="389" ht="15.75" customHeight="1">
      <c r="C389" s="20"/>
      <c r="E389" s="23"/>
    </row>
    <row r="390" ht="15.75" customHeight="1">
      <c r="C390" s="20"/>
      <c r="E390" s="23"/>
    </row>
    <row r="391" ht="15.75" customHeight="1">
      <c r="C391" s="20"/>
      <c r="E391" s="23"/>
    </row>
    <row r="392" ht="15.75" customHeight="1">
      <c r="C392" s="20"/>
      <c r="E392" s="23"/>
    </row>
    <row r="393" ht="15.75" customHeight="1">
      <c r="C393" s="20"/>
      <c r="E393" s="23"/>
    </row>
    <row r="394" ht="15.75" customHeight="1">
      <c r="C394" s="20"/>
      <c r="E394" s="23"/>
    </row>
    <row r="395" ht="15.75" customHeight="1">
      <c r="C395" s="20"/>
      <c r="E395" s="23"/>
    </row>
    <row r="396" ht="15.75" customHeight="1">
      <c r="C396" s="20"/>
      <c r="E396" s="23"/>
    </row>
    <row r="397" ht="15.75" customHeight="1">
      <c r="C397" s="20"/>
      <c r="E397" s="23"/>
    </row>
    <row r="398" ht="15.75" customHeight="1">
      <c r="C398" s="20"/>
      <c r="E398" s="23"/>
    </row>
    <row r="399" ht="15.75" customHeight="1">
      <c r="C399" s="20"/>
      <c r="E399" s="23"/>
    </row>
    <row r="400" ht="15.75" customHeight="1">
      <c r="C400" s="20"/>
      <c r="E400" s="23"/>
    </row>
    <row r="401" ht="15.75" customHeight="1">
      <c r="C401" s="20"/>
      <c r="E401" s="23"/>
    </row>
    <row r="402" ht="15.75" customHeight="1">
      <c r="C402" s="20"/>
      <c r="E402" s="23"/>
    </row>
    <row r="403" ht="15.75" customHeight="1">
      <c r="C403" s="20"/>
      <c r="E403" s="23"/>
    </row>
    <row r="404" ht="15.75" customHeight="1">
      <c r="C404" s="20"/>
      <c r="E404" s="23"/>
    </row>
    <row r="405" ht="15.75" customHeight="1">
      <c r="C405" s="20"/>
      <c r="E405" s="23"/>
    </row>
    <row r="406" ht="15.75" customHeight="1">
      <c r="C406" s="20"/>
      <c r="E406" s="23"/>
    </row>
    <row r="407" ht="15.75" customHeight="1">
      <c r="C407" s="20"/>
      <c r="E407" s="23"/>
    </row>
    <row r="408" ht="15.75" customHeight="1">
      <c r="C408" s="20"/>
      <c r="E408" s="23"/>
    </row>
    <row r="409" ht="15.75" customHeight="1">
      <c r="C409" s="20"/>
      <c r="E409" s="23"/>
    </row>
    <row r="410" ht="15.75" customHeight="1">
      <c r="C410" s="20"/>
      <c r="E410" s="23"/>
    </row>
    <row r="411" ht="15.75" customHeight="1">
      <c r="C411" s="20"/>
      <c r="E411" s="23"/>
    </row>
    <row r="412" ht="15.75" customHeight="1">
      <c r="C412" s="20"/>
      <c r="E412" s="23"/>
    </row>
    <row r="413" ht="15.75" customHeight="1">
      <c r="C413" s="20"/>
      <c r="E413" s="23"/>
    </row>
    <row r="414" ht="15.75" customHeight="1">
      <c r="C414" s="20"/>
      <c r="E414" s="23"/>
    </row>
    <row r="415" ht="15.75" customHeight="1">
      <c r="C415" s="20"/>
      <c r="E415" s="23"/>
    </row>
    <row r="416" ht="15.75" customHeight="1">
      <c r="C416" s="20"/>
      <c r="E416" s="23"/>
    </row>
    <row r="417" ht="15.75" customHeight="1">
      <c r="C417" s="20"/>
      <c r="E417" s="23"/>
    </row>
    <row r="418" ht="15.75" customHeight="1">
      <c r="C418" s="20"/>
      <c r="E418" s="23"/>
    </row>
    <row r="419" ht="15.75" customHeight="1">
      <c r="C419" s="20"/>
      <c r="E419" s="23"/>
    </row>
    <row r="420" ht="15.75" customHeight="1">
      <c r="C420" s="20"/>
      <c r="E420" s="23"/>
    </row>
    <row r="421" ht="15.75" customHeight="1">
      <c r="C421" s="20"/>
      <c r="E421" s="23"/>
    </row>
    <row r="422" ht="15.75" customHeight="1">
      <c r="C422" s="20"/>
      <c r="E422" s="23"/>
    </row>
    <row r="423" ht="15.75" customHeight="1">
      <c r="C423" s="20"/>
      <c r="E423" s="23"/>
    </row>
    <row r="424" ht="15.75" customHeight="1">
      <c r="C424" s="20"/>
      <c r="E424" s="23"/>
    </row>
    <row r="425" ht="15.75" customHeight="1">
      <c r="C425" s="20"/>
      <c r="E425" s="23"/>
    </row>
    <row r="426" ht="15.75" customHeight="1">
      <c r="C426" s="20"/>
      <c r="E426" s="23"/>
    </row>
    <row r="427" ht="15.75" customHeight="1">
      <c r="C427" s="20"/>
      <c r="E427" s="23"/>
    </row>
    <row r="428" ht="15.75" customHeight="1">
      <c r="C428" s="20"/>
      <c r="E428" s="23"/>
    </row>
    <row r="429" ht="15.75" customHeight="1">
      <c r="C429" s="20"/>
      <c r="E429" s="23"/>
    </row>
    <row r="430" ht="15.75" customHeight="1">
      <c r="C430" s="20"/>
      <c r="E430" s="23"/>
    </row>
    <row r="431" ht="15.75" customHeight="1">
      <c r="C431" s="20"/>
      <c r="E431" s="23"/>
    </row>
    <row r="432" ht="15.75" customHeight="1">
      <c r="C432" s="20"/>
      <c r="E432" s="23"/>
    </row>
    <row r="433" ht="15.75" customHeight="1">
      <c r="C433" s="20"/>
      <c r="E433" s="23"/>
    </row>
    <row r="434" ht="15.75" customHeight="1">
      <c r="C434" s="20"/>
      <c r="E434" s="23"/>
    </row>
    <row r="435" ht="15.75" customHeight="1">
      <c r="C435" s="20"/>
      <c r="E435" s="23"/>
    </row>
    <row r="436" ht="15.75" customHeight="1">
      <c r="C436" s="20"/>
      <c r="E436" s="23"/>
    </row>
    <row r="437" ht="15.75" customHeight="1">
      <c r="C437" s="20"/>
      <c r="E437" s="23"/>
    </row>
    <row r="438" ht="15.75" customHeight="1">
      <c r="C438" s="20"/>
      <c r="E438" s="23"/>
    </row>
    <row r="439" ht="15.75" customHeight="1">
      <c r="C439" s="20"/>
      <c r="E439" s="23"/>
    </row>
    <row r="440" ht="15.75" customHeight="1">
      <c r="C440" s="20"/>
      <c r="E440" s="23"/>
    </row>
    <row r="441" ht="15.75" customHeight="1">
      <c r="C441" s="20"/>
      <c r="E441" s="23"/>
    </row>
    <row r="442" ht="15.75" customHeight="1">
      <c r="C442" s="20"/>
      <c r="E442" s="23"/>
    </row>
    <row r="443" ht="15.75" customHeight="1">
      <c r="C443" s="20"/>
      <c r="E443" s="23"/>
    </row>
    <row r="444" ht="15.75" customHeight="1">
      <c r="C444" s="20"/>
      <c r="E444" s="23"/>
    </row>
    <row r="445" ht="15.75" customHeight="1">
      <c r="C445" s="20"/>
      <c r="E445" s="23"/>
    </row>
    <row r="446" ht="15.75" customHeight="1">
      <c r="C446" s="20"/>
      <c r="E446" s="23"/>
    </row>
    <row r="447" ht="15.75" customHeight="1">
      <c r="C447" s="20"/>
      <c r="E447" s="23"/>
    </row>
    <row r="448" ht="15.75" customHeight="1">
      <c r="C448" s="20"/>
      <c r="E448" s="23"/>
    </row>
    <row r="449" ht="15.75" customHeight="1">
      <c r="C449" s="20"/>
      <c r="E449" s="23"/>
    </row>
    <row r="450" ht="15.75" customHeight="1">
      <c r="C450" s="20"/>
      <c r="E450" s="23"/>
    </row>
    <row r="451" ht="15.75" customHeight="1">
      <c r="C451" s="20"/>
      <c r="E451" s="23"/>
    </row>
    <row r="452" ht="15.75" customHeight="1">
      <c r="C452" s="20"/>
      <c r="E452" s="23"/>
    </row>
    <row r="453" ht="15.75" customHeight="1">
      <c r="C453" s="20"/>
      <c r="E453" s="23"/>
    </row>
    <row r="454" ht="15.75" customHeight="1">
      <c r="C454" s="20"/>
      <c r="E454" s="23"/>
    </row>
    <row r="455" ht="15.75" customHeight="1">
      <c r="C455" s="20"/>
      <c r="E455" s="23"/>
    </row>
    <row r="456" ht="15.75" customHeight="1">
      <c r="C456" s="20"/>
      <c r="E456" s="23"/>
    </row>
    <row r="457" ht="15.75" customHeight="1">
      <c r="C457" s="20"/>
      <c r="E457" s="23"/>
    </row>
    <row r="458" ht="15.75" customHeight="1">
      <c r="C458" s="20"/>
      <c r="E458" s="23"/>
    </row>
    <row r="459" ht="15.75" customHeight="1">
      <c r="C459" s="20"/>
      <c r="E459" s="23"/>
    </row>
    <row r="460" ht="15.75" customHeight="1">
      <c r="C460" s="20"/>
      <c r="E460" s="23"/>
    </row>
    <row r="461" ht="15.75" customHeight="1">
      <c r="C461" s="20"/>
      <c r="E461" s="23"/>
    </row>
    <row r="462" ht="15.75" customHeight="1">
      <c r="C462" s="20"/>
      <c r="E462" s="23"/>
    </row>
    <row r="463" ht="15.75" customHeight="1">
      <c r="C463" s="20"/>
      <c r="E463" s="23"/>
    </row>
    <row r="464" ht="15.75" customHeight="1">
      <c r="C464" s="20"/>
      <c r="E464" s="23"/>
    </row>
    <row r="465" ht="15.75" customHeight="1">
      <c r="C465" s="20"/>
      <c r="E465" s="23"/>
    </row>
    <row r="466" ht="15.75" customHeight="1">
      <c r="C466" s="20"/>
      <c r="E466" s="23"/>
    </row>
    <row r="467" ht="15.75" customHeight="1">
      <c r="C467" s="20"/>
      <c r="E467" s="23"/>
    </row>
    <row r="468" ht="15.75" customHeight="1">
      <c r="C468" s="20"/>
      <c r="E468" s="23"/>
    </row>
    <row r="469" ht="15.75" customHeight="1">
      <c r="C469" s="20"/>
      <c r="E469" s="23"/>
    </row>
    <row r="470" ht="15.75" customHeight="1">
      <c r="C470" s="20"/>
      <c r="E470" s="23"/>
    </row>
    <row r="471" ht="15.75" customHeight="1">
      <c r="C471" s="20"/>
      <c r="E471" s="23"/>
    </row>
    <row r="472" ht="15.75" customHeight="1">
      <c r="C472" s="20"/>
      <c r="E472" s="23"/>
    </row>
    <row r="473" ht="15.75" customHeight="1">
      <c r="C473" s="20"/>
      <c r="E473" s="23"/>
    </row>
    <row r="474" ht="15.75" customHeight="1">
      <c r="C474" s="20"/>
      <c r="E474" s="23"/>
    </row>
    <row r="475" ht="15.75" customHeight="1">
      <c r="C475" s="20"/>
      <c r="E475" s="23"/>
    </row>
    <row r="476" ht="15.75" customHeight="1">
      <c r="C476" s="20"/>
      <c r="E476" s="23"/>
    </row>
    <row r="477" ht="15.75" customHeight="1">
      <c r="C477" s="20"/>
      <c r="E477" s="23"/>
    </row>
    <row r="478" ht="15.75" customHeight="1">
      <c r="C478" s="20"/>
      <c r="E478" s="23"/>
    </row>
    <row r="479" ht="15.75" customHeight="1">
      <c r="C479" s="20"/>
      <c r="E479" s="23"/>
    </row>
    <row r="480" ht="15.75" customHeight="1">
      <c r="C480" s="20"/>
      <c r="E480" s="23"/>
    </row>
    <row r="481" ht="15.75" customHeight="1">
      <c r="C481" s="20"/>
      <c r="E481" s="23"/>
    </row>
    <row r="482" ht="15.75" customHeight="1">
      <c r="C482" s="20"/>
      <c r="E482" s="23"/>
    </row>
    <row r="483" ht="15.75" customHeight="1">
      <c r="C483" s="20"/>
      <c r="E483" s="23"/>
    </row>
    <row r="484" ht="15.75" customHeight="1">
      <c r="C484" s="20"/>
      <c r="E484" s="23"/>
    </row>
    <row r="485" ht="15.75" customHeight="1">
      <c r="C485" s="20"/>
      <c r="E485" s="23"/>
    </row>
    <row r="486" ht="15.75" customHeight="1">
      <c r="C486" s="20"/>
      <c r="E486" s="23"/>
    </row>
    <row r="487" ht="15.75" customHeight="1">
      <c r="C487" s="20"/>
      <c r="E487" s="23"/>
    </row>
    <row r="488" ht="15.75" customHeight="1">
      <c r="C488" s="20"/>
      <c r="E488" s="23"/>
    </row>
    <row r="489" ht="15.75" customHeight="1">
      <c r="C489" s="20"/>
      <c r="E489" s="23"/>
    </row>
    <row r="490" ht="15.75" customHeight="1">
      <c r="C490" s="20"/>
      <c r="E490" s="23"/>
    </row>
    <row r="491" ht="15.75" customHeight="1">
      <c r="C491" s="20"/>
      <c r="E491" s="23"/>
    </row>
    <row r="492" ht="15.75" customHeight="1">
      <c r="C492" s="20"/>
      <c r="E492" s="23"/>
    </row>
    <row r="493" ht="15.75" customHeight="1">
      <c r="C493" s="20"/>
      <c r="E493" s="23"/>
    </row>
    <row r="494" ht="15.75" customHeight="1">
      <c r="C494" s="20"/>
      <c r="E494" s="23"/>
    </row>
    <row r="495" ht="15.75" customHeight="1">
      <c r="C495" s="20"/>
      <c r="E495" s="23"/>
    </row>
    <row r="496" ht="15.75" customHeight="1">
      <c r="C496" s="20"/>
      <c r="E496" s="23"/>
    </row>
    <row r="497" ht="15.75" customHeight="1">
      <c r="C497" s="20"/>
      <c r="E497" s="23"/>
    </row>
    <row r="498" ht="15.75" customHeight="1">
      <c r="C498" s="20"/>
      <c r="E498" s="23"/>
    </row>
    <row r="499" ht="15.75" customHeight="1">
      <c r="C499" s="20"/>
      <c r="E499" s="23"/>
    </row>
    <row r="500" ht="15.75" customHeight="1">
      <c r="C500" s="20"/>
      <c r="E500" s="23"/>
    </row>
    <row r="501" ht="15.75" customHeight="1">
      <c r="C501" s="20"/>
      <c r="E501" s="23"/>
    </row>
    <row r="502" ht="15.75" customHeight="1">
      <c r="C502" s="20"/>
      <c r="E502" s="23"/>
    </row>
    <row r="503" ht="15.75" customHeight="1">
      <c r="C503" s="20"/>
      <c r="E503" s="23"/>
    </row>
    <row r="504" ht="15.75" customHeight="1">
      <c r="C504" s="20"/>
      <c r="E504" s="23"/>
    </row>
    <row r="505" ht="15.75" customHeight="1">
      <c r="C505" s="20"/>
      <c r="E505" s="23"/>
    </row>
    <row r="506" ht="15.75" customHeight="1">
      <c r="C506" s="20"/>
      <c r="E506" s="23"/>
    </row>
    <row r="507" ht="15.75" customHeight="1">
      <c r="C507" s="20"/>
      <c r="E507" s="23"/>
    </row>
    <row r="508" ht="15.75" customHeight="1">
      <c r="C508" s="20"/>
      <c r="E508" s="23"/>
    </row>
    <row r="509" ht="15.75" customHeight="1">
      <c r="C509" s="20"/>
      <c r="E509" s="23"/>
    </row>
    <row r="510" ht="15.75" customHeight="1">
      <c r="C510" s="20"/>
      <c r="E510" s="23"/>
    </row>
    <row r="511" ht="15.75" customHeight="1">
      <c r="C511" s="20"/>
      <c r="E511" s="23"/>
    </row>
    <row r="512" ht="15.75" customHeight="1">
      <c r="C512" s="20"/>
      <c r="E512" s="23"/>
    </row>
    <row r="513" ht="15.75" customHeight="1">
      <c r="C513" s="20"/>
      <c r="E513" s="23"/>
    </row>
    <row r="514" ht="15.75" customHeight="1">
      <c r="C514" s="20"/>
      <c r="E514" s="23"/>
    </row>
    <row r="515" ht="15.75" customHeight="1">
      <c r="C515" s="20"/>
      <c r="E515" s="23"/>
    </row>
    <row r="516" ht="15.75" customHeight="1">
      <c r="C516" s="20"/>
      <c r="E516" s="23"/>
    </row>
    <row r="517" ht="15.75" customHeight="1">
      <c r="C517" s="20"/>
      <c r="E517" s="23"/>
    </row>
    <row r="518" ht="15.75" customHeight="1">
      <c r="C518" s="20"/>
      <c r="E518" s="23"/>
    </row>
    <row r="519" ht="15.75" customHeight="1">
      <c r="C519" s="20"/>
      <c r="E519" s="23"/>
    </row>
    <row r="520" ht="15.75" customHeight="1">
      <c r="C520" s="20"/>
      <c r="E520" s="23"/>
    </row>
    <row r="521" ht="15.75" customHeight="1">
      <c r="C521" s="20"/>
      <c r="E521" s="23"/>
    </row>
    <row r="522" ht="15.75" customHeight="1">
      <c r="C522" s="20"/>
      <c r="E522" s="23"/>
    </row>
    <row r="523" ht="15.75" customHeight="1">
      <c r="C523" s="20"/>
      <c r="E523" s="23"/>
    </row>
    <row r="524" ht="15.75" customHeight="1">
      <c r="C524" s="20"/>
      <c r="E524" s="23"/>
    </row>
    <row r="525" ht="15.75" customHeight="1">
      <c r="C525" s="20"/>
      <c r="E525" s="23"/>
    </row>
    <row r="526" ht="15.75" customHeight="1">
      <c r="C526" s="20"/>
      <c r="E526" s="23"/>
    </row>
    <row r="527" ht="15.75" customHeight="1">
      <c r="C527" s="20"/>
      <c r="E527" s="23"/>
    </row>
    <row r="528" ht="15.75" customHeight="1">
      <c r="C528" s="20"/>
      <c r="E528" s="23"/>
    </row>
    <row r="529" ht="15.75" customHeight="1">
      <c r="C529" s="20"/>
      <c r="E529" s="23"/>
    </row>
    <row r="530" ht="15.75" customHeight="1">
      <c r="C530" s="20"/>
      <c r="E530" s="23"/>
    </row>
    <row r="531" ht="15.75" customHeight="1">
      <c r="C531" s="20"/>
      <c r="E531" s="23"/>
    </row>
    <row r="532" ht="15.75" customHeight="1">
      <c r="C532" s="20"/>
      <c r="E532" s="23"/>
    </row>
    <row r="533" ht="15.75" customHeight="1">
      <c r="C533" s="20"/>
      <c r="E533" s="23"/>
    </row>
    <row r="534" ht="15.75" customHeight="1">
      <c r="C534" s="20"/>
      <c r="E534" s="23"/>
    </row>
    <row r="535" ht="15.75" customHeight="1">
      <c r="C535" s="20"/>
      <c r="E535" s="23"/>
    </row>
    <row r="536" ht="15.75" customHeight="1">
      <c r="C536" s="20"/>
      <c r="E536" s="23"/>
    </row>
    <row r="537" ht="15.75" customHeight="1">
      <c r="C537" s="20"/>
      <c r="E537" s="23"/>
    </row>
    <row r="538" ht="15.75" customHeight="1">
      <c r="C538" s="20"/>
      <c r="E538" s="23"/>
    </row>
    <row r="539" ht="15.75" customHeight="1">
      <c r="C539" s="20"/>
      <c r="E539" s="23"/>
    </row>
    <row r="540" ht="15.75" customHeight="1">
      <c r="C540" s="20"/>
      <c r="E540" s="23"/>
    </row>
    <row r="541" ht="15.75" customHeight="1">
      <c r="C541" s="20"/>
      <c r="E541" s="23"/>
    </row>
    <row r="542" ht="15.75" customHeight="1">
      <c r="C542" s="20"/>
      <c r="E542" s="23"/>
    </row>
    <row r="543" ht="15.75" customHeight="1">
      <c r="C543" s="20"/>
      <c r="E543" s="23"/>
    </row>
    <row r="544" ht="15.75" customHeight="1">
      <c r="C544" s="20"/>
      <c r="E544" s="23"/>
    </row>
    <row r="545" ht="15.75" customHeight="1">
      <c r="C545" s="20"/>
      <c r="E545" s="23"/>
    </row>
    <row r="546" ht="15.75" customHeight="1">
      <c r="C546" s="20"/>
      <c r="E546" s="23"/>
    </row>
    <row r="547" ht="15.75" customHeight="1">
      <c r="C547" s="20"/>
      <c r="E547" s="23"/>
    </row>
    <row r="548" ht="15.75" customHeight="1">
      <c r="C548" s="20"/>
      <c r="E548" s="23"/>
    </row>
    <row r="549" ht="15.75" customHeight="1">
      <c r="C549" s="20"/>
      <c r="E549" s="23"/>
    </row>
    <row r="550" ht="15.75" customHeight="1">
      <c r="C550" s="20"/>
      <c r="E550" s="23"/>
    </row>
    <row r="551" ht="15.75" customHeight="1">
      <c r="C551" s="20"/>
      <c r="E551" s="23"/>
    </row>
    <row r="552" ht="15.75" customHeight="1">
      <c r="C552" s="20"/>
      <c r="E552" s="23"/>
    </row>
    <row r="553" ht="15.75" customHeight="1">
      <c r="C553" s="20"/>
      <c r="E553" s="23"/>
    </row>
    <row r="554" ht="15.75" customHeight="1">
      <c r="C554" s="20"/>
      <c r="E554" s="23"/>
    </row>
    <row r="555" ht="15.75" customHeight="1">
      <c r="C555" s="20"/>
      <c r="E555" s="23"/>
    </row>
    <row r="556" ht="15.75" customHeight="1">
      <c r="C556" s="20"/>
      <c r="E556" s="23"/>
    </row>
    <row r="557" ht="15.75" customHeight="1">
      <c r="C557" s="20"/>
      <c r="E557" s="23"/>
    </row>
    <row r="558" ht="15.75" customHeight="1">
      <c r="C558" s="20"/>
      <c r="E558" s="23"/>
    </row>
    <row r="559" ht="15.75" customHeight="1">
      <c r="C559" s="20"/>
      <c r="E559" s="23"/>
    </row>
    <row r="560" ht="15.75" customHeight="1">
      <c r="C560" s="20"/>
      <c r="E560" s="23"/>
    </row>
    <row r="561" ht="15.75" customHeight="1">
      <c r="C561" s="20"/>
      <c r="E561" s="23"/>
    </row>
    <row r="562" ht="15.75" customHeight="1">
      <c r="C562" s="20"/>
      <c r="E562" s="23"/>
    </row>
    <row r="563" ht="15.75" customHeight="1">
      <c r="C563" s="20"/>
      <c r="E563" s="23"/>
    </row>
    <row r="564" ht="15.75" customHeight="1">
      <c r="C564" s="20"/>
      <c r="E564" s="23"/>
    </row>
    <row r="565" ht="15.75" customHeight="1">
      <c r="C565" s="20"/>
      <c r="E565" s="23"/>
    </row>
    <row r="566" ht="15.75" customHeight="1">
      <c r="C566" s="20"/>
      <c r="E566" s="23"/>
    </row>
    <row r="567" ht="15.75" customHeight="1">
      <c r="C567" s="20"/>
      <c r="E567" s="23"/>
    </row>
    <row r="568" ht="15.75" customHeight="1">
      <c r="C568" s="20"/>
      <c r="E568" s="23"/>
    </row>
    <row r="569" ht="15.75" customHeight="1">
      <c r="C569" s="20"/>
      <c r="E569" s="23"/>
    </row>
    <row r="570" ht="15.75" customHeight="1">
      <c r="C570" s="20"/>
      <c r="E570" s="23"/>
    </row>
    <row r="571" ht="15.75" customHeight="1">
      <c r="C571" s="20"/>
      <c r="E571" s="23"/>
    </row>
    <row r="572" ht="15.75" customHeight="1">
      <c r="C572" s="20"/>
      <c r="E572" s="23"/>
    </row>
    <row r="573" ht="15.75" customHeight="1">
      <c r="C573" s="20"/>
      <c r="E573" s="23"/>
    </row>
    <row r="574" ht="15.75" customHeight="1">
      <c r="C574" s="20"/>
      <c r="E574" s="23"/>
    </row>
    <row r="575" ht="15.75" customHeight="1">
      <c r="C575" s="20"/>
      <c r="E575" s="23"/>
    </row>
    <row r="576" ht="15.75" customHeight="1">
      <c r="C576" s="20"/>
      <c r="E576" s="23"/>
    </row>
    <row r="577" ht="15.75" customHeight="1">
      <c r="C577" s="20"/>
      <c r="E577" s="23"/>
    </row>
    <row r="578" ht="15.75" customHeight="1">
      <c r="C578" s="20"/>
      <c r="E578" s="23"/>
    </row>
    <row r="579" ht="15.75" customHeight="1">
      <c r="C579" s="20"/>
      <c r="E579" s="23"/>
    </row>
    <row r="580" ht="15.75" customHeight="1">
      <c r="C580" s="20"/>
      <c r="E580" s="23"/>
    </row>
    <row r="581" ht="15.75" customHeight="1">
      <c r="C581" s="20"/>
      <c r="E581" s="23"/>
    </row>
    <row r="582" ht="15.75" customHeight="1">
      <c r="C582" s="20"/>
      <c r="E582" s="23"/>
    </row>
    <row r="583" ht="15.75" customHeight="1">
      <c r="C583" s="20"/>
      <c r="E583" s="23"/>
    </row>
    <row r="584" ht="15.75" customHeight="1">
      <c r="C584" s="20"/>
      <c r="E584" s="23"/>
    </row>
    <row r="585" ht="15.75" customHeight="1">
      <c r="C585" s="20"/>
      <c r="E585" s="23"/>
    </row>
    <row r="586" ht="15.75" customHeight="1">
      <c r="C586" s="20"/>
      <c r="E586" s="23"/>
    </row>
    <row r="587" ht="15.75" customHeight="1">
      <c r="C587" s="20"/>
      <c r="E587" s="23"/>
    </row>
    <row r="588" ht="15.75" customHeight="1">
      <c r="C588" s="20"/>
      <c r="E588" s="23"/>
    </row>
    <row r="589" ht="15.75" customHeight="1">
      <c r="C589" s="20"/>
      <c r="E589" s="23"/>
    </row>
    <row r="590" ht="15.75" customHeight="1">
      <c r="C590" s="20"/>
      <c r="E590" s="23"/>
    </row>
    <row r="591" ht="15.75" customHeight="1">
      <c r="C591" s="20"/>
      <c r="E591" s="23"/>
    </row>
    <row r="592" ht="15.75" customHeight="1">
      <c r="C592" s="20"/>
      <c r="E592" s="23"/>
    </row>
    <row r="593" ht="15.75" customHeight="1">
      <c r="C593" s="20"/>
      <c r="E593" s="23"/>
    </row>
    <row r="594" ht="15.75" customHeight="1">
      <c r="C594" s="20"/>
      <c r="E594" s="23"/>
    </row>
    <row r="595" ht="15.75" customHeight="1">
      <c r="C595" s="20"/>
      <c r="E595" s="23"/>
    </row>
    <row r="596" ht="15.75" customHeight="1">
      <c r="C596" s="20"/>
      <c r="E596" s="23"/>
    </row>
    <row r="597" ht="15.75" customHeight="1">
      <c r="C597" s="20"/>
      <c r="E597" s="23"/>
    </row>
    <row r="598" ht="15.75" customHeight="1">
      <c r="C598" s="20"/>
      <c r="E598" s="23"/>
    </row>
    <row r="599" ht="15.75" customHeight="1">
      <c r="C599" s="20"/>
      <c r="E599" s="23"/>
    </row>
    <row r="600" ht="15.75" customHeight="1">
      <c r="C600" s="20"/>
      <c r="E600" s="23"/>
    </row>
    <row r="601" ht="15.75" customHeight="1">
      <c r="C601" s="20"/>
      <c r="E601" s="23"/>
    </row>
    <row r="602" ht="15.75" customHeight="1">
      <c r="C602" s="20"/>
      <c r="E602" s="23"/>
    </row>
    <row r="603" ht="15.75" customHeight="1">
      <c r="C603" s="20"/>
      <c r="E603" s="23"/>
    </row>
    <row r="604" ht="15.75" customHeight="1">
      <c r="C604" s="20"/>
      <c r="E604" s="23"/>
    </row>
    <row r="605" ht="15.75" customHeight="1">
      <c r="C605" s="20"/>
      <c r="E605" s="23"/>
    </row>
    <row r="606" ht="15.75" customHeight="1">
      <c r="C606" s="20"/>
      <c r="E606" s="23"/>
    </row>
    <row r="607" ht="15.75" customHeight="1">
      <c r="C607" s="20"/>
      <c r="E607" s="23"/>
    </row>
    <row r="608" ht="15.75" customHeight="1">
      <c r="C608" s="20"/>
      <c r="E608" s="23"/>
    </row>
    <row r="609" ht="15.75" customHeight="1">
      <c r="C609" s="20"/>
      <c r="E609" s="23"/>
    </row>
    <row r="610" ht="15.75" customHeight="1">
      <c r="C610" s="20"/>
      <c r="E610" s="23"/>
    </row>
    <row r="611" ht="15.75" customHeight="1">
      <c r="C611" s="20"/>
      <c r="E611" s="23"/>
    </row>
    <row r="612" ht="15.75" customHeight="1">
      <c r="C612" s="20"/>
      <c r="E612" s="23"/>
    </row>
    <row r="613" ht="15.75" customHeight="1">
      <c r="C613" s="20"/>
      <c r="E613" s="23"/>
    </row>
    <row r="614" ht="15.75" customHeight="1">
      <c r="C614" s="20"/>
      <c r="E614" s="23"/>
    </row>
    <row r="615" ht="15.75" customHeight="1">
      <c r="C615" s="20"/>
      <c r="E615" s="23"/>
    </row>
    <row r="616" ht="15.75" customHeight="1">
      <c r="C616" s="20"/>
      <c r="E616" s="23"/>
    </row>
    <row r="617" ht="15.75" customHeight="1">
      <c r="C617" s="20"/>
      <c r="E617" s="23"/>
    </row>
    <row r="618" ht="15.75" customHeight="1">
      <c r="C618" s="20"/>
      <c r="E618" s="23"/>
    </row>
    <row r="619" ht="15.75" customHeight="1">
      <c r="C619" s="20"/>
      <c r="E619" s="23"/>
    </row>
    <row r="620" ht="15.75" customHeight="1">
      <c r="C620" s="20"/>
      <c r="E620" s="23"/>
    </row>
    <row r="621" ht="15.75" customHeight="1">
      <c r="C621" s="20"/>
      <c r="E621" s="23"/>
    </row>
    <row r="622" ht="15.75" customHeight="1">
      <c r="C622" s="20"/>
      <c r="E622" s="23"/>
    </row>
    <row r="623" ht="15.75" customHeight="1">
      <c r="C623" s="20"/>
      <c r="E623" s="23"/>
    </row>
    <row r="624" ht="15.75" customHeight="1">
      <c r="C624" s="20"/>
      <c r="E624" s="23"/>
    </row>
    <row r="625" ht="15.75" customHeight="1">
      <c r="C625" s="20"/>
      <c r="E625" s="23"/>
    </row>
    <row r="626" ht="15.75" customHeight="1">
      <c r="C626" s="20"/>
      <c r="E626" s="23"/>
    </row>
    <row r="627" ht="15.75" customHeight="1">
      <c r="C627" s="20"/>
      <c r="E627" s="23"/>
    </row>
    <row r="628" ht="15.75" customHeight="1">
      <c r="C628" s="20"/>
      <c r="E628" s="23"/>
    </row>
    <row r="629" ht="15.75" customHeight="1">
      <c r="C629" s="20"/>
      <c r="E629" s="23"/>
    </row>
    <row r="630" ht="15.75" customHeight="1">
      <c r="C630" s="20"/>
      <c r="E630" s="23"/>
    </row>
    <row r="631" ht="15.75" customHeight="1">
      <c r="C631" s="20"/>
      <c r="E631" s="23"/>
    </row>
    <row r="632" ht="15.75" customHeight="1">
      <c r="C632" s="20"/>
      <c r="E632" s="23"/>
    </row>
    <row r="633" ht="15.75" customHeight="1">
      <c r="C633" s="20"/>
      <c r="E633" s="23"/>
    </row>
    <row r="634" ht="15.75" customHeight="1">
      <c r="C634" s="20"/>
      <c r="E634" s="23"/>
    </row>
    <row r="635" ht="15.75" customHeight="1">
      <c r="C635" s="20"/>
      <c r="E635" s="23"/>
    </row>
    <row r="636" ht="15.75" customHeight="1">
      <c r="C636" s="20"/>
      <c r="E636" s="23"/>
    </row>
    <row r="637" ht="15.75" customHeight="1">
      <c r="C637" s="20"/>
      <c r="E637" s="23"/>
    </row>
    <row r="638" ht="15.75" customHeight="1">
      <c r="C638" s="20"/>
      <c r="E638" s="23"/>
    </row>
    <row r="639" ht="15.75" customHeight="1">
      <c r="C639" s="20"/>
      <c r="E639" s="23"/>
    </row>
    <row r="640" ht="15.75" customHeight="1">
      <c r="C640" s="20"/>
      <c r="E640" s="23"/>
    </row>
    <row r="641" ht="15.75" customHeight="1">
      <c r="C641" s="20"/>
      <c r="E641" s="23"/>
    </row>
    <row r="642" ht="15.75" customHeight="1">
      <c r="C642" s="20"/>
      <c r="E642" s="23"/>
    </row>
    <row r="643" ht="15.75" customHeight="1">
      <c r="C643" s="20"/>
      <c r="E643" s="23"/>
    </row>
    <row r="644" ht="15.75" customHeight="1">
      <c r="C644" s="20"/>
      <c r="E644" s="23"/>
    </row>
    <row r="645" ht="15.75" customHeight="1">
      <c r="C645" s="20"/>
      <c r="E645" s="23"/>
    </row>
    <row r="646" ht="15.75" customHeight="1">
      <c r="C646" s="20"/>
      <c r="E646" s="23"/>
    </row>
    <row r="647" ht="15.75" customHeight="1">
      <c r="C647" s="20"/>
      <c r="E647" s="23"/>
    </row>
    <row r="648" ht="15.75" customHeight="1">
      <c r="C648" s="20"/>
      <c r="E648" s="23"/>
    </row>
    <row r="649" ht="15.75" customHeight="1">
      <c r="C649" s="20"/>
      <c r="E649" s="23"/>
    </row>
    <row r="650" ht="15.75" customHeight="1">
      <c r="C650" s="20"/>
      <c r="E650" s="23"/>
    </row>
    <row r="651" ht="15.75" customHeight="1">
      <c r="C651" s="20"/>
      <c r="E651" s="23"/>
    </row>
    <row r="652" ht="15.75" customHeight="1">
      <c r="C652" s="20"/>
      <c r="E652" s="23"/>
    </row>
    <row r="653" ht="15.75" customHeight="1">
      <c r="C653" s="20"/>
      <c r="E653" s="23"/>
    </row>
    <row r="654" ht="15.75" customHeight="1">
      <c r="C654" s="20"/>
      <c r="E654" s="23"/>
    </row>
    <row r="655" ht="15.75" customHeight="1">
      <c r="C655" s="20"/>
      <c r="E655" s="23"/>
    </row>
    <row r="656" ht="15.75" customHeight="1">
      <c r="C656" s="20"/>
      <c r="E656" s="23"/>
    </row>
    <row r="657" ht="15.75" customHeight="1">
      <c r="C657" s="20"/>
      <c r="E657" s="23"/>
    </row>
    <row r="658" ht="15.75" customHeight="1">
      <c r="C658" s="20"/>
      <c r="E658" s="23"/>
    </row>
    <row r="659" ht="15.75" customHeight="1">
      <c r="C659" s="20"/>
      <c r="E659" s="23"/>
    </row>
    <row r="660" ht="15.75" customHeight="1">
      <c r="C660" s="20"/>
      <c r="E660" s="23"/>
    </row>
    <row r="661" ht="15.75" customHeight="1">
      <c r="C661" s="20"/>
      <c r="E661" s="23"/>
    </row>
    <row r="662" ht="15.75" customHeight="1">
      <c r="C662" s="20"/>
      <c r="E662" s="23"/>
    </row>
    <row r="663" ht="15.75" customHeight="1">
      <c r="C663" s="20"/>
      <c r="E663" s="23"/>
    </row>
    <row r="664" ht="15.75" customHeight="1">
      <c r="C664" s="20"/>
      <c r="E664" s="23"/>
    </row>
    <row r="665" ht="15.75" customHeight="1">
      <c r="C665" s="20"/>
      <c r="E665" s="23"/>
    </row>
    <row r="666" ht="15.75" customHeight="1">
      <c r="C666" s="20"/>
      <c r="E666" s="23"/>
    </row>
    <row r="667" ht="15.75" customHeight="1">
      <c r="C667" s="20"/>
      <c r="E667" s="23"/>
    </row>
    <row r="668" ht="15.75" customHeight="1">
      <c r="C668" s="20"/>
      <c r="E668" s="23"/>
    </row>
    <row r="669" ht="15.75" customHeight="1">
      <c r="C669" s="20"/>
      <c r="E669" s="23"/>
    </row>
    <row r="670" ht="15.75" customHeight="1">
      <c r="C670" s="20"/>
      <c r="E670" s="23"/>
    </row>
    <row r="671" ht="15.75" customHeight="1">
      <c r="C671" s="20"/>
      <c r="E671" s="23"/>
    </row>
    <row r="672" ht="15.75" customHeight="1">
      <c r="C672" s="20"/>
      <c r="E672" s="23"/>
    </row>
    <row r="673" ht="15.75" customHeight="1">
      <c r="C673" s="20"/>
      <c r="E673" s="23"/>
    </row>
    <row r="674" ht="15.75" customHeight="1">
      <c r="C674" s="20"/>
      <c r="E674" s="23"/>
    </row>
    <row r="675" ht="15.75" customHeight="1">
      <c r="C675" s="20"/>
      <c r="E675" s="23"/>
    </row>
    <row r="676" ht="15.75" customHeight="1">
      <c r="C676" s="20"/>
      <c r="E676" s="23"/>
    </row>
    <row r="677" ht="15.75" customHeight="1">
      <c r="C677" s="20"/>
      <c r="E677" s="23"/>
    </row>
    <row r="678" ht="15.75" customHeight="1">
      <c r="C678" s="20"/>
      <c r="E678" s="23"/>
    </row>
    <row r="679" ht="15.75" customHeight="1">
      <c r="C679" s="20"/>
      <c r="E679" s="23"/>
    </row>
    <row r="680" ht="15.75" customHeight="1">
      <c r="C680" s="20"/>
      <c r="E680" s="23"/>
    </row>
    <row r="681" ht="15.75" customHeight="1">
      <c r="C681" s="20"/>
      <c r="E681" s="23"/>
    </row>
    <row r="682" ht="15.75" customHeight="1">
      <c r="C682" s="20"/>
      <c r="E682" s="23"/>
    </row>
    <row r="683" ht="15.75" customHeight="1">
      <c r="C683" s="20"/>
      <c r="E683" s="23"/>
    </row>
    <row r="684" ht="15.75" customHeight="1">
      <c r="C684" s="20"/>
      <c r="E684" s="23"/>
    </row>
    <row r="685" ht="15.75" customHeight="1">
      <c r="C685" s="20"/>
      <c r="E685" s="23"/>
    </row>
    <row r="686" ht="15.75" customHeight="1">
      <c r="C686" s="20"/>
      <c r="E686" s="23"/>
    </row>
    <row r="687" ht="15.75" customHeight="1">
      <c r="C687" s="20"/>
      <c r="E687" s="23"/>
    </row>
    <row r="688" ht="15.75" customHeight="1">
      <c r="C688" s="20"/>
      <c r="E688" s="23"/>
    </row>
    <row r="689" ht="15.75" customHeight="1">
      <c r="C689" s="20"/>
      <c r="E689" s="23"/>
    </row>
    <row r="690" ht="15.75" customHeight="1">
      <c r="C690" s="20"/>
      <c r="E690" s="23"/>
    </row>
    <row r="691" ht="15.75" customHeight="1">
      <c r="C691" s="20"/>
      <c r="E691" s="23"/>
    </row>
    <row r="692" ht="15.75" customHeight="1">
      <c r="C692" s="20"/>
      <c r="E692" s="23"/>
    </row>
    <row r="693" ht="15.75" customHeight="1">
      <c r="C693" s="20"/>
      <c r="E693" s="23"/>
    </row>
    <row r="694" ht="15.75" customHeight="1">
      <c r="C694" s="20"/>
      <c r="E694" s="23"/>
    </row>
    <row r="695" ht="15.75" customHeight="1">
      <c r="C695" s="20"/>
      <c r="E695" s="23"/>
    </row>
    <row r="696" ht="15.75" customHeight="1">
      <c r="C696" s="20"/>
      <c r="E696" s="23"/>
    </row>
    <row r="697" ht="15.75" customHeight="1">
      <c r="C697" s="20"/>
      <c r="E697" s="23"/>
    </row>
    <row r="698" ht="15.75" customHeight="1">
      <c r="C698" s="20"/>
      <c r="E698" s="23"/>
    </row>
    <row r="699" ht="15.75" customHeight="1">
      <c r="C699" s="20"/>
      <c r="E699" s="23"/>
    </row>
    <row r="700" ht="15.75" customHeight="1">
      <c r="C700" s="20"/>
      <c r="E700" s="23"/>
    </row>
    <row r="701" ht="15.75" customHeight="1">
      <c r="C701" s="20"/>
      <c r="E701" s="23"/>
    </row>
    <row r="702" ht="15.75" customHeight="1">
      <c r="C702" s="20"/>
      <c r="E702" s="23"/>
    </row>
    <row r="703" ht="15.75" customHeight="1">
      <c r="C703" s="20"/>
      <c r="E703" s="23"/>
    </row>
    <row r="704" ht="15.75" customHeight="1">
      <c r="C704" s="20"/>
      <c r="E704" s="23"/>
    </row>
    <row r="705" ht="15.75" customHeight="1">
      <c r="C705" s="20"/>
      <c r="E705" s="23"/>
    </row>
    <row r="706" ht="15.75" customHeight="1">
      <c r="C706" s="20"/>
      <c r="E706" s="23"/>
    </row>
    <row r="707" ht="15.75" customHeight="1">
      <c r="C707" s="20"/>
      <c r="E707" s="23"/>
    </row>
    <row r="708" ht="15.75" customHeight="1">
      <c r="C708" s="20"/>
      <c r="E708" s="23"/>
    </row>
    <row r="709" ht="15.75" customHeight="1">
      <c r="C709" s="20"/>
      <c r="E709" s="23"/>
    </row>
    <row r="710" ht="15.75" customHeight="1">
      <c r="C710" s="20"/>
      <c r="E710" s="23"/>
    </row>
    <row r="711" ht="15.75" customHeight="1">
      <c r="C711" s="20"/>
      <c r="E711" s="23"/>
    </row>
    <row r="712" ht="15.75" customHeight="1">
      <c r="C712" s="20"/>
      <c r="E712" s="23"/>
    </row>
    <row r="713" ht="15.75" customHeight="1">
      <c r="C713" s="20"/>
      <c r="E713" s="23"/>
    </row>
    <row r="714" ht="15.75" customHeight="1">
      <c r="C714" s="20"/>
      <c r="E714" s="23"/>
    </row>
    <row r="715" ht="15.75" customHeight="1">
      <c r="C715" s="20"/>
      <c r="E715" s="23"/>
    </row>
    <row r="716" ht="15.75" customHeight="1">
      <c r="C716" s="20"/>
      <c r="E716" s="23"/>
    </row>
    <row r="717" ht="15.75" customHeight="1">
      <c r="C717" s="20"/>
      <c r="E717" s="23"/>
    </row>
    <row r="718" ht="15.75" customHeight="1">
      <c r="C718" s="20"/>
      <c r="E718" s="23"/>
    </row>
    <row r="719" ht="15.75" customHeight="1">
      <c r="C719" s="20"/>
      <c r="E719" s="23"/>
    </row>
    <row r="720" ht="15.75" customHeight="1">
      <c r="C720" s="20"/>
      <c r="E720" s="23"/>
    </row>
    <row r="721" ht="15.75" customHeight="1">
      <c r="C721" s="20"/>
      <c r="E721" s="23"/>
    </row>
    <row r="722" ht="15.75" customHeight="1">
      <c r="C722" s="20"/>
      <c r="E722" s="23"/>
    </row>
    <row r="723" ht="15.75" customHeight="1">
      <c r="C723" s="20"/>
      <c r="E723" s="23"/>
    </row>
    <row r="724" ht="15.75" customHeight="1">
      <c r="C724" s="20"/>
      <c r="E724" s="23"/>
    </row>
    <row r="725" ht="15.75" customHeight="1">
      <c r="C725" s="20"/>
      <c r="E725" s="23"/>
    </row>
    <row r="726" ht="15.75" customHeight="1">
      <c r="C726" s="20"/>
      <c r="E726" s="23"/>
    </row>
    <row r="727" ht="15.75" customHeight="1">
      <c r="C727" s="20"/>
      <c r="E727" s="23"/>
    </row>
    <row r="728" ht="15.75" customHeight="1">
      <c r="C728" s="20"/>
      <c r="E728" s="23"/>
    </row>
    <row r="729" ht="15.75" customHeight="1">
      <c r="C729" s="20"/>
      <c r="E729" s="23"/>
    </row>
    <row r="730" ht="15.75" customHeight="1">
      <c r="C730" s="20"/>
      <c r="E730" s="23"/>
    </row>
    <row r="731" ht="15.75" customHeight="1">
      <c r="C731" s="20"/>
      <c r="E731" s="23"/>
    </row>
    <row r="732" ht="15.75" customHeight="1">
      <c r="C732" s="20"/>
      <c r="E732" s="23"/>
    </row>
    <row r="733" ht="15.75" customHeight="1">
      <c r="C733" s="20"/>
      <c r="E733" s="23"/>
    </row>
    <row r="734" ht="15.75" customHeight="1">
      <c r="C734" s="20"/>
      <c r="E734" s="23"/>
    </row>
    <row r="735" ht="15.75" customHeight="1">
      <c r="C735" s="20"/>
      <c r="E735" s="23"/>
    </row>
    <row r="736" ht="15.75" customHeight="1">
      <c r="C736" s="20"/>
      <c r="E736" s="23"/>
    </row>
    <row r="737" ht="15.75" customHeight="1">
      <c r="C737" s="20"/>
      <c r="E737" s="23"/>
    </row>
    <row r="738" ht="15.75" customHeight="1">
      <c r="C738" s="20"/>
      <c r="E738" s="23"/>
    </row>
    <row r="739" ht="15.75" customHeight="1">
      <c r="C739" s="20"/>
      <c r="E739" s="23"/>
    </row>
    <row r="740" ht="15.75" customHeight="1">
      <c r="C740" s="20"/>
      <c r="E740" s="23"/>
    </row>
    <row r="741" ht="15.75" customHeight="1">
      <c r="C741" s="20"/>
      <c r="E741" s="23"/>
    </row>
    <row r="742" ht="15.75" customHeight="1">
      <c r="C742" s="20"/>
      <c r="E742" s="23"/>
    </row>
    <row r="743" ht="15.75" customHeight="1">
      <c r="C743" s="20"/>
      <c r="E743" s="23"/>
    </row>
    <row r="744" ht="15.75" customHeight="1">
      <c r="C744" s="20"/>
      <c r="E744" s="23"/>
    </row>
    <row r="745" ht="15.75" customHeight="1">
      <c r="C745" s="20"/>
      <c r="E745" s="23"/>
    </row>
    <row r="746" ht="15.75" customHeight="1">
      <c r="C746" s="20"/>
      <c r="E746" s="23"/>
    </row>
    <row r="747" ht="15.75" customHeight="1">
      <c r="C747" s="20"/>
      <c r="E747" s="23"/>
    </row>
    <row r="748" ht="15.75" customHeight="1">
      <c r="C748" s="20"/>
      <c r="E748" s="23"/>
    </row>
    <row r="749" ht="15.75" customHeight="1">
      <c r="C749" s="20"/>
      <c r="E749" s="23"/>
    </row>
    <row r="750" ht="15.75" customHeight="1">
      <c r="C750" s="20"/>
      <c r="E750" s="23"/>
    </row>
    <row r="751" ht="15.75" customHeight="1">
      <c r="C751" s="20"/>
      <c r="E751" s="23"/>
    </row>
    <row r="752" ht="15.75" customHeight="1">
      <c r="C752" s="20"/>
      <c r="E752" s="23"/>
    </row>
    <row r="753" ht="15.75" customHeight="1">
      <c r="C753" s="20"/>
      <c r="E753" s="23"/>
    </row>
    <row r="754" ht="15.75" customHeight="1">
      <c r="C754" s="20"/>
      <c r="E754" s="23"/>
    </row>
    <row r="755" ht="15.75" customHeight="1">
      <c r="C755" s="20"/>
      <c r="E755" s="23"/>
    </row>
    <row r="756" ht="15.75" customHeight="1">
      <c r="C756" s="20"/>
      <c r="E756" s="23"/>
    </row>
    <row r="757" ht="15.75" customHeight="1">
      <c r="C757" s="20"/>
      <c r="E757" s="23"/>
    </row>
    <row r="758" ht="15.75" customHeight="1">
      <c r="C758" s="20"/>
      <c r="E758" s="23"/>
    </row>
    <row r="759" ht="15.75" customHeight="1">
      <c r="C759" s="20"/>
      <c r="E759" s="23"/>
    </row>
    <row r="760" ht="15.75" customHeight="1">
      <c r="C760" s="20"/>
      <c r="E760" s="23"/>
    </row>
    <row r="761" ht="15.75" customHeight="1">
      <c r="C761" s="20"/>
      <c r="E761" s="23"/>
    </row>
    <row r="762" ht="15.75" customHeight="1">
      <c r="C762" s="20"/>
      <c r="E762" s="23"/>
    </row>
    <row r="763" ht="15.75" customHeight="1">
      <c r="C763" s="20"/>
      <c r="E763" s="23"/>
    </row>
    <row r="764" ht="15.75" customHeight="1">
      <c r="C764" s="20"/>
      <c r="E764" s="23"/>
    </row>
    <row r="765" ht="15.75" customHeight="1">
      <c r="C765" s="20"/>
      <c r="E765" s="23"/>
    </row>
    <row r="766" ht="15.75" customHeight="1">
      <c r="C766" s="20"/>
      <c r="E766" s="23"/>
    </row>
    <row r="767" ht="15.75" customHeight="1">
      <c r="C767" s="20"/>
      <c r="E767" s="23"/>
    </row>
    <row r="768" ht="15.75" customHeight="1">
      <c r="C768" s="20"/>
      <c r="E768" s="23"/>
    </row>
    <row r="769" ht="15.75" customHeight="1">
      <c r="C769" s="20"/>
      <c r="E769" s="23"/>
    </row>
    <row r="770" ht="15.75" customHeight="1">
      <c r="C770" s="20"/>
      <c r="E770" s="23"/>
    </row>
    <row r="771" ht="15.75" customHeight="1">
      <c r="C771" s="20"/>
      <c r="E771" s="23"/>
    </row>
    <row r="772" ht="15.75" customHeight="1">
      <c r="C772" s="20"/>
      <c r="E772" s="23"/>
    </row>
    <row r="773" ht="15.75" customHeight="1">
      <c r="C773" s="20"/>
      <c r="E773" s="23"/>
    </row>
    <row r="774" ht="15.75" customHeight="1">
      <c r="C774" s="20"/>
      <c r="E774" s="23"/>
    </row>
    <row r="775" ht="15.75" customHeight="1">
      <c r="C775" s="20"/>
      <c r="E775" s="23"/>
    </row>
    <row r="776" ht="15.75" customHeight="1">
      <c r="C776" s="20"/>
      <c r="E776" s="23"/>
    </row>
    <row r="777" ht="15.75" customHeight="1">
      <c r="C777" s="20"/>
      <c r="E777" s="23"/>
    </row>
    <row r="778" ht="15.75" customHeight="1">
      <c r="C778" s="20"/>
      <c r="E778" s="23"/>
    </row>
    <row r="779" ht="15.75" customHeight="1">
      <c r="C779" s="20"/>
      <c r="E779" s="23"/>
    </row>
    <row r="780" ht="15.75" customHeight="1">
      <c r="C780" s="20"/>
      <c r="E780" s="23"/>
    </row>
    <row r="781" ht="15.75" customHeight="1">
      <c r="C781" s="20"/>
      <c r="E781" s="23"/>
    </row>
    <row r="782" ht="15.75" customHeight="1">
      <c r="C782" s="20"/>
      <c r="E782" s="23"/>
    </row>
    <row r="783" ht="15.75" customHeight="1">
      <c r="C783" s="20"/>
      <c r="E783" s="23"/>
    </row>
    <row r="784" ht="15.75" customHeight="1">
      <c r="C784" s="20"/>
      <c r="E784" s="23"/>
    </row>
    <row r="785" ht="15.75" customHeight="1">
      <c r="C785" s="20"/>
      <c r="E785" s="23"/>
    </row>
    <row r="786" ht="15.75" customHeight="1">
      <c r="C786" s="20"/>
      <c r="E786" s="23"/>
    </row>
    <row r="787" ht="15.75" customHeight="1">
      <c r="C787" s="20"/>
      <c r="E787" s="23"/>
    </row>
    <row r="788" ht="15.75" customHeight="1">
      <c r="C788" s="20"/>
      <c r="E788" s="23"/>
    </row>
    <row r="789" ht="15.75" customHeight="1">
      <c r="C789" s="20"/>
      <c r="E789" s="23"/>
    </row>
    <row r="790" ht="15.75" customHeight="1">
      <c r="C790" s="20"/>
      <c r="E790" s="23"/>
    </row>
    <row r="791" ht="15.75" customHeight="1">
      <c r="C791" s="20"/>
      <c r="E791" s="23"/>
    </row>
    <row r="792" ht="15.75" customHeight="1">
      <c r="C792" s="20"/>
      <c r="E792" s="23"/>
    </row>
    <row r="793" ht="15.75" customHeight="1">
      <c r="C793" s="20"/>
      <c r="E793" s="23"/>
    </row>
    <row r="794" ht="15.75" customHeight="1">
      <c r="C794" s="20"/>
      <c r="E794" s="23"/>
    </row>
    <row r="795" ht="15.75" customHeight="1">
      <c r="C795" s="20"/>
      <c r="E795" s="23"/>
    </row>
    <row r="796" ht="15.75" customHeight="1">
      <c r="C796" s="20"/>
      <c r="E796" s="23"/>
    </row>
    <row r="797" ht="15.75" customHeight="1">
      <c r="C797" s="20"/>
      <c r="E797" s="23"/>
    </row>
    <row r="798" ht="15.75" customHeight="1">
      <c r="C798" s="20"/>
      <c r="E798" s="23"/>
    </row>
    <row r="799" ht="15.75" customHeight="1">
      <c r="C799" s="20"/>
      <c r="E799" s="23"/>
    </row>
    <row r="800" ht="15.75" customHeight="1">
      <c r="C800" s="20"/>
      <c r="E800" s="23"/>
    </row>
    <row r="801" ht="15.75" customHeight="1">
      <c r="C801" s="20"/>
      <c r="E801" s="23"/>
    </row>
    <row r="802" ht="15.75" customHeight="1">
      <c r="C802" s="20"/>
      <c r="E802" s="23"/>
    </row>
    <row r="803" ht="15.75" customHeight="1">
      <c r="C803" s="20"/>
      <c r="E803" s="23"/>
    </row>
    <row r="804" ht="15.75" customHeight="1">
      <c r="C804" s="20"/>
      <c r="E804" s="23"/>
    </row>
    <row r="805" ht="15.75" customHeight="1">
      <c r="C805" s="20"/>
      <c r="E805" s="23"/>
    </row>
    <row r="806" ht="15.75" customHeight="1">
      <c r="C806" s="20"/>
      <c r="E806" s="23"/>
    </row>
    <row r="807" ht="15.75" customHeight="1">
      <c r="C807" s="20"/>
      <c r="E807" s="23"/>
    </row>
    <row r="808" ht="15.75" customHeight="1">
      <c r="C808" s="20"/>
      <c r="E808" s="23"/>
    </row>
    <row r="809" ht="15.75" customHeight="1">
      <c r="C809" s="20"/>
      <c r="E809" s="23"/>
    </row>
    <row r="810" ht="15.75" customHeight="1">
      <c r="C810" s="20"/>
      <c r="E810" s="23"/>
    </row>
    <row r="811" ht="15.75" customHeight="1">
      <c r="C811" s="20"/>
      <c r="E811" s="23"/>
    </row>
    <row r="812" ht="15.75" customHeight="1">
      <c r="C812" s="20"/>
      <c r="E812" s="23"/>
    </row>
    <row r="813" ht="15.75" customHeight="1">
      <c r="C813" s="20"/>
      <c r="E813" s="23"/>
    </row>
    <row r="814" ht="15.75" customHeight="1">
      <c r="C814" s="20"/>
      <c r="E814" s="23"/>
    </row>
    <row r="815" ht="15.75" customHeight="1">
      <c r="C815" s="20"/>
      <c r="E815" s="23"/>
    </row>
    <row r="816" ht="15.75" customHeight="1">
      <c r="C816" s="20"/>
      <c r="E816" s="23"/>
    </row>
    <row r="817" ht="15.75" customHeight="1">
      <c r="C817" s="20"/>
      <c r="E817" s="23"/>
    </row>
    <row r="818" ht="15.75" customHeight="1">
      <c r="C818" s="20"/>
      <c r="E818" s="23"/>
    </row>
    <row r="819" ht="15.75" customHeight="1">
      <c r="C819" s="20"/>
      <c r="E819" s="23"/>
    </row>
    <row r="820" ht="15.75" customHeight="1">
      <c r="C820" s="20"/>
      <c r="E820" s="23"/>
    </row>
    <row r="821" ht="15.75" customHeight="1">
      <c r="C821" s="20"/>
      <c r="E821" s="23"/>
    </row>
    <row r="822" ht="15.75" customHeight="1">
      <c r="C822" s="20"/>
      <c r="E822" s="23"/>
    </row>
    <row r="823" ht="15.75" customHeight="1">
      <c r="C823" s="20"/>
      <c r="E823" s="23"/>
    </row>
    <row r="824" ht="15.75" customHeight="1">
      <c r="C824" s="20"/>
      <c r="E824" s="23"/>
    </row>
    <row r="825" ht="15.75" customHeight="1">
      <c r="C825" s="20"/>
      <c r="E825" s="23"/>
    </row>
    <row r="826" ht="15.75" customHeight="1">
      <c r="C826" s="20"/>
      <c r="E826" s="23"/>
    </row>
    <row r="827" ht="15.75" customHeight="1">
      <c r="C827" s="20"/>
      <c r="E827" s="23"/>
    </row>
    <row r="828" ht="15.75" customHeight="1">
      <c r="C828" s="20"/>
      <c r="E828" s="23"/>
    </row>
    <row r="829" ht="15.75" customHeight="1">
      <c r="C829" s="20"/>
      <c r="E829" s="23"/>
    </row>
    <row r="830" ht="15.75" customHeight="1">
      <c r="C830" s="20"/>
      <c r="E830" s="23"/>
    </row>
    <row r="831" ht="15.75" customHeight="1">
      <c r="C831" s="20"/>
      <c r="E831" s="23"/>
    </row>
    <row r="832" ht="15.75" customHeight="1">
      <c r="C832" s="20"/>
      <c r="E832" s="23"/>
    </row>
    <row r="833" ht="15.75" customHeight="1">
      <c r="C833" s="20"/>
      <c r="E833" s="23"/>
    </row>
    <row r="834" ht="15.75" customHeight="1">
      <c r="C834" s="20"/>
      <c r="E834" s="23"/>
    </row>
    <row r="835" ht="15.75" customHeight="1">
      <c r="C835" s="20"/>
      <c r="E835" s="23"/>
    </row>
    <row r="836" ht="15.75" customHeight="1">
      <c r="C836" s="20"/>
      <c r="E836" s="23"/>
    </row>
    <row r="837" ht="15.75" customHeight="1">
      <c r="C837" s="20"/>
      <c r="E837" s="23"/>
    </row>
    <row r="838" ht="15.75" customHeight="1">
      <c r="C838" s="20"/>
      <c r="E838" s="23"/>
    </row>
    <row r="839" ht="15.75" customHeight="1">
      <c r="C839" s="20"/>
      <c r="E839" s="23"/>
    </row>
    <row r="840" ht="15.75" customHeight="1">
      <c r="C840" s="20"/>
      <c r="E840" s="23"/>
    </row>
    <row r="841" ht="15.75" customHeight="1">
      <c r="C841" s="20"/>
      <c r="E841" s="23"/>
    </row>
    <row r="842" ht="15.75" customHeight="1">
      <c r="C842" s="20"/>
      <c r="E842" s="23"/>
    </row>
    <row r="843" ht="15.75" customHeight="1">
      <c r="C843" s="20"/>
      <c r="E843" s="23"/>
    </row>
    <row r="844" ht="15.75" customHeight="1">
      <c r="C844" s="20"/>
      <c r="E844" s="23"/>
    </row>
    <row r="845" ht="15.75" customHeight="1">
      <c r="C845" s="20"/>
      <c r="E845" s="23"/>
    </row>
    <row r="846" ht="15.75" customHeight="1">
      <c r="C846" s="20"/>
      <c r="E846" s="23"/>
    </row>
    <row r="847" ht="15.75" customHeight="1">
      <c r="C847" s="20"/>
      <c r="E847" s="23"/>
    </row>
    <row r="848" ht="15.75" customHeight="1">
      <c r="C848" s="20"/>
      <c r="E848" s="23"/>
    </row>
    <row r="849" ht="15.75" customHeight="1">
      <c r="C849" s="20"/>
      <c r="E849" s="23"/>
    </row>
    <row r="850" ht="15.75" customHeight="1">
      <c r="C850" s="20"/>
      <c r="E850" s="23"/>
    </row>
    <row r="851" ht="15.75" customHeight="1">
      <c r="C851" s="20"/>
      <c r="E851" s="23"/>
    </row>
    <row r="852" ht="15.75" customHeight="1">
      <c r="C852" s="20"/>
      <c r="E852" s="23"/>
    </row>
    <row r="853" ht="15.75" customHeight="1">
      <c r="C853" s="20"/>
      <c r="E853" s="23"/>
    </row>
    <row r="854" ht="15.75" customHeight="1">
      <c r="C854" s="20"/>
      <c r="E854" s="23"/>
    </row>
    <row r="855" ht="15.75" customHeight="1">
      <c r="C855" s="20"/>
      <c r="E855" s="23"/>
    </row>
    <row r="856" ht="15.75" customHeight="1">
      <c r="C856" s="20"/>
      <c r="E856" s="23"/>
    </row>
    <row r="857" ht="15.75" customHeight="1">
      <c r="C857" s="20"/>
      <c r="E857" s="23"/>
    </row>
    <row r="858" ht="15.75" customHeight="1">
      <c r="C858" s="20"/>
      <c r="E858" s="23"/>
    </row>
    <row r="859" ht="15.75" customHeight="1">
      <c r="C859" s="20"/>
      <c r="E859" s="23"/>
    </row>
    <row r="860" ht="15.75" customHeight="1">
      <c r="C860" s="20"/>
      <c r="E860" s="23"/>
    </row>
    <row r="861" ht="15.75" customHeight="1">
      <c r="C861" s="20"/>
      <c r="E861" s="23"/>
    </row>
    <row r="862" ht="15.75" customHeight="1">
      <c r="C862" s="20"/>
      <c r="E862" s="23"/>
    </row>
    <row r="863" ht="15.75" customHeight="1">
      <c r="C863" s="20"/>
      <c r="E863" s="23"/>
    </row>
    <row r="864" ht="15.75" customHeight="1">
      <c r="C864" s="20"/>
      <c r="E864" s="23"/>
    </row>
    <row r="865" ht="15.75" customHeight="1">
      <c r="C865" s="20"/>
      <c r="E865" s="23"/>
    </row>
    <row r="866" ht="15.75" customHeight="1">
      <c r="C866" s="20"/>
      <c r="E866" s="23"/>
    </row>
    <row r="867" ht="15.75" customHeight="1">
      <c r="C867" s="20"/>
      <c r="E867" s="23"/>
    </row>
    <row r="868" ht="15.75" customHeight="1">
      <c r="C868" s="20"/>
      <c r="E868" s="23"/>
    </row>
    <row r="869" ht="15.75" customHeight="1">
      <c r="C869" s="20"/>
      <c r="E869" s="23"/>
    </row>
    <row r="870" ht="15.75" customHeight="1">
      <c r="C870" s="20"/>
      <c r="E870" s="23"/>
    </row>
    <row r="871" ht="15.75" customHeight="1">
      <c r="C871" s="20"/>
      <c r="E871" s="23"/>
    </row>
    <row r="872" ht="15.75" customHeight="1">
      <c r="C872" s="20"/>
      <c r="E872" s="23"/>
    </row>
    <row r="873" ht="15.75" customHeight="1">
      <c r="C873" s="20"/>
      <c r="E873" s="23"/>
    </row>
    <row r="874" ht="15.75" customHeight="1">
      <c r="C874" s="20"/>
      <c r="E874" s="23"/>
    </row>
    <row r="875" ht="15.75" customHeight="1">
      <c r="C875" s="20"/>
      <c r="E875" s="23"/>
    </row>
    <row r="876" ht="15.75" customHeight="1">
      <c r="C876" s="20"/>
      <c r="E876" s="23"/>
    </row>
    <row r="877" ht="15.75" customHeight="1">
      <c r="C877" s="20"/>
      <c r="E877" s="23"/>
    </row>
    <row r="878" ht="15.75" customHeight="1">
      <c r="C878" s="20"/>
      <c r="E878" s="23"/>
    </row>
    <row r="879" ht="15.75" customHeight="1">
      <c r="C879" s="20"/>
      <c r="E879" s="23"/>
    </row>
    <row r="880" ht="15.75" customHeight="1">
      <c r="C880" s="20"/>
      <c r="E880" s="23"/>
    </row>
    <row r="881" ht="15.75" customHeight="1">
      <c r="C881" s="20"/>
      <c r="E881" s="23"/>
    </row>
    <row r="882" ht="15.75" customHeight="1">
      <c r="C882" s="20"/>
      <c r="E882" s="23"/>
    </row>
    <row r="883" ht="15.75" customHeight="1">
      <c r="C883" s="20"/>
      <c r="E883" s="23"/>
    </row>
    <row r="884" ht="15.75" customHeight="1">
      <c r="C884" s="20"/>
      <c r="E884" s="23"/>
    </row>
    <row r="885" ht="15.75" customHeight="1">
      <c r="C885" s="20"/>
      <c r="E885" s="23"/>
    </row>
    <row r="886" ht="15.75" customHeight="1">
      <c r="C886" s="20"/>
      <c r="E886" s="23"/>
    </row>
    <row r="887" ht="15.75" customHeight="1">
      <c r="C887" s="20"/>
      <c r="E887" s="23"/>
    </row>
    <row r="888" ht="15.75" customHeight="1">
      <c r="C888" s="20"/>
      <c r="E888" s="23"/>
    </row>
    <row r="889" ht="15.75" customHeight="1">
      <c r="C889" s="20"/>
      <c r="E889" s="23"/>
    </row>
    <row r="890" ht="15.75" customHeight="1">
      <c r="C890" s="20"/>
      <c r="E890" s="23"/>
    </row>
    <row r="891" ht="15.75" customHeight="1">
      <c r="C891" s="20"/>
      <c r="E891" s="23"/>
    </row>
    <row r="892" ht="15.75" customHeight="1">
      <c r="C892" s="20"/>
      <c r="E892" s="23"/>
    </row>
    <row r="893" ht="15.75" customHeight="1">
      <c r="C893" s="20"/>
      <c r="E893" s="23"/>
    </row>
    <row r="894" ht="15.75" customHeight="1">
      <c r="C894" s="20"/>
      <c r="E894" s="23"/>
    </row>
    <row r="895" ht="15.75" customHeight="1">
      <c r="C895" s="20"/>
      <c r="E895" s="23"/>
    </row>
    <row r="896" ht="15.75" customHeight="1">
      <c r="C896" s="20"/>
      <c r="E896" s="23"/>
    </row>
    <row r="897" ht="15.75" customHeight="1">
      <c r="C897" s="20"/>
      <c r="E897" s="23"/>
    </row>
    <row r="898" ht="15.75" customHeight="1">
      <c r="C898" s="20"/>
      <c r="E898" s="23"/>
    </row>
    <row r="899" ht="15.75" customHeight="1">
      <c r="C899" s="20"/>
      <c r="E899" s="23"/>
    </row>
    <row r="900" ht="15.75" customHeight="1">
      <c r="C900" s="20"/>
      <c r="E900" s="23"/>
    </row>
    <row r="901" ht="15.75" customHeight="1">
      <c r="C901" s="20"/>
      <c r="E901" s="23"/>
    </row>
    <row r="902" ht="15.75" customHeight="1">
      <c r="C902" s="20"/>
      <c r="E902" s="23"/>
    </row>
    <row r="903" ht="15.75" customHeight="1">
      <c r="C903" s="20"/>
      <c r="E903" s="23"/>
    </row>
    <row r="904" ht="15.75" customHeight="1">
      <c r="C904" s="20"/>
      <c r="E904" s="23"/>
    </row>
    <row r="905" ht="15.75" customHeight="1">
      <c r="C905" s="20"/>
      <c r="E905" s="23"/>
    </row>
    <row r="906" ht="15.75" customHeight="1">
      <c r="C906" s="20"/>
      <c r="E906" s="23"/>
    </row>
    <row r="907" ht="15.75" customHeight="1">
      <c r="C907" s="20"/>
      <c r="E907" s="23"/>
    </row>
    <row r="908" ht="15.75" customHeight="1">
      <c r="C908" s="20"/>
      <c r="E908" s="23"/>
    </row>
    <row r="909" ht="15.75" customHeight="1">
      <c r="C909" s="20"/>
      <c r="E909" s="23"/>
    </row>
    <row r="910" ht="15.75" customHeight="1">
      <c r="C910" s="20"/>
      <c r="E910" s="23"/>
    </row>
    <row r="911" ht="15.75" customHeight="1">
      <c r="C911" s="20"/>
      <c r="E911" s="23"/>
    </row>
    <row r="912" ht="15.75" customHeight="1">
      <c r="C912" s="20"/>
      <c r="E912" s="23"/>
    </row>
    <row r="913" ht="15.75" customHeight="1">
      <c r="C913" s="20"/>
      <c r="E913" s="23"/>
    </row>
    <row r="914" ht="15.75" customHeight="1">
      <c r="C914" s="20"/>
      <c r="E914" s="23"/>
    </row>
    <row r="915" ht="15.75" customHeight="1">
      <c r="C915" s="20"/>
      <c r="E915" s="23"/>
    </row>
    <row r="916" ht="15.75" customHeight="1">
      <c r="C916" s="20"/>
      <c r="E916" s="23"/>
    </row>
    <row r="917" ht="15.75" customHeight="1">
      <c r="C917" s="20"/>
      <c r="E917" s="23"/>
    </row>
    <row r="918" ht="15.75" customHeight="1">
      <c r="C918" s="20"/>
      <c r="E918" s="23"/>
    </row>
    <row r="919" ht="15.75" customHeight="1">
      <c r="C919" s="20"/>
      <c r="E919" s="23"/>
    </row>
    <row r="920" ht="15.75" customHeight="1">
      <c r="C920" s="20"/>
      <c r="E920" s="23"/>
    </row>
    <row r="921" ht="15.75" customHeight="1">
      <c r="C921" s="20"/>
      <c r="E921" s="23"/>
    </row>
    <row r="922" ht="15.75" customHeight="1">
      <c r="C922" s="20"/>
      <c r="E922" s="23"/>
    </row>
    <row r="923" ht="15.75" customHeight="1">
      <c r="C923" s="20"/>
      <c r="E923" s="23"/>
    </row>
    <row r="924" ht="15.75" customHeight="1">
      <c r="C924" s="20"/>
      <c r="E924" s="23"/>
    </row>
    <row r="925" ht="15.75" customHeight="1">
      <c r="C925" s="20"/>
      <c r="E925" s="23"/>
    </row>
    <row r="926" ht="15.75" customHeight="1">
      <c r="C926" s="20"/>
      <c r="E926" s="23"/>
    </row>
    <row r="927" ht="15.75" customHeight="1">
      <c r="C927" s="20"/>
      <c r="E927" s="23"/>
    </row>
    <row r="928" ht="15.75" customHeight="1">
      <c r="C928" s="20"/>
      <c r="E928" s="23"/>
    </row>
    <row r="929" ht="15.75" customHeight="1">
      <c r="C929" s="20"/>
      <c r="E929" s="23"/>
    </row>
    <row r="930" ht="15.75" customHeight="1">
      <c r="C930" s="20"/>
      <c r="E930" s="23"/>
    </row>
    <row r="931" ht="15.75" customHeight="1">
      <c r="C931" s="20"/>
      <c r="E931" s="23"/>
    </row>
    <row r="932" ht="15.75" customHeight="1">
      <c r="C932" s="20"/>
      <c r="E932" s="23"/>
    </row>
    <row r="933" ht="15.75" customHeight="1">
      <c r="C933" s="20"/>
      <c r="E933" s="23"/>
    </row>
    <row r="934" ht="15.75" customHeight="1">
      <c r="C934" s="20"/>
      <c r="E934" s="23"/>
    </row>
    <row r="935" ht="15.75" customHeight="1">
      <c r="C935" s="20"/>
      <c r="E935" s="23"/>
    </row>
    <row r="936" ht="15.75" customHeight="1">
      <c r="C936" s="20"/>
      <c r="E936" s="23"/>
    </row>
    <row r="937" ht="15.75" customHeight="1">
      <c r="C937" s="20"/>
      <c r="E937" s="23"/>
    </row>
    <row r="938" ht="15.75" customHeight="1">
      <c r="C938" s="20"/>
      <c r="E938" s="23"/>
    </row>
    <row r="939" ht="15.75" customHeight="1">
      <c r="C939" s="20"/>
      <c r="E939" s="23"/>
    </row>
    <row r="940" ht="15.75" customHeight="1">
      <c r="C940" s="20"/>
      <c r="E940" s="23"/>
    </row>
    <row r="941" ht="15.75" customHeight="1">
      <c r="C941" s="20"/>
      <c r="E941" s="23"/>
    </row>
    <row r="942" ht="15.75" customHeight="1">
      <c r="C942" s="20"/>
      <c r="E942" s="23"/>
    </row>
    <row r="943" ht="15.75" customHeight="1">
      <c r="C943" s="20"/>
      <c r="E943" s="23"/>
    </row>
    <row r="944" ht="15.75" customHeight="1">
      <c r="C944" s="20"/>
      <c r="E944" s="23"/>
    </row>
    <row r="945" ht="15.75" customHeight="1">
      <c r="C945" s="20"/>
      <c r="E945" s="23"/>
    </row>
    <row r="946" ht="15.75" customHeight="1">
      <c r="C946" s="20"/>
      <c r="E946" s="23"/>
    </row>
    <row r="947" ht="15.75" customHeight="1">
      <c r="C947" s="20"/>
      <c r="E947" s="23"/>
    </row>
    <row r="948" ht="15.75" customHeight="1">
      <c r="C948" s="20"/>
      <c r="E948" s="23"/>
    </row>
    <row r="949" ht="15.75" customHeight="1">
      <c r="C949" s="20"/>
      <c r="E949" s="23"/>
    </row>
    <row r="950" ht="15.75" customHeight="1">
      <c r="C950" s="20"/>
      <c r="E950" s="23"/>
    </row>
    <row r="951" ht="15.75" customHeight="1">
      <c r="C951" s="20"/>
      <c r="E951" s="23"/>
    </row>
    <row r="952" ht="15.75" customHeight="1">
      <c r="C952" s="20"/>
      <c r="E952" s="23"/>
    </row>
    <row r="953" ht="15.75" customHeight="1">
      <c r="C953" s="20"/>
      <c r="E953" s="23"/>
    </row>
    <row r="954" ht="15.75" customHeight="1">
      <c r="C954" s="20"/>
      <c r="E954" s="23"/>
    </row>
    <row r="955" ht="15.75" customHeight="1">
      <c r="C955" s="20"/>
      <c r="E955" s="23"/>
    </row>
    <row r="956" ht="15.75" customHeight="1">
      <c r="C956" s="20"/>
      <c r="E956" s="23"/>
    </row>
    <row r="957" ht="15.75" customHeight="1">
      <c r="C957" s="20"/>
      <c r="E957" s="23"/>
    </row>
    <row r="958" ht="15.75" customHeight="1">
      <c r="C958" s="20"/>
      <c r="E958" s="23"/>
    </row>
    <row r="959" ht="15.75" customHeight="1">
      <c r="C959" s="20"/>
      <c r="E959" s="23"/>
    </row>
    <row r="960" ht="15.75" customHeight="1">
      <c r="C960" s="20"/>
      <c r="E960" s="23"/>
    </row>
    <row r="961" ht="15.75" customHeight="1">
      <c r="C961" s="20"/>
      <c r="E961" s="23"/>
    </row>
    <row r="962" ht="15.75" customHeight="1">
      <c r="C962" s="20"/>
      <c r="E962" s="23"/>
    </row>
    <row r="963" ht="15.75" customHeight="1">
      <c r="C963" s="20"/>
      <c r="E963" s="23"/>
    </row>
    <row r="964" ht="15.75" customHeight="1">
      <c r="C964" s="20"/>
      <c r="E964" s="23"/>
    </row>
    <row r="965" ht="15.75" customHeight="1">
      <c r="C965" s="20"/>
      <c r="E965" s="23"/>
    </row>
    <row r="966" ht="15.75" customHeight="1">
      <c r="C966" s="20"/>
      <c r="E966" s="23"/>
    </row>
    <row r="967" ht="15.75" customHeight="1">
      <c r="C967" s="20"/>
      <c r="E967" s="23"/>
    </row>
    <row r="968" ht="15.75" customHeight="1">
      <c r="C968" s="20"/>
      <c r="E968" s="23"/>
    </row>
    <row r="969" ht="15.75" customHeight="1">
      <c r="C969" s="20"/>
      <c r="E969" s="23"/>
    </row>
    <row r="970" ht="15.75" customHeight="1">
      <c r="C970" s="20"/>
      <c r="E970" s="23"/>
    </row>
    <row r="971" ht="15.75" customHeight="1">
      <c r="C971" s="20"/>
      <c r="E971" s="23"/>
    </row>
    <row r="972" ht="15.75" customHeight="1">
      <c r="C972" s="20"/>
      <c r="E972" s="23"/>
    </row>
    <row r="973" ht="15.75" customHeight="1">
      <c r="C973" s="20"/>
      <c r="E973" s="23"/>
    </row>
    <row r="974" ht="15.75" customHeight="1">
      <c r="C974" s="20"/>
      <c r="E974" s="23"/>
    </row>
    <row r="975" ht="15.75" customHeight="1">
      <c r="C975" s="20"/>
      <c r="E975" s="23"/>
    </row>
    <row r="976" ht="15.75" customHeight="1">
      <c r="C976" s="20"/>
      <c r="E976" s="23"/>
    </row>
    <row r="977" ht="15.75" customHeight="1">
      <c r="C977" s="20"/>
      <c r="E977" s="23"/>
    </row>
    <row r="978" ht="15.75" customHeight="1">
      <c r="C978" s="20"/>
      <c r="E978" s="23"/>
    </row>
    <row r="979" ht="15.75" customHeight="1">
      <c r="C979" s="20"/>
      <c r="E979" s="23"/>
    </row>
    <row r="980" ht="15.75" customHeight="1">
      <c r="C980" s="20"/>
      <c r="E980" s="23"/>
    </row>
    <row r="981" ht="15.75" customHeight="1">
      <c r="C981" s="20"/>
      <c r="E981" s="23"/>
    </row>
    <row r="982" ht="15.75" customHeight="1">
      <c r="C982" s="20"/>
      <c r="E982" s="23"/>
    </row>
    <row r="983" ht="15.75" customHeight="1">
      <c r="C983" s="20"/>
      <c r="E983" s="23"/>
    </row>
    <row r="984" ht="15.75" customHeight="1">
      <c r="C984" s="20"/>
      <c r="E984" s="23"/>
    </row>
    <row r="985" ht="15.75" customHeight="1">
      <c r="C985" s="20"/>
      <c r="E985" s="23"/>
    </row>
    <row r="986" ht="15.75" customHeight="1">
      <c r="C986" s="20"/>
      <c r="E986" s="23"/>
    </row>
    <row r="987" ht="15.75" customHeight="1">
      <c r="C987" s="20"/>
      <c r="E987" s="23"/>
    </row>
    <row r="988" ht="15.75" customHeight="1">
      <c r="C988" s="20"/>
      <c r="E988" s="23"/>
    </row>
    <row r="989" ht="15.75" customHeight="1">
      <c r="C989" s="20"/>
      <c r="E989" s="23"/>
    </row>
    <row r="990" ht="15.75" customHeight="1">
      <c r="C990" s="20"/>
      <c r="E990" s="23"/>
    </row>
    <row r="991" ht="15.75" customHeight="1">
      <c r="C991" s="20"/>
      <c r="E991" s="23"/>
    </row>
    <row r="992" ht="15.75" customHeight="1">
      <c r="C992" s="20"/>
      <c r="E992" s="23"/>
    </row>
    <row r="993" ht="15.75" customHeight="1">
      <c r="C993" s="20"/>
      <c r="E993" s="23"/>
    </row>
    <row r="994" ht="15.75" customHeight="1">
      <c r="C994" s="20"/>
      <c r="E994" s="23"/>
    </row>
    <row r="995" ht="15.75" customHeight="1">
      <c r="C995" s="20"/>
      <c r="E995" s="23"/>
    </row>
    <row r="996" ht="15.75" customHeight="1">
      <c r="C996" s="20"/>
      <c r="E996" s="23"/>
    </row>
    <row r="997" ht="15.75" customHeight="1">
      <c r="C997" s="20"/>
      <c r="E997" s="23"/>
    </row>
    <row r="998" ht="15.75" customHeight="1">
      <c r="C998" s="20"/>
      <c r="E998" s="23"/>
    </row>
    <row r="999" ht="15.75" customHeight="1">
      <c r="C999" s="20"/>
      <c r="E999" s="23"/>
    </row>
    <row r="1000" ht="15.75" customHeight="1">
      <c r="C1000" s="20"/>
      <c r="E1000" s="23"/>
    </row>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74"/>
      <c r="C3" s="21"/>
      <c r="D3" s="37" t="s">
        <v>71</v>
      </c>
      <c r="E3" s="74"/>
      <c r="F3" s="21"/>
      <c r="G3" s="21"/>
    </row>
    <row r="4">
      <c r="A4" s="37" t="s">
        <v>70</v>
      </c>
      <c r="B4" s="75"/>
      <c r="C4" s="21"/>
      <c r="D4" s="37" t="s">
        <v>401</v>
      </c>
      <c r="E4" s="74"/>
      <c r="F4" s="21"/>
      <c r="G4" s="21"/>
    </row>
    <row r="5">
      <c r="A5" s="37" t="s">
        <v>69</v>
      </c>
      <c r="B5" s="74"/>
      <c r="C5" s="21"/>
      <c r="D5" s="37" t="s">
        <v>402</v>
      </c>
      <c r="E5" s="74"/>
      <c r="F5" s="21"/>
      <c r="G5" s="21"/>
    </row>
    <row r="6">
      <c r="A6" s="21"/>
      <c r="B6" s="21"/>
      <c r="C6" s="21"/>
      <c r="D6" s="37" t="s">
        <v>403</v>
      </c>
      <c r="E6" s="74"/>
      <c r="F6" s="21"/>
      <c r="G6" s="21"/>
    </row>
    <row r="7">
      <c r="A7" s="24" t="s">
        <v>50</v>
      </c>
      <c r="B7" s="24" t="s">
        <v>404</v>
      </c>
      <c r="C7" s="24" t="s">
        <v>405</v>
      </c>
      <c r="D7" s="24" t="s">
        <v>406</v>
      </c>
      <c r="E7" s="24" t="s">
        <v>407</v>
      </c>
      <c r="F7" s="21"/>
      <c r="G7" s="21"/>
    </row>
    <row r="8">
      <c r="A8" s="74"/>
      <c r="B8" s="21"/>
      <c r="C8" s="76" t="str">
        <f>IF($A8="","",IFERROR(VLOOKUP($A8,StudentRegistry!$A:$D,3,FALSE),"Not found"))</f>
        <v/>
      </c>
      <c r="D8" s="76" t="str">
        <f>IF($A8="","",IFERROR(IF(VLOOKUP($A8,StudentRegistry!$A:$D,4,FALSE)="Active","Yes","Inactive"),"No"))</f>
        <v/>
      </c>
      <c r="E8" s="21"/>
      <c r="F8" s="21"/>
      <c r="G8" s="21"/>
    </row>
    <row r="9">
      <c r="A9" s="74"/>
      <c r="B9" s="21"/>
      <c r="C9" s="76" t="str">
        <f>IF($A9="","",IFERROR(VLOOKUP($A9,StudentRegistry!$A:$D,3,FALSE),"Not found"))</f>
        <v/>
      </c>
      <c r="D9" s="76" t="str">
        <f>IF($A9="","",IFERROR(IF(VLOOKUP($A9,StudentRegistry!$A:$D,4,FALSE)="Active","Yes","Inactive"),"No"))</f>
        <v/>
      </c>
      <c r="E9" s="21"/>
      <c r="F9" s="21"/>
      <c r="G9" s="21"/>
    </row>
    <row r="10">
      <c r="A10" s="74"/>
      <c r="B10" s="21"/>
      <c r="C10" s="76" t="str">
        <f>IF($A10="","",IFERROR(VLOOKUP($A10,StudentRegistry!$A:$D,3,FALSE),"Not found"))</f>
        <v/>
      </c>
      <c r="D10" s="76" t="str">
        <f>IF($A10="","",IFERROR(IF(VLOOKUP($A10,StudentRegistry!$A:$D,4,FALSE)="Active","Yes","Inactive"),"No"))</f>
        <v/>
      </c>
      <c r="E10" s="21"/>
      <c r="F10" s="21"/>
      <c r="G10" s="21"/>
    </row>
    <row r="11">
      <c r="A11" s="74"/>
      <c r="B11" s="21"/>
      <c r="C11" s="76" t="str">
        <f>IF($A11="","",IFERROR(VLOOKUP($A11,StudentRegistry!$A:$D,3,FALSE),"Not found"))</f>
        <v/>
      </c>
      <c r="D11" s="76" t="str">
        <f>IF($A11="","",IFERROR(IF(VLOOKUP($A11,StudentRegistry!$A:$D,4,FALSE)="Active","Yes","Inactive"),"No"))</f>
        <v/>
      </c>
      <c r="E11" s="21"/>
      <c r="F11" s="21"/>
      <c r="G11" s="21"/>
    </row>
    <row r="12">
      <c r="A12" s="74"/>
      <c r="B12" s="21"/>
      <c r="C12" s="76" t="str">
        <f>IF($A12="","",IFERROR(VLOOKUP($A12,StudentRegistry!$A:$D,3,FALSE),"Not found"))</f>
        <v/>
      </c>
      <c r="D12" s="76" t="str">
        <f>IF($A12="","",IFERROR(IF(VLOOKUP($A12,StudentRegistry!$A:$D,4,FALSE)="Active","Yes","Inactive"),"No"))</f>
        <v/>
      </c>
      <c r="E12" s="21"/>
      <c r="F12" s="21"/>
      <c r="G12" s="21"/>
    </row>
    <row r="13">
      <c r="A13" s="74"/>
      <c r="B13" s="21"/>
      <c r="C13" s="76" t="str">
        <f>IF($A13="","",IFERROR(VLOOKUP($A13,StudentRegistry!$A:$D,3,FALSE),"Not found"))</f>
        <v/>
      </c>
      <c r="D13" s="76" t="str">
        <f>IF($A13="","",IFERROR(IF(VLOOKUP($A13,StudentRegistry!$A:$D,4,FALSE)="Active","Yes","Inactive"),"No"))</f>
        <v/>
      </c>
      <c r="E13" s="21"/>
      <c r="F13" s="21"/>
      <c r="G13" s="21"/>
    </row>
    <row r="14">
      <c r="A14" s="74"/>
      <c r="B14" s="21"/>
      <c r="C14" s="76" t="str">
        <f>IF($A14="","",IFERROR(VLOOKUP($A14,StudentRegistry!$A:$D,3,FALSE),"Not found"))</f>
        <v/>
      </c>
      <c r="D14" s="76" t="str">
        <f>IF($A14="","",IFERROR(IF(VLOOKUP($A14,StudentRegistry!$A:$D,4,FALSE)="Active","Yes","Inactive"),"No"))</f>
        <v/>
      </c>
      <c r="E14" s="21"/>
      <c r="F14" s="21"/>
      <c r="G14" s="21"/>
    </row>
    <row r="15">
      <c r="A15" s="74"/>
      <c r="B15" s="21"/>
      <c r="C15" s="76" t="str">
        <f>IF($A15="","",IFERROR(VLOOKUP($A15,StudentRegistry!$A:$D,3,FALSE),"Not found"))</f>
        <v/>
      </c>
      <c r="D15" s="76" t="str">
        <f>IF($A15="","",IFERROR(IF(VLOOKUP($A15,StudentRegistry!$A:$D,4,FALSE)="Active","Yes","Inactive"),"No"))</f>
        <v/>
      </c>
      <c r="E15" s="21"/>
      <c r="F15" s="21"/>
      <c r="G15" s="21"/>
    </row>
    <row r="16">
      <c r="A16" s="74"/>
      <c r="B16" s="21"/>
      <c r="C16" s="76" t="str">
        <f>IF($A16="","",IFERROR(VLOOKUP($A16,StudentRegistry!$A:$D,3,FALSE),"Not found"))</f>
        <v/>
      </c>
      <c r="D16" s="76" t="str">
        <f>IF($A16="","",IFERROR(IF(VLOOKUP($A16,StudentRegistry!$A:$D,4,FALSE)="Active","Yes","Inactive"),"No"))</f>
        <v/>
      </c>
      <c r="E16" s="21"/>
      <c r="F16" s="21"/>
      <c r="G16" s="21"/>
    </row>
    <row r="17">
      <c r="A17" s="74"/>
      <c r="B17" s="21"/>
      <c r="C17" s="76" t="str">
        <f>IF($A17="","",IFERROR(VLOOKUP($A17,StudentRegistry!$A:$D,3,FALSE),"Not found"))</f>
        <v/>
      </c>
      <c r="D17" s="76" t="str">
        <f>IF($A17="","",IFERROR(IF(VLOOKUP($A17,StudentRegistry!$A:$D,4,FALSE)="Active","Yes","Inactive"),"No"))</f>
        <v/>
      </c>
      <c r="E17" s="21"/>
      <c r="F17" s="21"/>
      <c r="G17" s="21"/>
    </row>
    <row r="18">
      <c r="A18" s="74"/>
      <c r="B18" s="21"/>
      <c r="C18" s="76" t="str">
        <f>IF($A18="","",IFERROR(VLOOKUP($A18,StudentRegistry!$A:$D,3,FALSE),"Not found"))</f>
        <v/>
      </c>
      <c r="D18" s="76" t="str">
        <f>IF($A18="","",IFERROR(IF(VLOOKUP($A18,StudentRegistry!$A:$D,4,FALSE)="Active","Yes","Inactive"),"No"))</f>
        <v/>
      </c>
      <c r="E18" s="21"/>
      <c r="F18" s="21"/>
      <c r="G18" s="21"/>
    </row>
    <row r="19">
      <c r="A19" s="74"/>
      <c r="B19" s="21"/>
      <c r="C19" s="76" t="str">
        <f>IF($A19="","",IFERROR(VLOOKUP($A19,StudentRegistry!$A:$D,3,FALSE),"Not found"))</f>
        <v/>
      </c>
      <c r="D19" s="76" t="str">
        <f>IF($A19="","",IFERROR(IF(VLOOKUP($A19,StudentRegistry!$A:$D,4,FALSE)="Active","Yes","Inactive"),"No"))</f>
        <v/>
      </c>
      <c r="E19" s="21"/>
      <c r="F19" s="21"/>
      <c r="G19" s="21"/>
    </row>
    <row r="20">
      <c r="A20" s="74"/>
      <c r="B20" s="21"/>
      <c r="C20" s="76" t="str">
        <f>IF($A20="","",IFERROR(VLOOKUP($A20,StudentRegistry!$A:$D,3,FALSE),"Not found"))</f>
        <v/>
      </c>
      <c r="D20" s="76" t="str">
        <f>IF($A20="","",IFERROR(IF(VLOOKUP($A20,StudentRegistry!$A:$D,4,FALSE)="Active","Yes","Inactive"),"No"))</f>
        <v/>
      </c>
      <c r="E20" s="21"/>
      <c r="F20" s="21"/>
      <c r="G20" s="21"/>
    </row>
    <row r="21" ht="15.75" customHeight="1">
      <c r="A21" s="74"/>
      <c r="B21" s="21"/>
      <c r="C21" s="76" t="str">
        <f>IF($A21="","",IFERROR(VLOOKUP($A21,StudentRegistry!$A:$D,3,FALSE),"Not found"))</f>
        <v/>
      </c>
      <c r="D21" s="76" t="str">
        <f>IF($A21="","",IFERROR(IF(VLOOKUP($A21,StudentRegistry!$A:$D,4,FALSE)="Active","Yes","Inactive"),"No"))</f>
        <v/>
      </c>
      <c r="E21" s="21"/>
      <c r="F21" s="21"/>
      <c r="G21" s="21"/>
    </row>
    <row r="22" ht="15.75" customHeight="1">
      <c r="A22" s="74"/>
      <c r="B22" s="21"/>
      <c r="C22" s="76" t="str">
        <f>IF($A22="","",IFERROR(VLOOKUP($A22,StudentRegistry!$A:$D,3,FALSE),"Not found"))</f>
        <v/>
      </c>
      <c r="D22" s="76" t="str">
        <f>IF($A22="","",IFERROR(IF(VLOOKUP($A22,StudentRegistry!$A:$D,4,FALSE)="Active","Yes","Inactive"),"No"))</f>
        <v/>
      </c>
      <c r="E22" s="21"/>
      <c r="F22" s="21"/>
      <c r="G22" s="21"/>
    </row>
    <row r="23" ht="15.75" customHeight="1">
      <c r="A23" s="74"/>
      <c r="B23" s="21"/>
      <c r="C23" s="76" t="str">
        <f>IF($A23="","",IFERROR(VLOOKUP($A23,StudentRegistry!$A:$D,3,FALSE),"Not found"))</f>
        <v/>
      </c>
      <c r="D23" s="76" t="str">
        <f>IF($A23="","",IFERROR(IF(VLOOKUP($A23,StudentRegistry!$A:$D,4,FALSE)="Active","Yes","Inactive"),"No"))</f>
        <v/>
      </c>
      <c r="E23" s="21"/>
      <c r="F23" s="21"/>
      <c r="G23" s="21"/>
    </row>
    <row r="24" ht="15.75" customHeight="1">
      <c r="A24" s="74"/>
      <c r="B24" s="21"/>
      <c r="C24" s="76" t="str">
        <f>IF($A24="","",IFERROR(VLOOKUP($A24,StudentRegistry!$A:$D,3,FALSE),"Not found"))</f>
        <v/>
      </c>
      <c r="D24" s="76" t="str">
        <f>IF($A24="","",IFERROR(IF(VLOOKUP($A24,StudentRegistry!$A:$D,4,FALSE)="Active","Yes","Inactive"),"No"))</f>
        <v/>
      </c>
      <c r="E24" s="21"/>
      <c r="F24" s="21"/>
      <c r="G24" s="21"/>
    </row>
    <row r="25" ht="15.75" customHeight="1">
      <c r="A25" s="74"/>
      <c r="B25" s="21"/>
      <c r="C25" s="76" t="str">
        <f>IF($A25="","",IFERROR(VLOOKUP($A25,StudentRegistry!$A:$D,3,FALSE),"Not found"))</f>
        <v/>
      </c>
      <c r="D25" s="76" t="str">
        <f>IF($A25="","",IFERROR(IF(VLOOKUP($A25,StudentRegistry!$A:$D,4,FALSE)="Active","Yes","Inactive"),"No"))</f>
        <v/>
      </c>
      <c r="E25" s="21"/>
      <c r="F25" s="21"/>
      <c r="G25" s="21"/>
    </row>
    <row r="26" ht="15.75" customHeight="1">
      <c r="A26" s="74"/>
      <c r="B26" s="21"/>
      <c r="C26" s="76" t="str">
        <f>IF($A26="","",IFERROR(VLOOKUP($A26,StudentRegistry!$A:$D,3,FALSE),"Not found"))</f>
        <v/>
      </c>
      <c r="D26" s="76" t="str">
        <f>IF($A26="","",IFERROR(IF(VLOOKUP($A26,StudentRegistry!$A:$D,4,FALSE)="Active","Yes","Inactive"),"No"))</f>
        <v/>
      </c>
      <c r="E26" s="21"/>
      <c r="F26" s="21"/>
      <c r="G26" s="21"/>
    </row>
    <row r="27" ht="15.75" customHeight="1">
      <c r="A27" s="74"/>
      <c r="B27" s="21"/>
      <c r="C27" s="76" t="str">
        <f>IF($A27="","",IFERROR(VLOOKUP($A27,StudentRegistry!$A:$D,3,FALSE),"Not found"))</f>
        <v/>
      </c>
      <c r="D27" s="76" t="str">
        <f>IF($A27="","",IFERROR(IF(VLOOKUP($A27,StudentRegistry!$A:$D,4,FALSE)="Active","Yes","Inactive"),"No"))</f>
        <v/>
      </c>
      <c r="E27" s="21"/>
      <c r="F27" s="21"/>
      <c r="G27" s="21"/>
    </row>
    <row r="28" ht="15.75" customHeight="1">
      <c r="A28" s="74"/>
      <c r="B28" s="21"/>
      <c r="C28" s="76" t="str">
        <f>IF($A28="","",IFERROR(VLOOKUP($A28,StudentRegistry!$A:$D,3,FALSE),"Not found"))</f>
        <v/>
      </c>
      <c r="D28" s="76" t="str">
        <f>IF($A28="","",IFERROR(IF(VLOOKUP($A28,StudentRegistry!$A:$D,4,FALSE)="Active","Yes","Inactive"),"No"))</f>
        <v/>
      </c>
      <c r="E28" s="21"/>
      <c r="F28" s="21"/>
      <c r="G28" s="21"/>
    </row>
    <row r="29" ht="15.75" customHeight="1">
      <c r="A29" s="74"/>
      <c r="B29" s="21"/>
      <c r="C29" s="76" t="str">
        <f>IF($A29="","",IFERROR(VLOOKUP($A29,StudentRegistry!$A:$D,3,FALSE),"Not found"))</f>
        <v/>
      </c>
      <c r="D29" s="76" t="str">
        <f>IF($A29="","",IFERROR(IF(VLOOKUP($A29,StudentRegistry!$A:$D,4,FALSE)="Active","Yes","Inactive"),"No"))</f>
        <v/>
      </c>
      <c r="E29" s="21"/>
      <c r="F29" s="21"/>
      <c r="G29" s="21"/>
    </row>
    <row r="30" ht="15.75" customHeight="1">
      <c r="A30" s="74"/>
      <c r="B30" s="21"/>
      <c r="C30" s="76" t="str">
        <f>IF($A30="","",IFERROR(VLOOKUP($A30,StudentRegistry!$A:$D,3,FALSE),"Not found"))</f>
        <v/>
      </c>
      <c r="D30" s="76" t="str">
        <f>IF($A30="","",IFERROR(IF(VLOOKUP($A30,StudentRegistry!$A:$D,4,FALSE)="Active","Yes","Inactive"),"No"))</f>
        <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0"/>
    <col customWidth="1" min="2" max="2" width="22.0"/>
    <col customWidth="1" min="3" max="3" width="14.0"/>
    <col customWidth="1" min="4" max="4" width="34.0"/>
    <col customWidth="1" min="5" max="5" width="18.0"/>
    <col customWidth="1" min="6" max="6" width="16.0"/>
    <col customWidth="1" min="7" max="7" width="30.0"/>
    <col customWidth="1" min="8" max="8" width="18.0"/>
    <col customWidth="1" min="9" max="26" width="8.63"/>
  </cols>
  <sheetData>
    <row r="1">
      <c r="A1" s="58" t="s">
        <v>408</v>
      </c>
      <c r="B1" s="58" t="s">
        <v>364</v>
      </c>
      <c r="C1" s="58" t="s">
        <v>70</v>
      </c>
      <c r="D1" s="58" t="s">
        <v>69</v>
      </c>
      <c r="E1" s="58" t="s">
        <v>50</v>
      </c>
      <c r="F1" s="58" t="s">
        <v>36</v>
      </c>
      <c r="G1" s="58" t="s">
        <v>409</v>
      </c>
      <c r="H1" s="58" t="s">
        <v>410</v>
      </c>
      <c r="I1" s="24" t="s">
        <v>367</v>
      </c>
    </row>
    <row r="2">
      <c r="A2" s="53" t="s">
        <v>411</v>
      </c>
      <c r="B2" s="53" t="s">
        <v>368</v>
      </c>
      <c r="C2" s="55">
        <v>46276.0</v>
      </c>
      <c r="D2" s="53" t="s">
        <v>369</v>
      </c>
      <c r="E2" s="53" t="s">
        <v>184</v>
      </c>
      <c r="F2" s="53" t="s">
        <v>42</v>
      </c>
      <c r="G2" s="53" t="s">
        <v>370</v>
      </c>
      <c r="H2" s="70">
        <v>46307.91980549769</v>
      </c>
      <c r="I2" s="19" t="s">
        <v>42</v>
      </c>
    </row>
    <row r="3">
      <c r="A3" s="53" t="s">
        <v>412</v>
      </c>
      <c r="B3" s="53" t="s">
        <v>368</v>
      </c>
      <c r="C3" s="55">
        <v>46276.0</v>
      </c>
      <c r="D3" s="53" t="s">
        <v>369</v>
      </c>
      <c r="E3" s="53" t="s">
        <v>185</v>
      </c>
      <c r="F3" s="53" t="s">
        <v>42</v>
      </c>
      <c r="G3" s="53" t="s">
        <v>370</v>
      </c>
      <c r="H3" s="70">
        <v>46307.91980549769</v>
      </c>
      <c r="I3" s="19" t="s">
        <v>42</v>
      </c>
    </row>
    <row r="4">
      <c r="A4" s="53" t="s">
        <v>413</v>
      </c>
      <c r="B4" s="53" t="s">
        <v>368</v>
      </c>
      <c r="C4" s="55">
        <v>46276.0</v>
      </c>
      <c r="D4" s="53" t="s">
        <v>369</v>
      </c>
      <c r="E4" s="53" t="s">
        <v>189</v>
      </c>
      <c r="F4" s="53" t="s">
        <v>42</v>
      </c>
      <c r="G4" s="53" t="s">
        <v>370</v>
      </c>
      <c r="H4" s="70">
        <v>46307.91980549769</v>
      </c>
      <c r="I4" s="19" t="s">
        <v>42</v>
      </c>
    </row>
    <row r="5">
      <c r="A5" s="53" t="s">
        <v>414</v>
      </c>
      <c r="B5" s="53" t="s">
        <v>368</v>
      </c>
      <c r="C5" s="55">
        <v>46276.0</v>
      </c>
      <c r="D5" s="53" t="s">
        <v>369</v>
      </c>
      <c r="E5" s="53" t="s">
        <v>191</v>
      </c>
      <c r="F5" s="53" t="s">
        <v>42</v>
      </c>
      <c r="G5" s="53" t="s">
        <v>370</v>
      </c>
      <c r="H5" s="70">
        <v>46307.91980549769</v>
      </c>
      <c r="I5" s="19" t="s">
        <v>42</v>
      </c>
    </row>
    <row r="6">
      <c r="A6" s="53" t="s">
        <v>415</v>
      </c>
      <c r="B6" s="53" t="s">
        <v>368</v>
      </c>
      <c r="C6" s="55">
        <v>46276.0</v>
      </c>
      <c r="D6" s="53" t="s">
        <v>369</v>
      </c>
      <c r="E6" s="53" t="s">
        <v>193</v>
      </c>
      <c r="F6" s="53" t="s">
        <v>42</v>
      </c>
      <c r="G6" s="53" t="s">
        <v>370</v>
      </c>
      <c r="H6" s="70">
        <v>46307.91980549769</v>
      </c>
      <c r="I6" s="19" t="s">
        <v>42</v>
      </c>
    </row>
    <row r="7">
      <c r="A7" s="53" t="s">
        <v>416</v>
      </c>
      <c r="B7" s="53" t="s">
        <v>368</v>
      </c>
      <c r="C7" s="55">
        <v>46276.0</v>
      </c>
      <c r="D7" s="53" t="s">
        <v>369</v>
      </c>
      <c r="E7" s="53" t="s">
        <v>194</v>
      </c>
      <c r="F7" s="53" t="s">
        <v>42</v>
      </c>
      <c r="G7" s="53" t="s">
        <v>370</v>
      </c>
      <c r="H7" s="70">
        <v>46307.91980549769</v>
      </c>
      <c r="I7" s="19" t="s">
        <v>42</v>
      </c>
    </row>
    <row r="8">
      <c r="A8" s="53" t="s">
        <v>417</v>
      </c>
      <c r="B8" s="53" t="s">
        <v>368</v>
      </c>
      <c r="C8" s="55">
        <v>46276.0</v>
      </c>
      <c r="D8" s="53" t="s">
        <v>369</v>
      </c>
      <c r="E8" s="53" t="s">
        <v>195</v>
      </c>
      <c r="F8" s="53" t="s">
        <v>42</v>
      </c>
      <c r="G8" s="53" t="s">
        <v>370</v>
      </c>
      <c r="H8" s="70">
        <v>46307.91980549769</v>
      </c>
      <c r="I8" s="19" t="s">
        <v>42</v>
      </c>
    </row>
    <row r="9">
      <c r="A9" s="53" t="s">
        <v>418</v>
      </c>
      <c r="B9" s="53" t="s">
        <v>368</v>
      </c>
      <c r="C9" s="55">
        <v>46276.0</v>
      </c>
      <c r="D9" s="53" t="s">
        <v>369</v>
      </c>
      <c r="E9" s="53" t="s">
        <v>196</v>
      </c>
      <c r="F9" s="53" t="s">
        <v>42</v>
      </c>
      <c r="G9" s="53" t="s">
        <v>370</v>
      </c>
      <c r="H9" s="70">
        <v>46307.91980549769</v>
      </c>
      <c r="I9" s="19" t="s">
        <v>42</v>
      </c>
    </row>
    <row r="10">
      <c r="A10" s="53" t="s">
        <v>419</v>
      </c>
      <c r="B10" s="53" t="s">
        <v>368</v>
      </c>
      <c r="C10" s="55">
        <v>46276.0</v>
      </c>
      <c r="D10" s="53" t="s">
        <v>369</v>
      </c>
      <c r="E10" s="53" t="s">
        <v>198</v>
      </c>
      <c r="F10" s="53" t="s">
        <v>42</v>
      </c>
      <c r="G10" s="53" t="s">
        <v>370</v>
      </c>
      <c r="H10" s="70">
        <v>46307.91980549769</v>
      </c>
      <c r="I10" s="19" t="s">
        <v>42</v>
      </c>
    </row>
    <row r="11">
      <c r="A11" s="53" t="s">
        <v>420</v>
      </c>
      <c r="B11" s="53" t="s">
        <v>368</v>
      </c>
      <c r="C11" s="55">
        <v>46276.0</v>
      </c>
      <c r="D11" s="53" t="s">
        <v>369</v>
      </c>
      <c r="E11" s="53" t="s">
        <v>202</v>
      </c>
      <c r="F11" s="53" t="s">
        <v>42</v>
      </c>
      <c r="G11" s="53" t="s">
        <v>370</v>
      </c>
      <c r="H11" s="70">
        <v>46307.91980549769</v>
      </c>
      <c r="I11" s="19" t="s">
        <v>42</v>
      </c>
    </row>
    <row r="12">
      <c r="A12" s="53" t="s">
        <v>421</v>
      </c>
      <c r="B12" s="53" t="s">
        <v>368</v>
      </c>
      <c r="C12" s="55">
        <v>46276.0</v>
      </c>
      <c r="D12" s="53" t="s">
        <v>369</v>
      </c>
      <c r="E12" s="53" t="s">
        <v>204</v>
      </c>
      <c r="F12" s="53" t="s">
        <v>42</v>
      </c>
      <c r="G12" s="53" t="s">
        <v>370</v>
      </c>
      <c r="H12" s="70">
        <v>46307.91980549769</v>
      </c>
      <c r="I12" s="19" t="s">
        <v>42</v>
      </c>
    </row>
    <row r="13">
      <c r="A13" s="53" t="s">
        <v>422</v>
      </c>
      <c r="B13" s="53" t="s">
        <v>368</v>
      </c>
      <c r="C13" s="55">
        <v>46276.0</v>
      </c>
      <c r="D13" s="53" t="s">
        <v>369</v>
      </c>
      <c r="E13" s="53" t="s">
        <v>205</v>
      </c>
      <c r="F13" s="53" t="s">
        <v>42</v>
      </c>
      <c r="G13" s="53" t="s">
        <v>370</v>
      </c>
      <c r="H13" s="70">
        <v>46307.91980549769</v>
      </c>
      <c r="I13" s="19" t="s">
        <v>42</v>
      </c>
    </row>
    <row r="14">
      <c r="A14" s="53" t="s">
        <v>423</v>
      </c>
      <c r="B14" s="53" t="s">
        <v>368</v>
      </c>
      <c r="C14" s="55">
        <v>46276.0</v>
      </c>
      <c r="D14" s="53" t="s">
        <v>369</v>
      </c>
      <c r="E14" s="53" t="s">
        <v>206</v>
      </c>
      <c r="F14" s="53" t="s">
        <v>42</v>
      </c>
      <c r="G14" s="53" t="s">
        <v>370</v>
      </c>
      <c r="H14" s="70">
        <v>46307.91980549769</v>
      </c>
      <c r="I14" s="19" t="s">
        <v>42</v>
      </c>
    </row>
    <row r="15">
      <c r="A15" s="53" t="s">
        <v>424</v>
      </c>
      <c r="B15" s="53" t="s">
        <v>368</v>
      </c>
      <c r="C15" s="55">
        <v>46276.0</v>
      </c>
      <c r="D15" s="53" t="s">
        <v>369</v>
      </c>
      <c r="E15" s="53" t="s">
        <v>207</v>
      </c>
      <c r="F15" s="53" t="s">
        <v>42</v>
      </c>
      <c r="G15" s="53" t="s">
        <v>370</v>
      </c>
      <c r="H15" s="70">
        <v>46307.91980549769</v>
      </c>
      <c r="I15" s="19" t="s">
        <v>42</v>
      </c>
    </row>
    <row r="16">
      <c r="A16" s="53" t="s">
        <v>425</v>
      </c>
      <c r="B16" s="53" t="s">
        <v>368</v>
      </c>
      <c r="C16" s="55">
        <v>46276.0</v>
      </c>
      <c r="D16" s="53" t="s">
        <v>369</v>
      </c>
      <c r="E16" s="53" t="s">
        <v>210</v>
      </c>
      <c r="F16" s="53" t="s">
        <v>42</v>
      </c>
      <c r="G16" s="53" t="s">
        <v>370</v>
      </c>
      <c r="H16" s="70">
        <v>46307.91980549769</v>
      </c>
      <c r="I16" s="19" t="s">
        <v>42</v>
      </c>
    </row>
    <row r="17">
      <c r="A17" s="53" t="s">
        <v>426</v>
      </c>
      <c r="B17" s="53" t="s">
        <v>368</v>
      </c>
      <c r="C17" s="55">
        <v>46276.0</v>
      </c>
      <c r="D17" s="53" t="s">
        <v>369</v>
      </c>
      <c r="E17" s="53" t="s">
        <v>212</v>
      </c>
      <c r="F17" s="53" t="s">
        <v>42</v>
      </c>
      <c r="G17" s="53" t="s">
        <v>370</v>
      </c>
      <c r="H17" s="70">
        <v>46307.91980549769</v>
      </c>
      <c r="I17" s="19" t="s">
        <v>42</v>
      </c>
    </row>
    <row r="18">
      <c r="A18" s="53" t="s">
        <v>427</v>
      </c>
      <c r="B18" s="53" t="s">
        <v>368</v>
      </c>
      <c r="C18" s="55">
        <v>46276.0</v>
      </c>
      <c r="D18" s="53" t="s">
        <v>369</v>
      </c>
      <c r="E18" s="53" t="s">
        <v>214</v>
      </c>
      <c r="F18" s="53" t="s">
        <v>42</v>
      </c>
      <c r="G18" s="53" t="s">
        <v>370</v>
      </c>
      <c r="H18" s="70">
        <v>46307.91980549769</v>
      </c>
      <c r="I18" s="19" t="s">
        <v>42</v>
      </c>
    </row>
    <row r="19">
      <c r="A19" s="53" t="s">
        <v>428</v>
      </c>
      <c r="B19" s="53" t="s">
        <v>368</v>
      </c>
      <c r="C19" s="55">
        <v>46276.0</v>
      </c>
      <c r="D19" s="53" t="s">
        <v>369</v>
      </c>
      <c r="E19" s="53" t="s">
        <v>216</v>
      </c>
      <c r="F19" s="53" t="s">
        <v>42</v>
      </c>
      <c r="G19" s="53" t="s">
        <v>370</v>
      </c>
      <c r="H19" s="70">
        <v>46307.91980549769</v>
      </c>
      <c r="I19" s="19" t="s">
        <v>42</v>
      </c>
    </row>
    <row r="20">
      <c r="A20" s="53" t="s">
        <v>429</v>
      </c>
      <c r="B20" s="53" t="s">
        <v>371</v>
      </c>
      <c r="C20" s="55">
        <v>46275.33333333333</v>
      </c>
      <c r="D20" s="53" t="s">
        <v>74</v>
      </c>
      <c r="E20" s="53" t="s">
        <v>221</v>
      </c>
      <c r="F20" s="53" t="s">
        <v>43</v>
      </c>
      <c r="G20" s="53" t="s">
        <v>361</v>
      </c>
      <c r="H20" s="70">
        <v>46307.91980549769</v>
      </c>
      <c r="I20" s="19" t="s">
        <v>43</v>
      </c>
    </row>
    <row r="21" ht="15.75" customHeight="1">
      <c r="A21" s="53" t="s">
        <v>430</v>
      </c>
      <c r="B21" s="53" t="s">
        <v>371</v>
      </c>
      <c r="C21" s="55">
        <v>46275.33333333333</v>
      </c>
      <c r="D21" s="53" t="s">
        <v>74</v>
      </c>
      <c r="E21" s="53" t="s">
        <v>228</v>
      </c>
      <c r="F21" s="53" t="s">
        <v>43</v>
      </c>
      <c r="G21" s="53" t="s">
        <v>361</v>
      </c>
      <c r="H21" s="70">
        <v>46307.91980549769</v>
      </c>
      <c r="I21" s="19" t="s">
        <v>43</v>
      </c>
    </row>
    <row r="22" ht="15.75" customHeight="1">
      <c r="A22" s="53" t="s">
        <v>431</v>
      </c>
      <c r="B22" s="53" t="s">
        <v>371</v>
      </c>
      <c r="C22" s="55">
        <v>46275.33333333333</v>
      </c>
      <c r="D22" s="53" t="s">
        <v>74</v>
      </c>
      <c r="E22" s="53" t="s">
        <v>232</v>
      </c>
      <c r="F22" s="53" t="s">
        <v>43</v>
      </c>
      <c r="G22" s="53" t="s">
        <v>361</v>
      </c>
      <c r="H22" s="70">
        <v>46307.91980549769</v>
      </c>
      <c r="I22" s="19" t="s">
        <v>43</v>
      </c>
    </row>
    <row r="23" ht="15.75" customHeight="1">
      <c r="A23" s="53" t="s">
        <v>432</v>
      </c>
      <c r="B23" s="53" t="s">
        <v>371</v>
      </c>
      <c r="C23" s="55">
        <v>46275.33333333333</v>
      </c>
      <c r="D23" s="53" t="s">
        <v>74</v>
      </c>
      <c r="E23" s="53" t="s">
        <v>233</v>
      </c>
      <c r="F23" s="53" t="s">
        <v>43</v>
      </c>
      <c r="G23" s="53" t="s">
        <v>361</v>
      </c>
      <c r="H23" s="70">
        <v>46307.91980549769</v>
      </c>
      <c r="I23" s="19" t="s">
        <v>43</v>
      </c>
    </row>
    <row r="24" ht="15.75" customHeight="1">
      <c r="A24" s="53" t="s">
        <v>433</v>
      </c>
      <c r="B24" s="53" t="s">
        <v>371</v>
      </c>
      <c r="C24" s="55">
        <v>46275.33333333333</v>
      </c>
      <c r="D24" s="53" t="s">
        <v>74</v>
      </c>
      <c r="E24" s="53" t="s">
        <v>235</v>
      </c>
      <c r="F24" s="53" t="s">
        <v>43</v>
      </c>
      <c r="G24" s="53" t="s">
        <v>361</v>
      </c>
      <c r="H24" s="70">
        <v>46307.91980549769</v>
      </c>
      <c r="I24" s="19" t="s">
        <v>43</v>
      </c>
    </row>
    <row r="25" ht="15.75" customHeight="1">
      <c r="A25" s="53" t="s">
        <v>434</v>
      </c>
      <c r="B25" s="53" t="s">
        <v>371</v>
      </c>
      <c r="C25" s="55">
        <v>46275.33333333333</v>
      </c>
      <c r="D25" s="53" t="s">
        <v>74</v>
      </c>
      <c r="E25" s="53" t="s">
        <v>236</v>
      </c>
      <c r="F25" s="53" t="s">
        <v>43</v>
      </c>
      <c r="G25" s="53" t="s">
        <v>361</v>
      </c>
      <c r="H25" s="70">
        <v>46307.91980549769</v>
      </c>
      <c r="I25" s="19" t="s">
        <v>43</v>
      </c>
    </row>
    <row r="26" ht="15.75" customHeight="1">
      <c r="A26" s="53" t="s">
        <v>435</v>
      </c>
      <c r="B26" s="53" t="s">
        <v>371</v>
      </c>
      <c r="C26" s="55">
        <v>46275.33333333333</v>
      </c>
      <c r="D26" s="53" t="s">
        <v>74</v>
      </c>
      <c r="E26" s="53" t="s">
        <v>238</v>
      </c>
      <c r="F26" s="53" t="s">
        <v>43</v>
      </c>
      <c r="G26" s="53" t="s">
        <v>361</v>
      </c>
      <c r="H26" s="70">
        <v>46307.91980549769</v>
      </c>
      <c r="I26" s="19" t="s">
        <v>43</v>
      </c>
    </row>
    <row r="27" ht="15.75" customHeight="1">
      <c r="A27" s="53" t="s">
        <v>436</v>
      </c>
      <c r="B27" s="53" t="s">
        <v>371</v>
      </c>
      <c r="C27" s="55">
        <v>46275.33333333333</v>
      </c>
      <c r="D27" s="53" t="s">
        <v>74</v>
      </c>
      <c r="E27" s="53" t="s">
        <v>240</v>
      </c>
      <c r="F27" s="53" t="s">
        <v>43</v>
      </c>
      <c r="G27" s="53" t="s">
        <v>361</v>
      </c>
      <c r="H27" s="70">
        <v>46307.91980549769</v>
      </c>
      <c r="I27" s="19" t="s">
        <v>43</v>
      </c>
    </row>
    <row r="28" ht="15.75" customHeight="1">
      <c r="A28" s="53" t="s">
        <v>437</v>
      </c>
      <c r="B28" s="53" t="s">
        <v>371</v>
      </c>
      <c r="C28" s="55">
        <v>46275.33333333333</v>
      </c>
      <c r="D28" s="53" t="s">
        <v>74</v>
      </c>
      <c r="E28" s="53" t="s">
        <v>241</v>
      </c>
      <c r="F28" s="53" t="s">
        <v>43</v>
      </c>
      <c r="G28" s="53" t="s">
        <v>361</v>
      </c>
      <c r="H28" s="70">
        <v>46307.91980549769</v>
      </c>
      <c r="I28" s="19" t="s">
        <v>43</v>
      </c>
    </row>
    <row r="29" ht="15.75" customHeight="1">
      <c r="A29" s="53" t="s">
        <v>438</v>
      </c>
      <c r="B29" s="53" t="s">
        <v>371</v>
      </c>
      <c r="C29" s="55">
        <v>46275.33333333333</v>
      </c>
      <c r="D29" s="53" t="s">
        <v>74</v>
      </c>
      <c r="E29" s="53" t="s">
        <v>242</v>
      </c>
      <c r="F29" s="53" t="s">
        <v>43</v>
      </c>
      <c r="G29" s="53" t="s">
        <v>361</v>
      </c>
      <c r="H29" s="70">
        <v>46307.91980549769</v>
      </c>
      <c r="I29" s="19" t="s">
        <v>43</v>
      </c>
    </row>
    <row r="30" ht="15.75" customHeight="1">
      <c r="A30" s="53" t="s">
        <v>439</v>
      </c>
      <c r="B30" s="53" t="s">
        <v>371</v>
      </c>
      <c r="C30" s="55">
        <v>46275.33333333333</v>
      </c>
      <c r="D30" s="53" t="s">
        <v>74</v>
      </c>
      <c r="E30" s="53" t="s">
        <v>245</v>
      </c>
      <c r="F30" s="53" t="s">
        <v>43</v>
      </c>
      <c r="G30" s="53" t="s">
        <v>361</v>
      </c>
      <c r="H30" s="70">
        <v>46307.91980549769</v>
      </c>
      <c r="I30" s="19" t="s">
        <v>43</v>
      </c>
    </row>
    <row r="31" ht="15.75" customHeight="1">
      <c r="A31" s="53" t="s">
        <v>440</v>
      </c>
      <c r="B31" s="53" t="s">
        <v>371</v>
      </c>
      <c r="C31" s="55">
        <v>46275.33333333333</v>
      </c>
      <c r="D31" s="53" t="s">
        <v>74</v>
      </c>
      <c r="E31" s="53" t="s">
        <v>247</v>
      </c>
      <c r="F31" s="53" t="s">
        <v>43</v>
      </c>
      <c r="G31" s="53" t="s">
        <v>361</v>
      </c>
      <c r="H31" s="70">
        <v>46307.91980549769</v>
      </c>
      <c r="I31" s="19" t="s">
        <v>43</v>
      </c>
    </row>
    <row r="32" ht="15.75" customHeight="1">
      <c r="A32" s="53" t="s">
        <v>441</v>
      </c>
      <c r="B32" s="53" t="s">
        <v>371</v>
      </c>
      <c r="C32" s="55">
        <v>46275.33333333333</v>
      </c>
      <c r="D32" s="53" t="s">
        <v>74</v>
      </c>
      <c r="E32" s="53" t="s">
        <v>248</v>
      </c>
      <c r="F32" s="53" t="s">
        <v>43</v>
      </c>
      <c r="G32" s="53" t="s">
        <v>361</v>
      </c>
      <c r="H32" s="70">
        <v>46307.91980549769</v>
      </c>
      <c r="I32" s="19" t="s">
        <v>43</v>
      </c>
    </row>
    <row r="33" ht="15.75" customHeight="1">
      <c r="A33" s="53" t="s">
        <v>442</v>
      </c>
      <c r="B33" s="53" t="s">
        <v>371</v>
      </c>
      <c r="C33" s="55">
        <v>46275.33333333333</v>
      </c>
      <c r="D33" s="53" t="s">
        <v>74</v>
      </c>
      <c r="E33" s="53" t="s">
        <v>81</v>
      </c>
      <c r="F33" s="53" t="s">
        <v>43</v>
      </c>
      <c r="G33" s="53" t="s">
        <v>361</v>
      </c>
      <c r="H33" s="70">
        <v>46307.91980549769</v>
      </c>
      <c r="I33" s="19" t="s">
        <v>43</v>
      </c>
    </row>
    <row r="34" ht="15.75" customHeight="1">
      <c r="A34" s="53" t="s">
        <v>443</v>
      </c>
      <c r="B34" s="53" t="s">
        <v>371</v>
      </c>
      <c r="C34" s="55">
        <v>46275.33333333333</v>
      </c>
      <c r="D34" s="53" t="s">
        <v>74</v>
      </c>
      <c r="E34" s="53" t="s">
        <v>249</v>
      </c>
      <c r="F34" s="53" t="s">
        <v>43</v>
      </c>
      <c r="G34" s="53" t="s">
        <v>361</v>
      </c>
      <c r="H34" s="70">
        <v>46307.91980549769</v>
      </c>
      <c r="I34" s="19" t="s">
        <v>43</v>
      </c>
    </row>
    <row r="35" ht="15.75" customHeight="1">
      <c r="A35" s="53" t="s">
        <v>444</v>
      </c>
      <c r="B35" s="53" t="s">
        <v>371</v>
      </c>
      <c r="C35" s="55">
        <v>46275.33333333333</v>
      </c>
      <c r="D35" s="53" t="s">
        <v>74</v>
      </c>
      <c r="E35" s="53" t="s">
        <v>90</v>
      </c>
      <c r="F35" s="53" t="s">
        <v>43</v>
      </c>
      <c r="G35" s="53" t="s">
        <v>361</v>
      </c>
      <c r="H35" s="70">
        <v>46307.91980549769</v>
      </c>
      <c r="I35" s="19" t="s">
        <v>43</v>
      </c>
    </row>
    <row r="36" ht="15.75" customHeight="1">
      <c r="A36" s="53" t="s">
        <v>445</v>
      </c>
      <c r="B36" s="53" t="s">
        <v>371</v>
      </c>
      <c r="C36" s="55">
        <v>46275.33333333333</v>
      </c>
      <c r="D36" s="53" t="s">
        <v>74</v>
      </c>
      <c r="E36" s="53" t="s">
        <v>252</v>
      </c>
      <c r="F36" s="53" t="s">
        <v>43</v>
      </c>
      <c r="G36" s="53" t="s">
        <v>361</v>
      </c>
      <c r="H36" s="70">
        <v>46307.91980549769</v>
      </c>
      <c r="I36" s="19" t="s">
        <v>43</v>
      </c>
    </row>
    <row r="37" ht="15.75" customHeight="1">
      <c r="A37" s="53" t="s">
        <v>446</v>
      </c>
      <c r="B37" s="53" t="s">
        <v>371</v>
      </c>
      <c r="C37" s="55">
        <v>46275.33333333333</v>
      </c>
      <c r="D37" s="53" t="s">
        <v>74</v>
      </c>
      <c r="E37" s="53" t="s">
        <v>253</v>
      </c>
      <c r="F37" s="53" t="s">
        <v>43</v>
      </c>
      <c r="G37" s="53" t="s">
        <v>361</v>
      </c>
      <c r="H37" s="70">
        <v>46307.91980549769</v>
      </c>
      <c r="I37" s="19" t="s">
        <v>43</v>
      </c>
    </row>
    <row r="38" ht="15.75" customHeight="1">
      <c r="A38" s="53" t="s">
        <v>447</v>
      </c>
      <c r="B38" s="53" t="s">
        <v>371</v>
      </c>
      <c r="C38" s="55">
        <v>46275.33333333333</v>
      </c>
      <c r="D38" s="53" t="s">
        <v>74</v>
      </c>
      <c r="E38" s="53" t="s">
        <v>254</v>
      </c>
      <c r="F38" s="53" t="s">
        <v>43</v>
      </c>
      <c r="G38" s="53" t="s">
        <v>361</v>
      </c>
      <c r="H38" s="70">
        <v>46307.91980549769</v>
      </c>
      <c r="I38" s="19" t="s">
        <v>43</v>
      </c>
    </row>
    <row r="39" ht="15.75" customHeight="1">
      <c r="A39" s="53" t="s">
        <v>448</v>
      </c>
      <c r="B39" s="53" t="s">
        <v>371</v>
      </c>
      <c r="C39" s="55">
        <v>46275.33333333333</v>
      </c>
      <c r="D39" s="53" t="s">
        <v>74</v>
      </c>
      <c r="E39" s="53" t="s">
        <v>95</v>
      </c>
      <c r="F39" s="53" t="s">
        <v>43</v>
      </c>
      <c r="G39" s="53" t="s">
        <v>361</v>
      </c>
      <c r="H39" s="70">
        <v>46307.91980549769</v>
      </c>
      <c r="I39" s="19" t="s">
        <v>43</v>
      </c>
    </row>
    <row r="40" ht="15.75" customHeight="1">
      <c r="A40" s="53" t="s">
        <v>449</v>
      </c>
      <c r="B40" s="53" t="s">
        <v>371</v>
      </c>
      <c r="C40" s="55">
        <v>46275.33333333333</v>
      </c>
      <c r="D40" s="53" t="s">
        <v>74</v>
      </c>
      <c r="E40" s="53" t="s">
        <v>92</v>
      </c>
      <c r="F40" s="53" t="s">
        <v>43</v>
      </c>
      <c r="G40" s="53" t="s">
        <v>361</v>
      </c>
      <c r="H40" s="70">
        <v>46307.91980549769</v>
      </c>
      <c r="I40" s="19" t="s">
        <v>43</v>
      </c>
    </row>
    <row r="41" ht="15.75" customHeight="1">
      <c r="A41" s="53" t="s">
        <v>450</v>
      </c>
      <c r="B41" s="53" t="s">
        <v>371</v>
      </c>
      <c r="C41" s="55">
        <v>46275.33333333333</v>
      </c>
      <c r="D41" s="53" t="s">
        <v>74</v>
      </c>
      <c r="E41" s="53" t="s">
        <v>256</v>
      </c>
      <c r="F41" s="53" t="s">
        <v>43</v>
      </c>
      <c r="G41" s="53" t="s">
        <v>361</v>
      </c>
      <c r="H41" s="70">
        <v>46307.91980549769</v>
      </c>
      <c r="I41" s="19" t="s">
        <v>43</v>
      </c>
    </row>
    <row r="42" ht="15.75" customHeight="1">
      <c r="A42" s="53" t="s">
        <v>451</v>
      </c>
      <c r="B42" s="53" t="s">
        <v>371</v>
      </c>
      <c r="C42" s="55">
        <v>46275.33333333333</v>
      </c>
      <c r="D42" s="53" t="s">
        <v>74</v>
      </c>
      <c r="E42" s="53" t="s">
        <v>257</v>
      </c>
      <c r="F42" s="53" t="s">
        <v>43</v>
      </c>
      <c r="G42" s="53" t="s">
        <v>361</v>
      </c>
      <c r="H42" s="70">
        <v>46307.91980549769</v>
      </c>
      <c r="I42" s="19" t="s">
        <v>43</v>
      </c>
    </row>
    <row r="43" ht="15.75" customHeight="1">
      <c r="A43" s="53" t="s">
        <v>452</v>
      </c>
      <c r="B43" s="53" t="s">
        <v>371</v>
      </c>
      <c r="C43" s="55">
        <v>46275.33333333333</v>
      </c>
      <c r="D43" s="53" t="s">
        <v>74</v>
      </c>
      <c r="E43" s="53" t="s">
        <v>99</v>
      </c>
      <c r="F43" s="53" t="s">
        <v>43</v>
      </c>
      <c r="G43" s="53" t="s">
        <v>361</v>
      </c>
      <c r="H43" s="70">
        <v>46307.91980549769</v>
      </c>
      <c r="I43" s="19" t="s">
        <v>43</v>
      </c>
    </row>
    <row r="44" ht="15.75" customHeight="1">
      <c r="A44" s="53" t="s">
        <v>453</v>
      </c>
      <c r="B44" s="53" t="s">
        <v>371</v>
      </c>
      <c r="C44" s="55">
        <v>46275.33333333333</v>
      </c>
      <c r="D44" s="53" t="s">
        <v>74</v>
      </c>
      <c r="E44" s="53" t="s">
        <v>259</v>
      </c>
      <c r="F44" s="53" t="s">
        <v>43</v>
      </c>
      <c r="G44" s="53" t="s">
        <v>361</v>
      </c>
      <c r="H44" s="70">
        <v>46307.91980549769</v>
      </c>
      <c r="I44" s="19" t="s">
        <v>43</v>
      </c>
    </row>
    <row r="45" ht="15.75" customHeight="1">
      <c r="A45" s="53" t="s">
        <v>454</v>
      </c>
      <c r="B45" s="53" t="s">
        <v>371</v>
      </c>
      <c r="C45" s="55">
        <v>46275.33333333333</v>
      </c>
      <c r="D45" s="53" t="s">
        <v>74</v>
      </c>
      <c r="E45" s="53" t="s">
        <v>261</v>
      </c>
      <c r="F45" s="53" t="s">
        <v>43</v>
      </c>
      <c r="G45" s="53" t="s">
        <v>361</v>
      </c>
      <c r="H45" s="70">
        <v>46307.91980549769</v>
      </c>
      <c r="I45" s="19" t="s">
        <v>43</v>
      </c>
    </row>
    <row r="46" ht="15.75" customHeight="1">
      <c r="A46" s="53" t="s">
        <v>455</v>
      </c>
      <c r="B46" s="53" t="s">
        <v>371</v>
      </c>
      <c r="C46" s="55">
        <v>46275.33333333333</v>
      </c>
      <c r="D46" s="53" t="s">
        <v>74</v>
      </c>
      <c r="E46" s="53" t="s">
        <v>265</v>
      </c>
      <c r="F46" s="53" t="s">
        <v>43</v>
      </c>
      <c r="G46" s="53" t="s">
        <v>361</v>
      </c>
      <c r="H46" s="70">
        <v>46307.91980549769</v>
      </c>
      <c r="I46" s="19" t="s">
        <v>43</v>
      </c>
    </row>
    <row r="47" ht="15.75" customHeight="1">
      <c r="A47" s="53" t="s">
        <v>456</v>
      </c>
      <c r="B47" s="53" t="s">
        <v>371</v>
      </c>
      <c r="C47" s="55">
        <v>46275.33333333333</v>
      </c>
      <c r="D47" s="53" t="s">
        <v>74</v>
      </c>
      <c r="E47" s="53" t="s">
        <v>266</v>
      </c>
      <c r="F47" s="53" t="s">
        <v>43</v>
      </c>
      <c r="G47" s="53" t="s">
        <v>361</v>
      </c>
      <c r="H47" s="70">
        <v>46307.91980549769</v>
      </c>
      <c r="I47" s="19" t="s">
        <v>43</v>
      </c>
    </row>
    <row r="48" ht="15.75" customHeight="1">
      <c r="A48" s="53" t="s">
        <v>457</v>
      </c>
      <c r="B48" s="53" t="s">
        <v>371</v>
      </c>
      <c r="C48" s="55">
        <v>46275.33333333333</v>
      </c>
      <c r="D48" s="53" t="s">
        <v>74</v>
      </c>
      <c r="E48" s="53" t="s">
        <v>267</v>
      </c>
      <c r="F48" s="53" t="s">
        <v>43</v>
      </c>
      <c r="G48" s="53" t="s">
        <v>361</v>
      </c>
      <c r="H48" s="70">
        <v>46307.91980549769</v>
      </c>
      <c r="I48" s="19" t="s">
        <v>43</v>
      </c>
    </row>
    <row r="49" ht="15.75" customHeight="1">
      <c r="A49" s="53" t="s">
        <v>458</v>
      </c>
      <c r="B49" s="53" t="s">
        <v>372</v>
      </c>
      <c r="C49" s="55">
        <v>46276.0</v>
      </c>
      <c r="D49" s="53" t="s">
        <v>373</v>
      </c>
      <c r="E49" s="53" t="s">
        <v>271</v>
      </c>
      <c r="F49" s="53" t="s">
        <v>44</v>
      </c>
      <c r="G49" s="53" t="s">
        <v>374</v>
      </c>
      <c r="H49" s="70">
        <v>46307.91980549769</v>
      </c>
      <c r="I49" s="19" t="s">
        <v>44</v>
      </c>
    </row>
    <row r="50" ht="15.75" customHeight="1">
      <c r="A50" s="53" t="s">
        <v>459</v>
      </c>
      <c r="B50" s="53" t="s">
        <v>372</v>
      </c>
      <c r="C50" s="55">
        <v>46276.0</v>
      </c>
      <c r="D50" s="53" t="s">
        <v>373</v>
      </c>
      <c r="E50" s="53" t="s">
        <v>272</v>
      </c>
      <c r="F50" s="53" t="s">
        <v>44</v>
      </c>
      <c r="G50" s="53" t="s">
        <v>374</v>
      </c>
      <c r="H50" s="70">
        <v>46307.91980549769</v>
      </c>
      <c r="I50" s="19" t="s">
        <v>44</v>
      </c>
    </row>
    <row r="51" ht="15.75" customHeight="1">
      <c r="A51" s="53" t="s">
        <v>460</v>
      </c>
      <c r="B51" s="53" t="s">
        <v>372</v>
      </c>
      <c r="C51" s="55">
        <v>46276.0</v>
      </c>
      <c r="D51" s="53" t="s">
        <v>373</v>
      </c>
      <c r="E51" s="53" t="s">
        <v>275</v>
      </c>
      <c r="F51" s="53" t="s">
        <v>44</v>
      </c>
      <c r="G51" s="53" t="s">
        <v>374</v>
      </c>
      <c r="H51" s="70">
        <v>46307.91980549769</v>
      </c>
      <c r="I51" s="19" t="s">
        <v>44</v>
      </c>
    </row>
    <row r="52" ht="15.75" customHeight="1">
      <c r="A52" s="53" t="s">
        <v>461</v>
      </c>
      <c r="B52" s="53" t="s">
        <v>372</v>
      </c>
      <c r="C52" s="55">
        <v>46276.0</v>
      </c>
      <c r="D52" s="53" t="s">
        <v>373</v>
      </c>
      <c r="E52" s="53" t="s">
        <v>278</v>
      </c>
      <c r="F52" s="53" t="s">
        <v>44</v>
      </c>
      <c r="G52" s="53" t="s">
        <v>374</v>
      </c>
      <c r="H52" s="70">
        <v>46307.91980549769</v>
      </c>
      <c r="I52" s="19" t="s">
        <v>44</v>
      </c>
    </row>
    <row r="53" ht="15.75" customHeight="1">
      <c r="A53" s="53" t="s">
        <v>462</v>
      </c>
      <c r="B53" s="53" t="s">
        <v>372</v>
      </c>
      <c r="C53" s="55">
        <v>46276.0</v>
      </c>
      <c r="D53" s="53" t="s">
        <v>373</v>
      </c>
      <c r="E53" s="53" t="s">
        <v>280</v>
      </c>
      <c r="F53" s="53" t="s">
        <v>44</v>
      </c>
      <c r="G53" s="53" t="s">
        <v>374</v>
      </c>
      <c r="H53" s="70">
        <v>46307.91980549769</v>
      </c>
      <c r="I53" s="19" t="s">
        <v>44</v>
      </c>
    </row>
    <row r="54" ht="15.75" customHeight="1">
      <c r="A54" s="53" t="s">
        <v>463</v>
      </c>
      <c r="B54" s="53" t="s">
        <v>372</v>
      </c>
      <c r="C54" s="55">
        <v>46276.0</v>
      </c>
      <c r="D54" s="53" t="s">
        <v>373</v>
      </c>
      <c r="E54" s="53" t="s">
        <v>282</v>
      </c>
      <c r="F54" s="53" t="s">
        <v>44</v>
      </c>
      <c r="G54" s="53" t="s">
        <v>374</v>
      </c>
      <c r="H54" s="70">
        <v>46307.91980549769</v>
      </c>
      <c r="I54" s="19" t="s">
        <v>44</v>
      </c>
    </row>
    <row r="55" ht="15.75" customHeight="1">
      <c r="A55" s="53" t="s">
        <v>464</v>
      </c>
      <c r="B55" s="53" t="s">
        <v>372</v>
      </c>
      <c r="C55" s="55">
        <v>46276.0</v>
      </c>
      <c r="D55" s="53" t="s">
        <v>373</v>
      </c>
      <c r="E55" s="53" t="s">
        <v>283</v>
      </c>
      <c r="F55" s="53" t="s">
        <v>44</v>
      </c>
      <c r="G55" s="53" t="s">
        <v>374</v>
      </c>
      <c r="H55" s="70">
        <v>46307.91980549769</v>
      </c>
      <c r="I55" s="19" t="s">
        <v>44</v>
      </c>
    </row>
    <row r="56" ht="15.75" customHeight="1">
      <c r="A56" s="53" t="s">
        <v>465</v>
      </c>
      <c r="B56" s="53" t="s">
        <v>372</v>
      </c>
      <c r="C56" s="55">
        <v>46276.0</v>
      </c>
      <c r="D56" s="53" t="s">
        <v>373</v>
      </c>
      <c r="E56" s="53" t="s">
        <v>284</v>
      </c>
      <c r="F56" s="53" t="s">
        <v>44</v>
      </c>
      <c r="G56" s="53" t="s">
        <v>374</v>
      </c>
      <c r="H56" s="70">
        <v>46307.91980549769</v>
      </c>
      <c r="I56" s="19" t="s">
        <v>44</v>
      </c>
    </row>
    <row r="57" ht="15.75" customHeight="1">
      <c r="A57" s="53" t="s">
        <v>466</v>
      </c>
      <c r="B57" s="53" t="s">
        <v>372</v>
      </c>
      <c r="C57" s="55">
        <v>46276.0</v>
      </c>
      <c r="D57" s="53" t="s">
        <v>373</v>
      </c>
      <c r="E57" s="53" t="s">
        <v>286</v>
      </c>
      <c r="F57" s="53" t="s">
        <v>44</v>
      </c>
      <c r="G57" s="53" t="s">
        <v>374</v>
      </c>
      <c r="H57" s="70">
        <v>46307.91980549769</v>
      </c>
      <c r="I57" s="19" t="s">
        <v>44</v>
      </c>
    </row>
    <row r="58" ht="15.75" customHeight="1">
      <c r="A58" s="53" t="s">
        <v>467</v>
      </c>
      <c r="B58" s="53" t="s">
        <v>372</v>
      </c>
      <c r="C58" s="55">
        <v>46276.0</v>
      </c>
      <c r="D58" s="53" t="s">
        <v>373</v>
      </c>
      <c r="E58" s="53" t="s">
        <v>288</v>
      </c>
      <c r="F58" s="53" t="s">
        <v>44</v>
      </c>
      <c r="G58" s="53" t="s">
        <v>374</v>
      </c>
      <c r="H58" s="70">
        <v>46307.91980549769</v>
      </c>
      <c r="I58" s="19" t="s">
        <v>44</v>
      </c>
    </row>
    <row r="59" ht="15.75" customHeight="1">
      <c r="A59" s="53" t="s">
        <v>468</v>
      </c>
      <c r="B59" s="53" t="s">
        <v>372</v>
      </c>
      <c r="C59" s="55">
        <v>46276.0</v>
      </c>
      <c r="D59" s="53" t="s">
        <v>373</v>
      </c>
      <c r="E59" s="53" t="s">
        <v>289</v>
      </c>
      <c r="F59" s="53" t="s">
        <v>44</v>
      </c>
      <c r="G59" s="53" t="s">
        <v>374</v>
      </c>
      <c r="H59" s="70">
        <v>46307.91980549769</v>
      </c>
      <c r="I59" s="19" t="s">
        <v>44</v>
      </c>
    </row>
    <row r="60" ht="15.75" customHeight="1">
      <c r="A60" s="53" t="s">
        <v>469</v>
      </c>
      <c r="B60" s="53" t="s">
        <v>372</v>
      </c>
      <c r="C60" s="55">
        <v>46276.0</v>
      </c>
      <c r="D60" s="53" t="s">
        <v>373</v>
      </c>
      <c r="E60" s="53" t="s">
        <v>291</v>
      </c>
      <c r="F60" s="53" t="s">
        <v>44</v>
      </c>
      <c r="G60" s="53" t="s">
        <v>374</v>
      </c>
      <c r="H60" s="70">
        <v>46307.91980549769</v>
      </c>
      <c r="I60" s="19" t="s">
        <v>44</v>
      </c>
    </row>
    <row r="61" ht="15.75" customHeight="1">
      <c r="A61" s="53" t="s">
        <v>470</v>
      </c>
      <c r="B61" s="53" t="s">
        <v>372</v>
      </c>
      <c r="C61" s="55">
        <v>46276.0</v>
      </c>
      <c r="D61" s="53" t="s">
        <v>373</v>
      </c>
      <c r="E61" s="53" t="s">
        <v>292</v>
      </c>
      <c r="F61" s="53" t="s">
        <v>44</v>
      </c>
      <c r="G61" s="53" t="s">
        <v>374</v>
      </c>
      <c r="H61" s="70">
        <v>46307.91980549769</v>
      </c>
      <c r="I61" s="19" t="s">
        <v>44</v>
      </c>
    </row>
    <row r="62" ht="15.75" customHeight="1">
      <c r="A62" s="53" t="s">
        <v>471</v>
      </c>
      <c r="B62" s="53" t="s">
        <v>372</v>
      </c>
      <c r="C62" s="55">
        <v>46276.0</v>
      </c>
      <c r="D62" s="53" t="s">
        <v>373</v>
      </c>
      <c r="E62" s="53" t="s">
        <v>293</v>
      </c>
      <c r="F62" s="53" t="s">
        <v>44</v>
      </c>
      <c r="G62" s="53" t="s">
        <v>374</v>
      </c>
      <c r="H62" s="70">
        <v>46307.91980549769</v>
      </c>
      <c r="I62" s="19" t="s">
        <v>44</v>
      </c>
    </row>
    <row r="63" ht="15.75" customHeight="1">
      <c r="A63" s="53" t="s">
        <v>472</v>
      </c>
      <c r="B63" s="53" t="s">
        <v>372</v>
      </c>
      <c r="C63" s="55">
        <v>46276.0</v>
      </c>
      <c r="D63" s="53" t="s">
        <v>373</v>
      </c>
      <c r="E63" s="53" t="s">
        <v>294</v>
      </c>
      <c r="F63" s="53" t="s">
        <v>44</v>
      </c>
      <c r="G63" s="53" t="s">
        <v>374</v>
      </c>
      <c r="H63" s="70">
        <v>46307.91980549769</v>
      </c>
      <c r="I63" s="19" t="s">
        <v>44</v>
      </c>
    </row>
    <row r="64" ht="15.75" customHeight="1">
      <c r="A64" s="53" t="s">
        <v>473</v>
      </c>
      <c r="B64" s="53" t="s">
        <v>372</v>
      </c>
      <c r="C64" s="55">
        <v>46276.0</v>
      </c>
      <c r="D64" s="53" t="s">
        <v>373</v>
      </c>
      <c r="E64" s="53" t="s">
        <v>296</v>
      </c>
      <c r="F64" s="53" t="s">
        <v>44</v>
      </c>
      <c r="G64" s="53" t="s">
        <v>374</v>
      </c>
      <c r="H64" s="70">
        <v>46307.91980549769</v>
      </c>
      <c r="I64" s="19" t="s">
        <v>44</v>
      </c>
    </row>
    <row r="65" ht="15.75" customHeight="1">
      <c r="A65" s="53" t="s">
        <v>474</v>
      </c>
      <c r="B65" s="53" t="s">
        <v>372</v>
      </c>
      <c r="C65" s="55">
        <v>46276.0</v>
      </c>
      <c r="D65" s="53" t="s">
        <v>373</v>
      </c>
      <c r="E65" s="53" t="s">
        <v>297</v>
      </c>
      <c r="F65" s="53" t="s">
        <v>44</v>
      </c>
      <c r="G65" s="53" t="s">
        <v>374</v>
      </c>
      <c r="H65" s="70">
        <v>46307.91980549769</v>
      </c>
      <c r="I65" s="19" t="s">
        <v>44</v>
      </c>
    </row>
    <row r="66" ht="15.75" customHeight="1">
      <c r="A66" s="53" t="s">
        <v>475</v>
      </c>
      <c r="B66" s="53" t="s">
        <v>372</v>
      </c>
      <c r="C66" s="55">
        <v>46276.0</v>
      </c>
      <c r="D66" s="53" t="s">
        <v>373</v>
      </c>
      <c r="E66" s="53" t="s">
        <v>299</v>
      </c>
      <c r="F66" s="53" t="s">
        <v>44</v>
      </c>
      <c r="G66" s="53" t="s">
        <v>374</v>
      </c>
      <c r="H66" s="70">
        <v>46307.91980549769</v>
      </c>
      <c r="I66" s="19" t="s">
        <v>44</v>
      </c>
    </row>
    <row r="67" ht="15.75" customHeight="1">
      <c r="A67" s="53" t="s">
        <v>476</v>
      </c>
      <c r="B67" s="53" t="s">
        <v>372</v>
      </c>
      <c r="C67" s="55">
        <v>46276.0</v>
      </c>
      <c r="D67" s="53" t="s">
        <v>373</v>
      </c>
      <c r="E67" s="53" t="s">
        <v>300</v>
      </c>
      <c r="F67" s="53" t="s">
        <v>44</v>
      </c>
      <c r="G67" s="53" t="s">
        <v>374</v>
      </c>
      <c r="H67" s="70">
        <v>46307.91980549769</v>
      </c>
      <c r="I67" s="19" t="s">
        <v>44</v>
      </c>
    </row>
    <row r="68" ht="15.75" customHeight="1">
      <c r="A68" s="53" t="s">
        <v>477</v>
      </c>
      <c r="B68" s="53" t="s">
        <v>372</v>
      </c>
      <c r="C68" s="55">
        <v>46276.0</v>
      </c>
      <c r="D68" s="53" t="s">
        <v>373</v>
      </c>
      <c r="E68" s="53" t="s">
        <v>302</v>
      </c>
      <c r="F68" s="53" t="s">
        <v>44</v>
      </c>
      <c r="G68" s="53" t="s">
        <v>374</v>
      </c>
      <c r="H68" s="70">
        <v>46307.91980549769</v>
      </c>
      <c r="I68" s="19" t="s">
        <v>44</v>
      </c>
    </row>
    <row r="69" ht="15.75" customHeight="1">
      <c r="A69" s="53" t="s">
        <v>478</v>
      </c>
      <c r="B69" s="53" t="s">
        <v>372</v>
      </c>
      <c r="C69" s="55">
        <v>46276.0</v>
      </c>
      <c r="D69" s="53" t="s">
        <v>373</v>
      </c>
      <c r="E69" s="53" t="s">
        <v>303</v>
      </c>
      <c r="F69" s="53" t="s">
        <v>44</v>
      </c>
      <c r="G69" s="53" t="s">
        <v>374</v>
      </c>
      <c r="H69" s="70">
        <v>46307.91980549769</v>
      </c>
      <c r="I69" s="19" t="s">
        <v>44</v>
      </c>
    </row>
    <row r="70" ht="15.75" customHeight="1">
      <c r="A70" s="53" t="s">
        <v>479</v>
      </c>
      <c r="B70" s="53" t="s">
        <v>375</v>
      </c>
      <c r="C70" s="55">
        <v>46275.0</v>
      </c>
      <c r="D70" s="53" t="s">
        <v>376</v>
      </c>
      <c r="E70" s="53" t="s">
        <v>105</v>
      </c>
      <c r="F70" s="53" t="s">
        <v>41</v>
      </c>
      <c r="G70" s="53" t="s">
        <v>377</v>
      </c>
      <c r="H70" s="70">
        <v>46307.91980549769</v>
      </c>
      <c r="I70" s="19" t="s">
        <v>41</v>
      </c>
    </row>
    <row r="71" ht="15.75" customHeight="1">
      <c r="A71" s="53" t="s">
        <v>480</v>
      </c>
      <c r="B71" s="53" t="s">
        <v>375</v>
      </c>
      <c r="C71" s="55">
        <v>46275.0</v>
      </c>
      <c r="D71" s="53" t="s">
        <v>376</v>
      </c>
      <c r="E71" s="53" t="s">
        <v>106</v>
      </c>
      <c r="F71" s="53" t="s">
        <v>41</v>
      </c>
      <c r="G71" s="53" t="s">
        <v>377</v>
      </c>
      <c r="H71" s="70">
        <v>46307.91980549769</v>
      </c>
      <c r="I71" s="19" t="s">
        <v>41</v>
      </c>
    </row>
    <row r="72" ht="15.75" customHeight="1">
      <c r="A72" s="53" t="s">
        <v>481</v>
      </c>
      <c r="B72" s="53" t="s">
        <v>375</v>
      </c>
      <c r="C72" s="55">
        <v>46275.0</v>
      </c>
      <c r="D72" s="53" t="s">
        <v>376</v>
      </c>
      <c r="E72" s="53" t="s">
        <v>107</v>
      </c>
      <c r="F72" s="53" t="s">
        <v>41</v>
      </c>
      <c r="G72" s="53" t="s">
        <v>377</v>
      </c>
      <c r="H72" s="70">
        <v>46307.91980549769</v>
      </c>
      <c r="I72" s="19" t="s">
        <v>41</v>
      </c>
    </row>
    <row r="73" ht="15.75" customHeight="1">
      <c r="A73" s="53" t="s">
        <v>482</v>
      </c>
      <c r="B73" s="53" t="s">
        <v>375</v>
      </c>
      <c r="C73" s="55">
        <v>46275.0</v>
      </c>
      <c r="D73" s="53" t="s">
        <v>376</v>
      </c>
      <c r="E73" s="53" t="s">
        <v>108</v>
      </c>
      <c r="F73" s="53" t="s">
        <v>41</v>
      </c>
      <c r="G73" s="53" t="s">
        <v>377</v>
      </c>
      <c r="H73" s="70">
        <v>46307.91980549769</v>
      </c>
      <c r="I73" s="19" t="s">
        <v>41</v>
      </c>
    </row>
    <row r="74" ht="15.75" customHeight="1">
      <c r="A74" s="53" t="s">
        <v>483</v>
      </c>
      <c r="B74" s="53" t="s">
        <v>375</v>
      </c>
      <c r="C74" s="55">
        <v>46275.0</v>
      </c>
      <c r="D74" s="53" t="s">
        <v>376</v>
      </c>
      <c r="E74" s="53" t="s">
        <v>110</v>
      </c>
      <c r="F74" s="53" t="s">
        <v>41</v>
      </c>
      <c r="G74" s="53" t="s">
        <v>377</v>
      </c>
      <c r="H74" s="70">
        <v>46307.91980549769</v>
      </c>
      <c r="I74" s="19" t="s">
        <v>41</v>
      </c>
    </row>
    <row r="75" ht="15.75" customHeight="1">
      <c r="A75" s="53" t="s">
        <v>484</v>
      </c>
      <c r="B75" s="53" t="s">
        <v>375</v>
      </c>
      <c r="C75" s="55">
        <v>46275.0</v>
      </c>
      <c r="D75" s="53" t="s">
        <v>376</v>
      </c>
      <c r="E75" s="53" t="s">
        <v>120</v>
      </c>
      <c r="F75" s="53" t="s">
        <v>41</v>
      </c>
      <c r="G75" s="53" t="s">
        <v>377</v>
      </c>
      <c r="H75" s="70">
        <v>46307.91980549769</v>
      </c>
      <c r="I75" s="19" t="s">
        <v>41</v>
      </c>
    </row>
    <row r="76" ht="15.75" customHeight="1">
      <c r="A76" s="53" t="s">
        <v>485</v>
      </c>
      <c r="B76" s="53" t="s">
        <v>375</v>
      </c>
      <c r="C76" s="55">
        <v>46275.0</v>
      </c>
      <c r="D76" s="53" t="s">
        <v>376</v>
      </c>
      <c r="E76" s="53" t="s">
        <v>123</v>
      </c>
      <c r="F76" s="53" t="s">
        <v>41</v>
      </c>
      <c r="G76" s="53" t="s">
        <v>377</v>
      </c>
      <c r="H76" s="70">
        <v>46307.91980549769</v>
      </c>
      <c r="I76" s="19" t="s">
        <v>41</v>
      </c>
    </row>
    <row r="77" ht="15.75" customHeight="1">
      <c r="A77" s="53" t="s">
        <v>486</v>
      </c>
      <c r="B77" s="53" t="s">
        <v>375</v>
      </c>
      <c r="C77" s="55">
        <v>46275.0</v>
      </c>
      <c r="D77" s="53" t="s">
        <v>376</v>
      </c>
      <c r="E77" s="53" t="s">
        <v>124</v>
      </c>
      <c r="F77" s="53" t="s">
        <v>41</v>
      </c>
      <c r="G77" s="53" t="s">
        <v>377</v>
      </c>
      <c r="H77" s="70">
        <v>46307.91980549769</v>
      </c>
      <c r="I77" s="19" t="s">
        <v>41</v>
      </c>
    </row>
    <row r="78" ht="15.75" customHeight="1">
      <c r="A78" s="53" t="s">
        <v>487</v>
      </c>
      <c r="B78" s="53" t="s">
        <v>375</v>
      </c>
      <c r="C78" s="55">
        <v>46275.0</v>
      </c>
      <c r="D78" s="53" t="s">
        <v>376</v>
      </c>
      <c r="E78" s="53" t="s">
        <v>126</v>
      </c>
      <c r="F78" s="53" t="s">
        <v>41</v>
      </c>
      <c r="G78" s="53" t="s">
        <v>377</v>
      </c>
      <c r="H78" s="70">
        <v>46307.91980549769</v>
      </c>
      <c r="I78" s="19" t="s">
        <v>41</v>
      </c>
    </row>
    <row r="79" ht="15.75" customHeight="1">
      <c r="A79" s="53" t="s">
        <v>488</v>
      </c>
      <c r="B79" s="53" t="s">
        <v>375</v>
      </c>
      <c r="C79" s="55">
        <v>46275.0</v>
      </c>
      <c r="D79" s="53" t="s">
        <v>376</v>
      </c>
      <c r="E79" s="53" t="s">
        <v>133</v>
      </c>
      <c r="F79" s="53" t="s">
        <v>41</v>
      </c>
      <c r="G79" s="53" t="s">
        <v>377</v>
      </c>
      <c r="H79" s="70">
        <v>46307.91980549769</v>
      </c>
      <c r="I79" s="19" t="s">
        <v>41</v>
      </c>
    </row>
    <row r="80" ht="15.75" customHeight="1">
      <c r="A80" s="53" t="s">
        <v>489</v>
      </c>
      <c r="B80" s="53" t="s">
        <v>375</v>
      </c>
      <c r="C80" s="55">
        <v>46275.0</v>
      </c>
      <c r="D80" s="53" t="s">
        <v>376</v>
      </c>
      <c r="E80" s="53" t="s">
        <v>135</v>
      </c>
      <c r="F80" s="53" t="s">
        <v>41</v>
      </c>
      <c r="G80" s="53" t="s">
        <v>377</v>
      </c>
      <c r="H80" s="70">
        <v>46307.91980549769</v>
      </c>
      <c r="I80" s="19" t="s">
        <v>41</v>
      </c>
    </row>
    <row r="81" ht="15.75" customHeight="1">
      <c r="A81" s="53" t="s">
        <v>490</v>
      </c>
      <c r="B81" s="53" t="s">
        <v>375</v>
      </c>
      <c r="C81" s="55">
        <v>46275.0</v>
      </c>
      <c r="D81" s="53" t="s">
        <v>376</v>
      </c>
      <c r="E81" s="53" t="s">
        <v>138</v>
      </c>
      <c r="F81" s="53" t="s">
        <v>41</v>
      </c>
      <c r="G81" s="53" t="s">
        <v>377</v>
      </c>
      <c r="H81" s="70">
        <v>46307.91980549769</v>
      </c>
      <c r="I81" s="19" t="s">
        <v>41</v>
      </c>
    </row>
    <row r="82" ht="15.75" customHeight="1">
      <c r="A82" s="53" t="s">
        <v>491</v>
      </c>
      <c r="B82" s="53" t="s">
        <v>375</v>
      </c>
      <c r="C82" s="55">
        <v>46275.0</v>
      </c>
      <c r="D82" s="53" t="s">
        <v>376</v>
      </c>
      <c r="E82" s="53" t="s">
        <v>139</v>
      </c>
      <c r="F82" s="53" t="s">
        <v>41</v>
      </c>
      <c r="G82" s="53" t="s">
        <v>377</v>
      </c>
      <c r="H82" s="70">
        <v>46307.91980549769</v>
      </c>
      <c r="I82" s="19" t="s">
        <v>41</v>
      </c>
    </row>
    <row r="83" ht="15.75" customHeight="1">
      <c r="A83" s="53" t="s">
        <v>492</v>
      </c>
      <c r="B83" s="53" t="s">
        <v>375</v>
      </c>
      <c r="C83" s="55">
        <v>46275.0</v>
      </c>
      <c r="D83" s="53" t="s">
        <v>376</v>
      </c>
      <c r="E83" s="53" t="s">
        <v>141</v>
      </c>
      <c r="F83" s="53" t="s">
        <v>41</v>
      </c>
      <c r="G83" s="53" t="s">
        <v>377</v>
      </c>
      <c r="H83" s="70">
        <v>46307.91980549769</v>
      </c>
      <c r="I83" s="19" t="s">
        <v>41</v>
      </c>
    </row>
    <row r="84" ht="15.75" customHeight="1">
      <c r="A84" s="53" t="s">
        <v>493</v>
      </c>
      <c r="B84" s="53" t="s">
        <v>375</v>
      </c>
      <c r="C84" s="55">
        <v>46275.0</v>
      </c>
      <c r="D84" s="53" t="s">
        <v>376</v>
      </c>
      <c r="E84" s="53" t="s">
        <v>143</v>
      </c>
      <c r="F84" s="53" t="s">
        <v>41</v>
      </c>
      <c r="G84" s="53" t="s">
        <v>377</v>
      </c>
      <c r="H84" s="70">
        <v>46307.91980549769</v>
      </c>
      <c r="I84" s="19" t="s">
        <v>41</v>
      </c>
    </row>
    <row r="85" ht="15.75" customHeight="1">
      <c r="A85" s="53" t="s">
        <v>494</v>
      </c>
      <c r="B85" s="53" t="s">
        <v>375</v>
      </c>
      <c r="C85" s="55">
        <v>46275.0</v>
      </c>
      <c r="D85" s="53" t="s">
        <v>376</v>
      </c>
      <c r="E85" s="53" t="s">
        <v>144</v>
      </c>
      <c r="F85" s="53" t="s">
        <v>41</v>
      </c>
      <c r="G85" s="53" t="s">
        <v>377</v>
      </c>
      <c r="H85" s="70">
        <v>46307.91980549769</v>
      </c>
      <c r="I85" s="19" t="s">
        <v>41</v>
      </c>
    </row>
    <row r="86" ht="15.75" customHeight="1">
      <c r="A86" s="53" t="s">
        <v>495</v>
      </c>
      <c r="B86" s="53" t="s">
        <v>375</v>
      </c>
      <c r="C86" s="55">
        <v>46275.0</v>
      </c>
      <c r="D86" s="53" t="s">
        <v>376</v>
      </c>
      <c r="E86" s="53" t="s">
        <v>145</v>
      </c>
      <c r="F86" s="53" t="s">
        <v>41</v>
      </c>
      <c r="G86" s="53" t="s">
        <v>377</v>
      </c>
      <c r="H86" s="70">
        <v>46307.91980549769</v>
      </c>
      <c r="I86" s="19" t="s">
        <v>41</v>
      </c>
    </row>
    <row r="87" ht="15.75" customHeight="1">
      <c r="A87" s="53" t="s">
        <v>496</v>
      </c>
      <c r="B87" s="53" t="s">
        <v>375</v>
      </c>
      <c r="C87" s="55">
        <v>46275.0</v>
      </c>
      <c r="D87" s="53" t="s">
        <v>376</v>
      </c>
      <c r="E87" s="53" t="s">
        <v>146</v>
      </c>
      <c r="F87" s="53" t="s">
        <v>41</v>
      </c>
      <c r="G87" s="53" t="s">
        <v>377</v>
      </c>
      <c r="H87" s="70">
        <v>46307.91980549769</v>
      </c>
      <c r="I87" s="19" t="s">
        <v>41</v>
      </c>
    </row>
    <row r="88" ht="15.75" customHeight="1">
      <c r="A88" s="53" t="s">
        <v>497</v>
      </c>
      <c r="B88" s="53" t="s">
        <v>375</v>
      </c>
      <c r="C88" s="55">
        <v>46275.0</v>
      </c>
      <c r="D88" s="53" t="s">
        <v>376</v>
      </c>
      <c r="E88" s="53" t="s">
        <v>147</v>
      </c>
      <c r="F88" s="53" t="s">
        <v>41</v>
      </c>
      <c r="G88" s="53" t="s">
        <v>377</v>
      </c>
      <c r="H88" s="70">
        <v>46307.91980549769</v>
      </c>
      <c r="I88" s="19" t="s">
        <v>41</v>
      </c>
    </row>
    <row r="89" ht="15.75" customHeight="1">
      <c r="A89" s="53" t="s">
        <v>498</v>
      </c>
      <c r="B89" s="53" t="s">
        <v>375</v>
      </c>
      <c r="C89" s="55">
        <v>46275.0</v>
      </c>
      <c r="D89" s="53" t="s">
        <v>376</v>
      </c>
      <c r="E89" s="53" t="s">
        <v>148</v>
      </c>
      <c r="F89" s="53" t="s">
        <v>41</v>
      </c>
      <c r="G89" s="53" t="s">
        <v>377</v>
      </c>
      <c r="H89" s="70">
        <v>46307.91980549769</v>
      </c>
      <c r="I89" s="19" t="s">
        <v>41</v>
      </c>
    </row>
    <row r="90" ht="15.75" customHeight="1">
      <c r="A90" s="53" t="s">
        <v>499</v>
      </c>
      <c r="B90" s="53" t="s">
        <v>375</v>
      </c>
      <c r="C90" s="55">
        <v>46275.0</v>
      </c>
      <c r="D90" s="53" t="s">
        <v>376</v>
      </c>
      <c r="E90" s="53" t="s">
        <v>149</v>
      </c>
      <c r="F90" s="53" t="s">
        <v>41</v>
      </c>
      <c r="G90" s="53" t="s">
        <v>377</v>
      </c>
      <c r="H90" s="70">
        <v>46307.91980549769</v>
      </c>
      <c r="I90" s="19" t="s">
        <v>41</v>
      </c>
    </row>
    <row r="91" ht="15.75" customHeight="1">
      <c r="A91" s="53" t="s">
        <v>500</v>
      </c>
      <c r="B91" s="53" t="s">
        <v>375</v>
      </c>
      <c r="C91" s="55">
        <v>46275.0</v>
      </c>
      <c r="D91" s="53" t="s">
        <v>376</v>
      </c>
      <c r="E91" s="53" t="s">
        <v>151</v>
      </c>
      <c r="F91" s="53" t="s">
        <v>41</v>
      </c>
      <c r="G91" s="53" t="s">
        <v>377</v>
      </c>
      <c r="H91" s="70">
        <v>46307.91980549769</v>
      </c>
      <c r="I91" s="19" t="s">
        <v>41</v>
      </c>
    </row>
    <row r="92" ht="15.75" customHeight="1">
      <c r="A92" s="53" t="s">
        <v>501</v>
      </c>
      <c r="B92" s="53" t="s">
        <v>375</v>
      </c>
      <c r="C92" s="55">
        <v>46275.0</v>
      </c>
      <c r="D92" s="53" t="s">
        <v>376</v>
      </c>
      <c r="E92" s="53" t="s">
        <v>152</v>
      </c>
      <c r="F92" s="53" t="s">
        <v>41</v>
      </c>
      <c r="G92" s="53" t="s">
        <v>377</v>
      </c>
      <c r="H92" s="70">
        <v>46307.91980549769</v>
      </c>
      <c r="I92" s="19" t="s">
        <v>41</v>
      </c>
    </row>
    <row r="93" ht="15.75" customHeight="1">
      <c r="A93" s="53" t="s">
        <v>502</v>
      </c>
      <c r="B93" s="53" t="s">
        <v>375</v>
      </c>
      <c r="C93" s="55">
        <v>46275.0</v>
      </c>
      <c r="D93" s="53" t="s">
        <v>376</v>
      </c>
      <c r="E93" s="53" t="s">
        <v>153</v>
      </c>
      <c r="F93" s="53" t="s">
        <v>41</v>
      </c>
      <c r="G93" s="53" t="s">
        <v>377</v>
      </c>
      <c r="H93" s="70">
        <v>46307.91980549769</v>
      </c>
      <c r="I93" s="19" t="s">
        <v>41</v>
      </c>
    </row>
    <row r="94" ht="15.75" customHeight="1">
      <c r="A94" s="53" t="s">
        <v>503</v>
      </c>
      <c r="B94" s="53" t="s">
        <v>375</v>
      </c>
      <c r="C94" s="55">
        <v>46275.0</v>
      </c>
      <c r="D94" s="53" t="s">
        <v>376</v>
      </c>
      <c r="E94" s="53" t="s">
        <v>155</v>
      </c>
      <c r="F94" s="53" t="s">
        <v>41</v>
      </c>
      <c r="G94" s="53" t="s">
        <v>377</v>
      </c>
      <c r="H94" s="70">
        <v>46307.91980549769</v>
      </c>
      <c r="I94" s="19" t="s">
        <v>41</v>
      </c>
    </row>
    <row r="95" ht="15.75" customHeight="1">
      <c r="A95" s="53" t="s">
        <v>504</v>
      </c>
      <c r="B95" s="53" t="s">
        <v>375</v>
      </c>
      <c r="C95" s="55">
        <v>46275.0</v>
      </c>
      <c r="D95" s="53" t="s">
        <v>376</v>
      </c>
      <c r="E95" s="53" t="s">
        <v>156</v>
      </c>
      <c r="F95" s="53" t="s">
        <v>41</v>
      </c>
      <c r="G95" s="53" t="s">
        <v>377</v>
      </c>
      <c r="H95" s="70">
        <v>46307.91980549769</v>
      </c>
      <c r="I95" s="19" t="s">
        <v>41</v>
      </c>
    </row>
    <row r="96" ht="15.75" customHeight="1">
      <c r="A96" s="53" t="s">
        <v>505</v>
      </c>
      <c r="B96" s="53" t="s">
        <v>375</v>
      </c>
      <c r="C96" s="55">
        <v>46275.0</v>
      </c>
      <c r="D96" s="53" t="s">
        <v>376</v>
      </c>
      <c r="E96" s="53" t="s">
        <v>157</v>
      </c>
      <c r="F96" s="53" t="s">
        <v>41</v>
      </c>
      <c r="G96" s="53" t="s">
        <v>377</v>
      </c>
      <c r="H96" s="70">
        <v>46307.91980549769</v>
      </c>
      <c r="I96" s="19" t="s">
        <v>41</v>
      </c>
    </row>
    <row r="97" ht="15.75" customHeight="1">
      <c r="A97" s="53" t="s">
        <v>506</v>
      </c>
      <c r="B97" s="53" t="s">
        <v>375</v>
      </c>
      <c r="C97" s="55">
        <v>46275.0</v>
      </c>
      <c r="D97" s="53" t="s">
        <v>376</v>
      </c>
      <c r="E97" s="53" t="s">
        <v>158</v>
      </c>
      <c r="F97" s="53" t="s">
        <v>41</v>
      </c>
      <c r="G97" s="53" t="s">
        <v>377</v>
      </c>
      <c r="H97" s="70">
        <v>46307.91980549769</v>
      </c>
      <c r="I97" s="19" t="s">
        <v>41</v>
      </c>
    </row>
    <row r="98" ht="15.75" customHeight="1">
      <c r="A98" s="53" t="s">
        <v>507</v>
      </c>
      <c r="B98" s="53" t="s">
        <v>375</v>
      </c>
      <c r="C98" s="55">
        <v>46275.0</v>
      </c>
      <c r="D98" s="53" t="s">
        <v>376</v>
      </c>
      <c r="E98" s="53" t="s">
        <v>159</v>
      </c>
      <c r="F98" s="53" t="s">
        <v>41</v>
      </c>
      <c r="G98" s="53" t="s">
        <v>377</v>
      </c>
      <c r="H98" s="70">
        <v>46307.91980549769</v>
      </c>
      <c r="I98" s="19" t="s">
        <v>41</v>
      </c>
    </row>
    <row r="99" ht="15.75" customHeight="1">
      <c r="A99" s="53" t="s">
        <v>508</v>
      </c>
      <c r="B99" s="53" t="s">
        <v>375</v>
      </c>
      <c r="C99" s="55">
        <v>46275.0</v>
      </c>
      <c r="D99" s="53" t="s">
        <v>376</v>
      </c>
      <c r="E99" s="53" t="s">
        <v>160</v>
      </c>
      <c r="F99" s="53" t="s">
        <v>41</v>
      </c>
      <c r="G99" s="53" t="s">
        <v>377</v>
      </c>
      <c r="H99" s="70">
        <v>46307.91980549769</v>
      </c>
      <c r="I99" s="19" t="s">
        <v>41</v>
      </c>
    </row>
    <row r="100" ht="15.75" customHeight="1">
      <c r="A100" s="53" t="s">
        <v>509</v>
      </c>
      <c r="B100" s="53" t="s">
        <v>375</v>
      </c>
      <c r="C100" s="55">
        <v>46275.0</v>
      </c>
      <c r="D100" s="53" t="s">
        <v>376</v>
      </c>
      <c r="E100" s="53" t="s">
        <v>161</v>
      </c>
      <c r="F100" s="53" t="s">
        <v>41</v>
      </c>
      <c r="G100" s="53" t="s">
        <v>377</v>
      </c>
      <c r="H100" s="70">
        <v>46307.91980549769</v>
      </c>
      <c r="I100" s="19" t="s">
        <v>41</v>
      </c>
    </row>
    <row r="101" ht="15.75" customHeight="1">
      <c r="A101" s="19" t="s">
        <v>510</v>
      </c>
      <c r="B101" s="19" t="s">
        <v>375</v>
      </c>
      <c r="C101" s="78">
        <v>46275.0</v>
      </c>
      <c r="D101" s="19" t="s">
        <v>376</v>
      </c>
      <c r="E101" s="19" t="s">
        <v>162</v>
      </c>
      <c r="F101" s="19" t="s">
        <v>41</v>
      </c>
      <c r="G101" s="19" t="s">
        <v>377</v>
      </c>
      <c r="H101" s="79">
        <v>46307.91980549769</v>
      </c>
      <c r="I101" s="19" t="s">
        <v>41</v>
      </c>
    </row>
    <row r="102" ht="15.75" customHeight="1">
      <c r="A102" s="19" t="s">
        <v>511</v>
      </c>
      <c r="B102" s="19" t="s">
        <v>375</v>
      </c>
      <c r="C102" s="78">
        <v>46275.0</v>
      </c>
      <c r="D102" s="19" t="s">
        <v>376</v>
      </c>
      <c r="E102" s="19" t="s">
        <v>166</v>
      </c>
      <c r="F102" s="19" t="s">
        <v>41</v>
      </c>
      <c r="G102" s="19" t="s">
        <v>377</v>
      </c>
      <c r="H102" s="79">
        <v>46307.91980549769</v>
      </c>
      <c r="I102" s="19" t="s">
        <v>41</v>
      </c>
    </row>
    <row r="103" ht="15.75" customHeight="1">
      <c r="A103" s="19" t="s">
        <v>512</v>
      </c>
      <c r="B103" s="19" t="s">
        <v>375</v>
      </c>
      <c r="C103" s="78">
        <v>46275.0</v>
      </c>
      <c r="D103" s="19" t="s">
        <v>376</v>
      </c>
      <c r="E103" s="19" t="s">
        <v>167</v>
      </c>
      <c r="F103" s="19" t="s">
        <v>41</v>
      </c>
      <c r="G103" s="19" t="s">
        <v>377</v>
      </c>
      <c r="H103" s="79">
        <v>46307.91980549769</v>
      </c>
      <c r="I103" s="19" t="s">
        <v>41</v>
      </c>
    </row>
    <row r="104" ht="15.75" customHeight="1">
      <c r="A104" s="19" t="s">
        <v>513</v>
      </c>
      <c r="B104" s="19" t="s">
        <v>378</v>
      </c>
      <c r="C104" s="78">
        <v>46283.6875</v>
      </c>
      <c r="D104" s="19" t="s">
        <v>379</v>
      </c>
      <c r="E104" s="19" t="s">
        <v>309</v>
      </c>
      <c r="F104" s="19" t="s">
        <v>45</v>
      </c>
      <c r="G104" s="19" t="s">
        <v>347</v>
      </c>
      <c r="H104" s="79">
        <v>46307.91980549769</v>
      </c>
      <c r="I104" s="19" t="s">
        <v>45</v>
      </c>
    </row>
    <row r="105" ht="15.75" customHeight="1">
      <c r="A105" s="19" t="s">
        <v>514</v>
      </c>
      <c r="B105" s="19" t="s">
        <v>378</v>
      </c>
      <c r="C105" s="78">
        <v>46283.6875</v>
      </c>
      <c r="D105" s="19" t="s">
        <v>379</v>
      </c>
      <c r="E105" s="19" t="s">
        <v>310</v>
      </c>
      <c r="F105" s="19" t="s">
        <v>45</v>
      </c>
      <c r="G105" s="19" t="s">
        <v>347</v>
      </c>
      <c r="H105" s="79">
        <v>46307.91980549769</v>
      </c>
      <c r="I105" s="19" t="s">
        <v>45</v>
      </c>
    </row>
    <row r="106" ht="15.75" customHeight="1">
      <c r="A106" s="19" t="s">
        <v>515</v>
      </c>
      <c r="B106" s="19" t="s">
        <v>378</v>
      </c>
      <c r="C106" s="78">
        <v>46283.6875</v>
      </c>
      <c r="D106" s="19" t="s">
        <v>379</v>
      </c>
      <c r="E106" s="19" t="s">
        <v>311</v>
      </c>
      <c r="F106" s="19" t="s">
        <v>45</v>
      </c>
      <c r="G106" s="19" t="s">
        <v>347</v>
      </c>
      <c r="H106" s="79">
        <v>46307.91980549769</v>
      </c>
      <c r="I106" s="19" t="s">
        <v>45</v>
      </c>
    </row>
    <row r="107" ht="15.75" customHeight="1">
      <c r="A107" s="19" t="s">
        <v>516</v>
      </c>
      <c r="B107" s="19" t="s">
        <v>378</v>
      </c>
      <c r="C107" s="78">
        <v>46283.6875</v>
      </c>
      <c r="D107" s="19" t="s">
        <v>379</v>
      </c>
      <c r="E107" s="19" t="s">
        <v>312</v>
      </c>
      <c r="F107" s="19" t="s">
        <v>45</v>
      </c>
      <c r="G107" s="19" t="s">
        <v>347</v>
      </c>
      <c r="H107" s="79">
        <v>46307.91980549769</v>
      </c>
      <c r="I107" s="19" t="s">
        <v>45</v>
      </c>
    </row>
    <row r="108" ht="15.75" customHeight="1">
      <c r="A108" s="19" t="s">
        <v>517</v>
      </c>
      <c r="B108" s="19" t="s">
        <v>378</v>
      </c>
      <c r="C108" s="78">
        <v>46283.6875</v>
      </c>
      <c r="D108" s="19" t="s">
        <v>379</v>
      </c>
      <c r="E108" s="19" t="s">
        <v>313</v>
      </c>
      <c r="F108" s="19" t="s">
        <v>45</v>
      </c>
      <c r="G108" s="19" t="s">
        <v>347</v>
      </c>
      <c r="H108" s="79">
        <v>46307.91980549769</v>
      </c>
      <c r="I108" s="19" t="s">
        <v>45</v>
      </c>
    </row>
    <row r="109" ht="15.75" customHeight="1">
      <c r="A109" s="19" t="s">
        <v>518</v>
      </c>
      <c r="B109" s="19" t="s">
        <v>378</v>
      </c>
      <c r="C109" s="78">
        <v>46283.6875</v>
      </c>
      <c r="D109" s="19" t="s">
        <v>379</v>
      </c>
      <c r="E109" s="19" t="s">
        <v>314</v>
      </c>
      <c r="F109" s="19" t="s">
        <v>45</v>
      </c>
      <c r="G109" s="19" t="s">
        <v>347</v>
      </c>
      <c r="H109" s="79">
        <v>46307.91980549769</v>
      </c>
      <c r="I109" s="19" t="s">
        <v>45</v>
      </c>
    </row>
    <row r="110" ht="15.75" customHeight="1">
      <c r="A110" s="19" t="s">
        <v>519</v>
      </c>
      <c r="B110" s="19" t="s">
        <v>378</v>
      </c>
      <c r="C110" s="78">
        <v>46283.6875</v>
      </c>
      <c r="D110" s="19" t="s">
        <v>379</v>
      </c>
      <c r="E110" s="19" t="s">
        <v>315</v>
      </c>
      <c r="F110" s="19" t="s">
        <v>45</v>
      </c>
      <c r="G110" s="19" t="s">
        <v>347</v>
      </c>
      <c r="H110" s="79">
        <v>46307.91980549769</v>
      </c>
      <c r="I110" s="19" t="s">
        <v>45</v>
      </c>
    </row>
    <row r="111" ht="15.75" customHeight="1">
      <c r="A111" s="19" t="s">
        <v>520</v>
      </c>
      <c r="B111" s="19" t="s">
        <v>378</v>
      </c>
      <c r="C111" s="78">
        <v>46283.6875</v>
      </c>
      <c r="D111" s="19" t="s">
        <v>379</v>
      </c>
      <c r="E111" s="19" t="s">
        <v>316</v>
      </c>
      <c r="F111" s="19" t="s">
        <v>45</v>
      </c>
      <c r="G111" s="19" t="s">
        <v>347</v>
      </c>
      <c r="H111" s="79">
        <v>46307.91980549769</v>
      </c>
      <c r="I111" s="19" t="s">
        <v>45</v>
      </c>
    </row>
    <row r="112" ht="15.75" customHeight="1">
      <c r="A112" s="19" t="s">
        <v>521</v>
      </c>
      <c r="B112" s="19" t="s">
        <v>378</v>
      </c>
      <c r="C112" s="78">
        <v>46283.6875</v>
      </c>
      <c r="D112" s="19" t="s">
        <v>379</v>
      </c>
      <c r="E112" s="19" t="s">
        <v>317</v>
      </c>
      <c r="F112" s="19" t="s">
        <v>45</v>
      </c>
      <c r="G112" s="19" t="s">
        <v>347</v>
      </c>
      <c r="H112" s="79">
        <v>46307.91980549769</v>
      </c>
      <c r="I112" s="19" t="s">
        <v>45</v>
      </c>
    </row>
    <row r="113" ht="15.75" customHeight="1">
      <c r="A113" s="19" t="s">
        <v>522</v>
      </c>
      <c r="B113" s="19" t="s">
        <v>378</v>
      </c>
      <c r="C113" s="78">
        <v>46283.6875</v>
      </c>
      <c r="D113" s="19" t="s">
        <v>379</v>
      </c>
      <c r="E113" s="19" t="s">
        <v>320</v>
      </c>
      <c r="F113" s="19" t="s">
        <v>45</v>
      </c>
      <c r="G113" s="19" t="s">
        <v>347</v>
      </c>
      <c r="H113" s="79">
        <v>46307.91980549769</v>
      </c>
      <c r="I113" s="19" t="s">
        <v>45</v>
      </c>
    </row>
    <row r="114" ht="15.75" customHeight="1">
      <c r="A114" s="19" t="s">
        <v>523</v>
      </c>
      <c r="B114" s="19" t="s">
        <v>378</v>
      </c>
      <c r="C114" s="78">
        <v>46283.6875</v>
      </c>
      <c r="D114" s="19" t="s">
        <v>379</v>
      </c>
      <c r="E114" s="19" t="s">
        <v>321</v>
      </c>
      <c r="F114" s="19" t="s">
        <v>45</v>
      </c>
      <c r="G114" s="19" t="s">
        <v>347</v>
      </c>
      <c r="H114" s="79">
        <v>46307.91980549769</v>
      </c>
      <c r="I114" s="19" t="s">
        <v>45</v>
      </c>
    </row>
    <row r="115" ht="15.75" customHeight="1">
      <c r="A115" s="19" t="s">
        <v>524</v>
      </c>
      <c r="B115" s="19" t="s">
        <v>378</v>
      </c>
      <c r="C115" s="78">
        <v>46283.6875</v>
      </c>
      <c r="D115" s="19" t="s">
        <v>379</v>
      </c>
      <c r="E115" s="19" t="s">
        <v>322</v>
      </c>
      <c r="F115" s="19" t="s">
        <v>45</v>
      </c>
      <c r="G115" s="19" t="s">
        <v>347</v>
      </c>
      <c r="H115" s="79">
        <v>46307.91980549769</v>
      </c>
      <c r="I115" s="19" t="s">
        <v>45</v>
      </c>
    </row>
    <row r="116" ht="15.75" customHeight="1">
      <c r="A116" s="19" t="s">
        <v>525</v>
      </c>
      <c r="B116" s="19" t="s">
        <v>378</v>
      </c>
      <c r="C116" s="78">
        <v>46283.6875</v>
      </c>
      <c r="D116" s="19" t="s">
        <v>379</v>
      </c>
      <c r="E116" s="19" t="s">
        <v>323</v>
      </c>
      <c r="F116" s="19" t="s">
        <v>45</v>
      </c>
      <c r="G116" s="19" t="s">
        <v>347</v>
      </c>
      <c r="H116" s="79">
        <v>46307.91980549769</v>
      </c>
      <c r="I116" s="19" t="s">
        <v>45</v>
      </c>
    </row>
    <row r="117" ht="15.75" customHeight="1">
      <c r="A117" s="19" t="s">
        <v>526</v>
      </c>
      <c r="B117" s="19" t="s">
        <v>378</v>
      </c>
      <c r="C117" s="78">
        <v>46283.6875</v>
      </c>
      <c r="D117" s="19" t="s">
        <v>379</v>
      </c>
      <c r="E117" s="19" t="s">
        <v>325</v>
      </c>
      <c r="F117" s="19" t="s">
        <v>45</v>
      </c>
      <c r="G117" s="19" t="s">
        <v>347</v>
      </c>
      <c r="H117" s="79">
        <v>46307.91980549769</v>
      </c>
      <c r="I117" s="19" t="s">
        <v>45</v>
      </c>
    </row>
    <row r="118" ht="15.75" customHeight="1">
      <c r="A118" s="19" t="s">
        <v>527</v>
      </c>
      <c r="B118" s="19" t="s">
        <v>378</v>
      </c>
      <c r="C118" s="78">
        <v>46283.6875</v>
      </c>
      <c r="D118" s="19" t="s">
        <v>379</v>
      </c>
      <c r="E118" s="19" t="s">
        <v>327</v>
      </c>
      <c r="F118" s="19" t="s">
        <v>45</v>
      </c>
      <c r="G118" s="19" t="s">
        <v>347</v>
      </c>
      <c r="H118" s="79">
        <v>46307.91980549769</v>
      </c>
      <c r="I118" s="19" t="s">
        <v>45</v>
      </c>
    </row>
    <row r="119" ht="15.75" customHeight="1">
      <c r="A119" s="19" t="s">
        <v>528</v>
      </c>
      <c r="B119" s="19" t="s">
        <v>378</v>
      </c>
      <c r="C119" s="78">
        <v>46283.6875</v>
      </c>
      <c r="D119" s="19" t="s">
        <v>379</v>
      </c>
      <c r="E119" s="19" t="s">
        <v>328</v>
      </c>
      <c r="F119" s="19" t="s">
        <v>45</v>
      </c>
      <c r="G119" s="19" t="s">
        <v>347</v>
      </c>
      <c r="H119" s="79">
        <v>46307.91980549769</v>
      </c>
      <c r="I119" s="19" t="s">
        <v>45</v>
      </c>
    </row>
    <row r="120" ht="15.75" customHeight="1">
      <c r="A120" s="19" t="s">
        <v>529</v>
      </c>
      <c r="B120" s="19" t="s">
        <v>378</v>
      </c>
      <c r="C120" s="78">
        <v>46283.6875</v>
      </c>
      <c r="D120" s="19" t="s">
        <v>379</v>
      </c>
      <c r="E120" s="19" t="s">
        <v>330</v>
      </c>
      <c r="F120" s="19" t="s">
        <v>45</v>
      </c>
      <c r="G120" s="19" t="s">
        <v>347</v>
      </c>
      <c r="H120" s="79">
        <v>46307.91980549769</v>
      </c>
      <c r="I120" s="19" t="s">
        <v>45</v>
      </c>
    </row>
    <row r="121" ht="15.75" customHeight="1">
      <c r="A121" s="19" t="s">
        <v>530</v>
      </c>
      <c r="B121" s="19" t="s">
        <v>378</v>
      </c>
      <c r="C121" s="78">
        <v>46283.6875</v>
      </c>
      <c r="D121" s="19" t="s">
        <v>379</v>
      </c>
      <c r="E121" s="19" t="s">
        <v>331</v>
      </c>
      <c r="F121" s="19" t="s">
        <v>45</v>
      </c>
      <c r="G121" s="19" t="s">
        <v>347</v>
      </c>
      <c r="H121" s="79">
        <v>46307.91980549769</v>
      </c>
      <c r="I121" s="19" t="s">
        <v>45</v>
      </c>
    </row>
    <row r="122" ht="15.75" customHeight="1">
      <c r="A122" s="19" t="s">
        <v>531</v>
      </c>
      <c r="B122" s="19" t="s">
        <v>378</v>
      </c>
      <c r="C122" s="78">
        <v>46283.6875</v>
      </c>
      <c r="D122" s="19" t="s">
        <v>379</v>
      </c>
      <c r="E122" s="19" t="s">
        <v>332</v>
      </c>
      <c r="F122" s="19" t="s">
        <v>45</v>
      </c>
      <c r="G122" s="19" t="s">
        <v>347</v>
      </c>
      <c r="H122" s="79">
        <v>46307.91980549769</v>
      </c>
      <c r="I122" s="19" t="s">
        <v>45</v>
      </c>
    </row>
    <row r="123" ht="15.75" customHeight="1">
      <c r="A123" s="19" t="s">
        <v>532</v>
      </c>
      <c r="B123" s="19" t="s">
        <v>378</v>
      </c>
      <c r="C123" s="78">
        <v>46283.6875</v>
      </c>
      <c r="D123" s="19" t="s">
        <v>379</v>
      </c>
      <c r="E123" s="19" t="s">
        <v>335</v>
      </c>
      <c r="F123" s="19" t="s">
        <v>45</v>
      </c>
      <c r="G123" s="19" t="s">
        <v>347</v>
      </c>
      <c r="H123" s="79">
        <v>46307.91980549769</v>
      </c>
      <c r="I123" s="19" t="s">
        <v>45</v>
      </c>
    </row>
    <row r="124" ht="15.75" customHeight="1">
      <c r="A124" s="19" t="s">
        <v>533</v>
      </c>
      <c r="B124" s="19" t="s">
        <v>380</v>
      </c>
      <c r="C124" s="78">
        <v>46289.33333333333</v>
      </c>
      <c r="D124" s="19" t="s">
        <v>381</v>
      </c>
      <c r="E124" s="19" t="s">
        <v>105</v>
      </c>
      <c r="F124" s="19" t="s">
        <v>41</v>
      </c>
      <c r="G124" s="19" t="s">
        <v>382</v>
      </c>
      <c r="H124" s="79">
        <v>46307.91980549769</v>
      </c>
      <c r="I124" s="19" t="s">
        <v>41</v>
      </c>
    </row>
    <row r="125" ht="15.75" customHeight="1">
      <c r="A125" s="19" t="s">
        <v>534</v>
      </c>
      <c r="B125" s="19" t="s">
        <v>380</v>
      </c>
      <c r="C125" s="78">
        <v>46289.33333333333</v>
      </c>
      <c r="D125" s="19" t="s">
        <v>381</v>
      </c>
      <c r="E125" s="19" t="s">
        <v>106</v>
      </c>
      <c r="F125" s="19" t="s">
        <v>41</v>
      </c>
      <c r="G125" s="19" t="s">
        <v>382</v>
      </c>
      <c r="H125" s="79">
        <v>46307.91980549769</v>
      </c>
      <c r="I125" s="19" t="s">
        <v>41</v>
      </c>
    </row>
    <row r="126" ht="15.75" customHeight="1">
      <c r="A126" s="19" t="s">
        <v>535</v>
      </c>
      <c r="B126" s="19" t="s">
        <v>380</v>
      </c>
      <c r="C126" s="78">
        <v>46289.33333333333</v>
      </c>
      <c r="D126" s="19" t="s">
        <v>381</v>
      </c>
      <c r="E126" s="19" t="s">
        <v>107</v>
      </c>
      <c r="F126" s="19" t="s">
        <v>41</v>
      </c>
      <c r="G126" s="19" t="s">
        <v>382</v>
      </c>
      <c r="H126" s="79">
        <v>46307.91980549769</v>
      </c>
      <c r="I126" s="19" t="s">
        <v>41</v>
      </c>
    </row>
    <row r="127" ht="15.75" customHeight="1">
      <c r="A127" s="19" t="s">
        <v>536</v>
      </c>
      <c r="B127" s="19" t="s">
        <v>380</v>
      </c>
      <c r="C127" s="78">
        <v>46289.33333333333</v>
      </c>
      <c r="D127" s="19" t="s">
        <v>381</v>
      </c>
      <c r="E127" s="19" t="s">
        <v>108</v>
      </c>
      <c r="F127" s="19" t="s">
        <v>41</v>
      </c>
      <c r="G127" s="19" t="s">
        <v>382</v>
      </c>
      <c r="H127" s="79">
        <v>46307.91980549769</v>
      </c>
      <c r="I127" s="19" t="s">
        <v>41</v>
      </c>
    </row>
    <row r="128" ht="15.75" customHeight="1">
      <c r="A128" s="19" t="s">
        <v>537</v>
      </c>
      <c r="B128" s="19" t="s">
        <v>380</v>
      </c>
      <c r="C128" s="78">
        <v>46289.33333333333</v>
      </c>
      <c r="D128" s="19" t="s">
        <v>381</v>
      </c>
      <c r="E128" s="19" t="s">
        <v>110</v>
      </c>
      <c r="F128" s="19" t="s">
        <v>41</v>
      </c>
      <c r="G128" s="19" t="s">
        <v>382</v>
      </c>
      <c r="H128" s="79">
        <v>46307.91980549769</v>
      </c>
      <c r="I128" s="19" t="s">
        <v>41</v>
      </c>
    </row>
    <row r="129" ht="15.75" customHeight="1">
      <c r="A129" s="19" t="s">
        <v>538</v>
      </c>
      <c r="B129" s="19" t="s">
        <v>380</v>
      </c>
      <c r="C129" s="78">
        <v>46289.33333333333</v>
      </c>
      <c r="D129" s="19" t="s">
        <v>381</v>
      </c>
      <c r="E129" s="19" t="s">
        <v>120</v>
      </c>
      <c r="F129" s="19" t="s">
        <v>41</v>
      </c>
      <c r="G129" s="19" t="s">
        <v>382</v>
      </c>
      <c r="H129" s="79">
        <v>46307.91980549769</v>
      </c>
      <c r="I129" s="19" t="s">
        <v>41</v>
      </c>
    </row>
    <row r="130" ht="15.75" customHeight="1">
      <c r="A130" s="19" t="s">
        <v>539</v>
      </c>
      <c r="B130" s="19" t="s">
        <v>380</v>
      </c>
      <c r="C130" s="78">
        <v>46289.33333333333</v>
      </c>
      <c r="D130" s="19" t="s">
        <v>381</v>
      </c>
      <c r="E130" s="19" t="s">
        <v>127</v>
      </c>
      <c r="F130" s="19" t="s">
        <v>41</v>
      </c>
      <c r="G130" s="19" t="s">
        <v>382</v>
      </c>
      <c r="H130" s="79">
        <v>46307.91980549769</v>
      </c>
      <c r="I130" s="19" t="s">
        <v>41</v>
      </c>
    </row>
    <row r="131" ht="15.75" customHeight="1">
      <c r="A131" s="19" t="s">
        <v>540</v>
      </c>
      <c r="B131" s="19" t="s">
        <v>380</v>
      </c>
      <c r="C131" s="78">
        <v>46289.33333333333</v>
      </c>
      <c r="D131" s="19" t="s">
        <v>381</v>
      </c>
      <c r="E131" s="19" t="s">
        <v>133</v>
      </c>
      <c r="F131" s="19" t="s">
        <v>41</v>
      </c>
      <c r="G131" s="19" t="s">
        <v>382</v>
      </c>
      <c r="H131" s="79">
        <v>46307.91980549769</v>
      </c>
      <c r="I131" s="19" t="s">
        <v>41</v>
      </c>
    </row>
    <row r="132" ht="15.75" customHeight="1">
      <c r="A132" s="19" t="s">
        <v>541</v>
      </c>
      <c r="B132" s="19" t="s">
        <v>380</v>
      </c>
      <c r="C132" s="78">
        <v>46289.33333333333</v>
      </c>
      <c r="D132" s="19" t="s">
        <v>381</v>
      </c>
      <c r="E132" s="19" t="s">
        <v>135</v>
      </c>
      <c r="F132" s="19" t="s">
        <v>41</v>
      </c>
      <c r="G132" s="19" t="s">
        <v>382</v>
      </c>
      <c r="H132" s="79">
        <v>46307.91980549769</v>
      </c>
      <c r="I132" s="19" t="s">
        <v>41</v>
      </c>
    </row>
    <row r="133" ht="15.75" customHeight="1">
      <c r="A133" s="19" t="s">
        <v>542</v>
      </c>
      <c r="B133" s="19" t="s">
        <v>380</v>
      </c>
      <c r="C133" s="78">
        <v>46289.33333333333</v>
      </c>
      <c r="D133" s="19" t="s">
        <v>381</v>
      </c>
      <c r="E133" s="19" t="s">
        <v>137</v>
      </c>
      <c r="F133" s="19" t="s">
        <v>41</v>
      </c>
      <c r="G133" s="19" t="s">
        <v>382</v>
      </c>
      <c r="H133" s="79">
        <v>46307.91980549769</v>
      </c>
      <c r="I133" s="19" t="s">
        <v>41</v>
      </c>
    </row>
    <row r="134" ht="15.75" customHeight="1">
      <c r="A134" s="19" t="s">
        <v>543</v>
      </c>
      <c r="B134" s="19" t="s">
        <v>380</v>
      </c>
      <c r="C134" s="78">
        <v>46289.33333333333</v>
      </c>
      <c r="D134" s="19" t="s">
        <v>381</v>
      </c>
      <c r="E134" s="19" t="s">
        <v>139</v>
      </c>
      <c r="F134" s="19" t="s">
        <v>41</v>
      </c>
      <c r="G134" s="19" t="s">
        <v>382</v>
      </c>
      <c r="H134" s="79">
        <v>46307.91980549769</v>
      </c>
      <c r="I134" s="19" t="s">
        <v>41</v>
      </c>
    </row>
    <row r="135" ht="15.75" customHeight="1">
      <c r="A135" s="19" t="s">
        <v>544</v>
      </c>
      <c r="B135" s="19" t="s">
        <v>380</v>
      </c>
      <c r="C135" s="78">
        <v>46289.33333333333</v>
      </c>
      <c r="D135" s="19" t="s">
        <v>381</v>
      </c>
      <c r="E135" s="19" t="s">
        <v>142</v>
      </c>
      <c r="F135" s="19" t="s">
        <v>41</v>
      </c>
      <c r="G135" s="19" t="s">
        <v>382</v>
      </c>
      <c r="H135" s="79">
        <v>46307.91980549769</v>
      </c>
      <c r="I135" s="19" t="s">
        <v>41</v>
      </c>
    </row>
    <row r="136" ht="15.75" customHeight="1">
      <c r="A136" s="19" t="s">
        <v>545</v>
      </c>
      <c r="B136" s="19" t="s">
        <v>380</v>
      </c>
      <c r="C136" s="78">
        <v>46289.33333333333</v>
      </c>
      <c r="D136" s="19" t="s">
        <v>381</v>
      </c>
      <c r="E136" s="19" t="s">
        <v>143</v>
      </c>
      <c r="F136" s="19" t="s">
        <v>41</v>
      </c>
      <c r="G136" s="19" t="s">
        <v>382</v>
      </c>
      <c r="H136" s="79">
        <v>46307.91980549769</v>
      </c>
      <c r="I136" s="19" t="s">
        <v>41</v>
      </c>
    </row>
    <row r="137" ht="15.75" customHeight="1">
      <c r="A137" s="19" t="s">
        <v>546</v>
      </c>
      <c r="B137" s="19" t="s">
        <v>380</v>
      </c>
      <c r="C137" s="78">
        <v>46289.33333333333</v>
      </c>
      <c r="D137" s="19" t="s">
        <v>381</v>
      </c>
      <c r="E137" s="19" t="s">
        <v>144</v>
      </c>
      <c r="F137" s="19" t="s">
        <v>41</v>
      </c>
      <c r="G137" s="19" t="s">
        <v>382</v>
      </c>
      <c r="H137" s="79">
        <v>46307.91980549769</v>
      </c>
      <c r="I137" s="19" t="s">
        <v>41</v>
      </c>
    </row>
    <row r="138" ht="15.75" customHeight="1">
      <c r="A138" s="19" t="s">
        <v>547</v>
      </c>
      <c r="B138" s="19" t="s">
        <v>380</v>
      </c>
      <c r="C138" s="78">
        <v>46289.33333333333</v>
      </c>
      <c r="D138" s="19" t="s">
        <v>381</v>
      </c>
      <c r="E138" s="19" t="s">
        <v>148</v>
      </c>
      <c r="F138" s="19" t="s">
        <v>41</v>
      </c>
      <c r="G138" s="19" t="s">
        <v>382</v>
      </c>
      <c r="H138" s="79">
        <v>46307.91980549769</v>
      </c>
      <c r="I138" s="19" t="s">
        <v>41</v>
      </c>
    </row>
    <row r="139" ht="15.75" customHeight="1">
      <c r="A139" s="19" t="s">
        <v>548</v>
      </c>
      <c r="B139" s="19" t="s">
        <v>380</v>
      </c>
      <c r="C139" s="78">
        <v>46289.33333333333</v>
      </c>
      <c r="D139" s="19" t="s">
        <v>381</v>
      </c>
      <c r="E139" s="19" t="s">
        <v>153</v>
      </c>
      <c r="F139" s="19" t="s">
        <v>41</v>
      </c>
      <c r="G139" s="19" t="s">
        <v>382</v>
      </c>
      <c r="H139" s="79">
        <v>46307.91980549769</v>
      </c>
      <c r="I139" s="19" t="s">
        <v>41</v>
      </c>
    </row>
    <row r="140" ht="15.75" customHeight="1">
      <c r="A140" s="19" t="s">
        <v>549</v>
      </c>
      <c r="B140" s="19" t="s">
        <v>380</v>
      </c>
      <c r="C140" s="78">
        <v>46289.33333333333</v>
      </c>
      <c r="D140" s="19" t="s">
        <v>381</v>
      </c>
      <c r="E140" s="19" t="s">
        <v>158</v>
      </c>
      <c r="F140" s="19" t="s">
        <v>41</v>
      </c>
      <c r="G140" s="19" t="s">
        <v>382</v>
      </c>
      <c r="H140" s="79">
        <v>46307.91980549769</v>
      </c>
      <c r="I140" s="19" t="s">
        <v>41</v>
      </c>
    </row>
    <row r="141" ht="15.75" customHeight="1">
      <c r="A141" s="19" t="s">
        <v>550</v>
      </c>
      <c r="B141" s="19" t="s">
        <v>380</v>
      </c>
      <c r="C141" s="78">
        <v>46289.33333333333</v>
      </c>
      <c r="D141" s="19" t="s">
        <v>381</v>
      </c>
      <c r="E141" s="19" t="s">
        <v>161</v>
      </c>
      <c r="F141" s="19" t="s">
        <v>41</v>
      </c>
      <c r="G141" s="19" t="s">
        <v>382</v>
      </c>
      <c r="H141" s="79">
        <v>46307.91980549769</v>
      </c>
      <c r="I141" s="19" t="s">
        <v>41</v>
      </c>
    </row>
    <row r="142" ht="15.75" customHeight="1">
      <c r="A142" s="19" t="s">
        <v>551</v>
      </c>
      <c r="B142" s="19" t="s">
        <v>380</v>
      </c>
      <c r="C142" s="78">
        <v>46289.33333333333</v>
      </c>
      <c r="D142" s="19" t="s">
        <v>381</v>
      </c>
      <c r="E142" s="19" t="s">
        <v>163</v>
      </c>
      <c r="F142" s="19" t="s">
        <v>41</v>
      </c>
      <c r="G142" s="19" t="s">
        <v>382</v>
      </c>
      <c r="H142" s="79">
        <v>46307.91980549769</v>
      </c>
      <c r="I142" s="19" t="s">
        <v>41</v>
      </c>
    </row>
    <row r="143" ht="15.75" customHeight="1">
      <c r="A143" s="19" t="s">
        <v>552</v>
      </c>
      <c r="B143" s="19" t="s">
        <v>383</v>
      </c>
      <c r="C143" s="78">
        <v>46303.33333333333</v>
      </c>
      <c r="D143" s="19" t="s">
        <v>384</v>
      </c>
      <c r="E143" s="19" t="s">
        <v>307</v>
      </c>
      <c r="F143" s="19" t="s">
        <v>45</v>
      </c>
      <c r="G143" s="19" t="s">
        <v>385</v>
      </c>
      <c r="H143" s="79">
        <v>46307.91980549769</v>
      </c>
      <c r="I143" s="19" t="s">
        <v>45</v>
      </c>
    </row>
    <row r="144" ht="15.75" customHeight="1">
      <c r="A144" s="19" t="s">
        <v>553</v>
      </c>
      <c r="B144" s="19" t="s">
        <v>383</v>
      </c>
      <c r="C144" s="78">
        <v>46303.33333333333</v>
      </c>
      <c r="D144" s="19" t="s">
        <v>384</v>
      </c>
      <c r="E144" s="19" t="s">
        <v>310</v>
      </c>
      <c r="F144" s="19" t="s">
        <v>45</v>
      </c>
      <c r="G144" s="19" t="s">
        <v>385</v>
      </c>
      <c r="H144" s="79">
        <v>46307.91980549769</v>
      </c>
      <c r="I144" s="19" t="s">
        <v>45</v>
      </c>
    </row>
    <row r="145" ht="15.75" customHeight="1">
      <c r="A145" s="19" t="s">
        <v>554</v>
      </c>
      <c r="B145" s="19" t="s">
        <v>383</v>
      </c>
      <c r="C145" s="78">
        <v>46303.33333333333</v>
      </c>
      <c r="D145" s="19" t="s">
        <v>384</v>
      </c>
      <c r="E145" s="19" t="s">
        <v>311</v>
      </c>
      <c r="F145" s="19" t="s">
        <v>45</v>
      </c>
      <c r="G145" s="19" t="s">
        <v>385</v>
      </c>
      <c r="H145" s="79">
        <v>46307.91980549769</v>
      </c>
      <c r="I145" s="19" t="s">
        <v>45</v>
      </c>
    </row>
    <row r="146" ht="15.75" customHeight="1">
      <c r="A146" s="19" t="s">
        <v>555</v>
      </c>
      <c r="B146" s="19" t="s">
        <v>383</v>
      </c>
      <c r="C146" s="78">
        <v>46303.33333333333</v>
      </c>
      <c r="D146" s="19" t="s">
        <v>384</v>
      </c>
      <c r="E146" s="19" t="s">
        <v>312</v>
      </c>
      <c r="F146" s="19" t="s">
        <v>45</v>
      </c>
      <c r="G146" s="19" t="s">
        <v>385</v>
      </c>
      <c r="H146" s="79">
        <v>46307.91980549769</v>
      </c>
      <c r="I146" s="19" t="s">
        <v>45</v>
      </c>
    </row>
    <row r="147" ht="15.75" customHeight="1">
      <c r="A147" s="19" t="s">
        <v>556</v>
      </c>
      <c r="B147" s="19" t="s">
        <v>383</v>
      </c>
      <c r="C147" s="78">
        <v>46303.33333333333</v>
      </c>
      <c r="D147" s="19" t="s">
        <v>384</v>
      </c>
      <c r="E147" s="19" t="s">
        <v>314</v>
      </c>
      <c r="F147" s="19" t="s">
        <v>45</v>
      </c>
      <c r="G147" s="19" t="s">
        <v>385</v>
      </c>
      <c r="H147" s="79">
        <v>46307.91980549769</v>
      </c>
      <c r="I147" s="19" t="s">
        <v>45</v>
      </c>
    </row>
    <row r="148" ht="15.75" customHeight="1">
      <c r="A148" s="19" t="s">
        <v>557</v>
      </c>
      <c r="B148" s="19" t="s">
        <v>383</v>
      </c>
      <c r="C148" s="78">
        <v>46303.33333333333</v>
      </c>
      <c r="D148" s="19" t="s">
        <v>384</v>
      </c>
      <c r="E148" s="19" t="s">
        <v>315</v>
      </c>
      <c r="F148" s="19" t="s">
        <v>45</v>
      </c>
      <c r="G148" s="19" t="s">
        <v>385</v>
      </c>
      <c r="H148" s="79">
        <v>46307.91980549769</v>
      </c>
      <c r="I148" s="19" t="s">
        <v>45</v>
      </c>
    </row>
    <row r="149" ht="15.75" customHeight="1">
      <c r="A149" s="19" t="s">
        <v>558</v>
      </c>
      <c r="B149" s="19" t="s">
        <v>383</v>
      </c>
      <c r="C149" s="78">
        <v>46303.33333333333</v>
      </c>
      <c r="D149" s="19" t="s">
        <v>384</v>
      </c>
      <c r="E149" s="19" t="s">
        <v>317</v>
      </c>
      <c r="F149" s="19" t="s">
        <v>45</v>
      </c>
      <c r="G149" s="19" t="s">
        <v>385</v>
      </c>
      <c r="H149" s="79">
        <v>46307.91980549769</v>
      </c>
      <c r="I149" s="19" t="s">
        <v>45</v>
      </c>
    </row>
    <row r="150" ht="15.75" customHeight="1">
      <c r="A150" s="19" t="s">
        <v>559</v>
      </c>
      <c r="B150" s="19" t="s">
        <v>383</v>
      </c>
      <c r="C150" s="78">
        <v>46303.33333333333</v>
      </c>
      <c r="D150" s="19" t="s">
        <v>384</v>
      </c>
      <c r="E150" s="19" t="s">
        <v>318</v>
      </c>
      <c r="F150" s="19" t="s">
        <v>45</v>
      </c>
      <c r="G150" s="19" t="s">
        <v>385</v>
      </c>
      <c r="H150" s="79">
        <v>46307.91980549769</v>
      </c>
      <c r="I150" s="19" t="s">
        <v>45</v>
      </c>
    </row>
    <row r="151" ht="15.75" customHeight="1">
      <c r="A151" s="19" t="s">
        <v>560</v>
      </c>
      <c r="B151" s="19" t="s">
        <v>383</v>
      </c>
      <c r="C151" s="78">
        <v>46303.33333333333</v>
      </c>
      <c r="D151" s="19" t="s">
        <v>384</v>
      </c>
      <c r="E151" s="19" t="s">
        <v>320</v>
      </c>
      <c r="F151" s="19" t="s">
        <v>45</v>
      </c>
      <c r="G151" s="19" t="s">
        <v>385</v>
      </c>
      <c r="H151" s="79">
        <v>46307.91980549769</v>
      </c>
      <c r="I151" s="19" t="s">
        <v>45</v>
      </c>
    </row>
    <row r="152" ht="15.75" customHeight="1">
      <c r="A152" s="19" t="s">
        <v>561</v>
      </c>
      <c r="B152" s="19" t="s">
        <v>383</v>
      </c>
      <c r="C152" s="78">
        <v>46303.33333333333</v>
      </c>
      <c r="D152" s="19" t="s">
        <v>384</v>
      </c>
      <c r="E152" s="19" t="s">
        <v>321</v>
      </c>
      <c r="F152" s="19" t="s">
        <v>45</v>
      </c>
      <c r="G152" s="19" t="s">
        <v>385</v>
      </c>
      <c r="H152" s="79">
        <v>46307.91980549769</v>
      </c>
      <c r="I152" s="19" t="s">
        <v>45</v>
      </c>
    </row>
    <row r="153" ht="15.75" customHeight="1">
      <c r="A153" s="19" t="s">
        <v>562</v>
      </c>
      <c r="B153" s="19" t="s">
        <v>383</v>
      </c>
      <c r="C153" s="78">
        <v>46303.33333333333</v>
      </c>
      <c r="D153" s="19" t="s">
        <v>384</v>
      </c>
      <c r="E153" s="19" t="s">
        <v>322</v>
      </c>
      <c r="F153" s="19" t="s">
        <v>45</v>
      </c>
      <c r="G153" s="19" t="s">
        <v>385</v>
      </c>
      <c r="H153" s="79">
        <v>46307.91980549769</v>
      </c>
      <c r="I153" s="19" t="s">
        <v>45</v>
      </c>
    </row>
    <row r="154" ht="15.75" customHeight="1">
      <c r="A154" s="19" t="s">
        <v>563</v>
      </c>
      <c r="B154" s="19" t="s">
        <v>383</v>
      </c>
      <c r="C154" s="78">
        <v>46303.33333333333</v>
      </c>
      <c r="D154" s="19" t="s">
        <v>384</v>
      </c>
      <c r="E154" s="19" t="s">
        <v>323</v>
      </c>
      <c r="F154" s="19" t="s">
        <v>45</v>
      </c>
      <c r="G154" s="19" t="s">
        <v>385</v>
      </c>
      <c r="H154" s="79">
        <v>46307.91980549769</v>
      </c>
      <c r="I154" s="19" t="s">
        <v>45</v>
      </c>
    </row>
    <row r="155" ht="15.75" customHeight="1">
      <c r="A155" s="19" t="s">
        <v>564</v>
      </c>
      <c r="B155" s="19" t="s">
        <v>383</v>
      </c>
      <c r="C155" s="78">
        <v>46303.33333333333</v>
      </c>
      <c r="D155" s="19" t="s">
        <v>384</v>
      </c>
      <c r="E155" s="19" t="s">
        <v>324</v>
      </c>
      <c r="F155" s="19" t="s">
        <v>45</v>
      </c>
      <c r="G155" s="19" t="s">
        <v>385</v>
      </c>
      <c r="H155" s="79">
        <v>46307.91980549769</v>
      </c>
      <c r="I155" s="19" t="s">
        <v>45</v>
      </c>
    </row>
    <row r="156" ht="15.75" customHeight="1">
      <c r="A156" s="19" t="s">
        <v>565</v>
      </c>
      <c r="B156" s="19" t="s">
        <v>383</v>
      </c>
      <c r="C156" s="78">
        <v>46303.33333333333</v>
      </c>
      <c r="D156" s="19" t="s">
        <v>384</v>
      </c>
      <c r="E156" s="19" t="s">
        <v>325</v>
      </c>
      <c r="F156" s="19" t="s">
        <v>45</v>
      </c>
      <c r="G156" s="19" t="s">
        <v>385</v>
      </c>
      <c r="H156" s="79">
        <v>46307.91980549769</v>
      </c>
      <c r="I156" s="19" t="s">
        <v>45</v>
      </c>
    </row>
    <row r="157" ht="15.75" customHeight="1">
      <c r="A157" s="19" t="s">
        <v>566</v>
      </c>
      <c r="B157" s="19" t="s">
        <v>383</v>
      </c>
      <c r="C157" s="78">
        <v>46303.33333333333</v>
      </c>
      <c r="D157" s="19" t="s">
        <v>384</v>
      </c>
      <c r="E157" s="19" t="s">
        <v>326</v>
      </c>
      <c r="F157" s="19" t="s">
        <v>45</v>
      </c>
      <c r="G157" s="19" t="s">
        <v>385</v>
      </c>
      <c r="H157" s="79">
        <v>46307.91980549769</v>
      </c>
      <c r="I157" s="19" t="s">
        <v>45</v>
      </c>
    </row>
    <row r="158" ht="15.75" customHeight="1">
      <c r="A158" s="19" t="s">
        <v>567</v>
      </c>
      <c r="B158" s="19" t="s">
        <v>383</v>
      </c>
      <c r="C158" s="78">
        <v>46303.33333333333</v>
      </c>
      <c r="D158" s="19" t="s">
        <v>384</v>
      </c>
      <c r="E158" s="19" t="s">
        <v>327</v>
      </c>
      <c r="F158" s="19" t="s">
        <v>45</v>
      </c>
      <c r="G158" s="19" t="s">
        <v>385</v>
      </c>
      <c r="H158" s="79">
        <v>46307.91980549769</v>
      </c>
      <c r="I158" s="19" t="s">
        <v>45</v>
      </c>
    </row>
    <row r="159" ht="15.75" customHeight="1">
      <c r="A159" s="19" t="s">
        <v>568</v>
      </c>
      <c r="B159" s="19" t="s">
        <v>383</v>
      </c>
      <c r="C159" s="78">
        <v>46303.33333333333</v>
      </c>
      <c r="D159" s="19" t="s">
        <v>384</v>
      </c>
      <c r="E159" s="19" t="s">
        <v>328</v>
      </c>
      <c r="F159" s="19" t="s">
        <v>45</v>
      </c>
      <c r="G159" s="19" t="s">
        <v>385</v>
      </c>
      <c r="H159" s="79">
        <v>46307.91980549769</v>
      </c>
      <c r="I159" s="19" t="s">
        <v>45</v>
      </c>
    </row>
    <row r="160" ht="15.75" customHeight="1">
      <c r="A160" s="19" t="s">
        <v>569</v>
      </c>
      <c r="B160" s="19" t="s">
        <v>383</v>
      </c>
      <c r="C160" s="78">
        <v>46303.33333333333</v>
      </c>
      <c r="D160" s="19" t="s">
        <v>384</v>
      </c>
      <c r="E160" s="19" t="s">
        <v>329</v>
      </c>
      <c r="F160" s="19" t="s">
        <v>45</v>
      </c>
      <c r="G160" s="19" t="s">
        <v>385</v>
      </c>
      <c r="H160" s="79">
        <v>46307.91980549769</v>
      </c>
      <c r="I160" s="19" t="s">
        <v>45</v>
      </c>
    </row>
    <row r="161" ht="15.75" customHeight="1">
      <c r="A161" s="19" t="s">
        <v>570</v>
      </c>
      <c r="B161" s="19" t="s">
        <v>383</v>
      </c>
      <c r="C161" s="78">
        <v>46303.33333333333</v>
      </c>
      <c r="D161" s="19" t="s">
        <v>384</v>
      </c>
      <c r="E161" s="19" t="s">
        <v>330</v>
      </c>
      <c r="F161" s="19" t="s">
        <v>45</v>
      </c>
      <c r="G161" s="19" t="s">
        <v>385</v>
      </c>
      <c r="H161" s="79">
        <v>46307.91980549769</v>
      </c>
      <c r="I161" s="19" t="s">
        <v>45</v>
      </c>
    </row>
    <row r="162" ht="15.75" customHeight="1">
      <c r="A162" s="19" t="s">
        <v>571</v>
      </c>
      <c r="B162" s="19" t="s">
        <v>383</v>
      </c>
      <c r="C162" s="78">
        <v>46303.33333333333</v>
      </c>
      <c r="D162" s="19" t="s">
        <v>384</v>
      </c>
      <c r="E162" s="19" t="s">
        <v>331</v>
      </c>
      <c r="F162" s="19" t="s">
        <v>45</v>
      </c>
      <c r="G162" s="19" t="s">
        <v>385</v>
      </c>
      <c r="H162" s="79">
        <v>46307.91980549769</v>
      </c>
      <c r="I162" s="19" t="s">
        <v>45</v>
      </c>
    </row>
    <row r="163" ht="15.75" customHeight="1">
      <c r="A163" s="19" t="s">
        <v>572</v>
      </c>
      <c r="B163" s="19" t="s">
        <v>383</v>
      </c>
      <c r="C163" s="78">
        <v>46303.33333333333</v>
      </c>
      <c r="D163" s="19" t="s">
        <v>384</v>
      </c>
      <c r="E163" s="19" t="s">
        <v>332</v>
      </c>
      <c r="F163" s="19" t="s">
        <v>45</v>
      </c>
      <c r="G163" s="19" t="s">
        <v>385</v>
      </c>
      <c r="H163" s="79">
        <v>46307.91980549769</v>
      </c>
      <c r="I163" s="19" t="s">
        <v>45</v>
      </c>
    </row>
    <row r="164" ht="15.75" customHeight="1">
      <c r="A164" s="19" t="s">
        <v>573</v>
      </c>
      <c r="B164" s="19" t="s">
        <v>383</v>
      </c>
      <c r="C164" s="78">
        <v>46303.33333333333</v>
      </c>
      <c r="D164" s="19" t="s">
        <v>384</v>
      </c>
      <c r="E164" s="19" t="s">
        <v>333</v>
      </c>
      <c r="F164" s="19" t="s">
        <v>45</v>
      </c>
      <c r="G164" s="19" t="s">
        <v>385</v>
      </c>
      <c r="H164" s="79">
        <v>46307.91980549769</v>
      </c>
      <c r="I164" s="19" t="s">
        <v>45</v>
      </c>
    </row>
    <row r="165" ht="15.75" customHeight="1">
      <c r="A165" s="19" t="s">
        <v>574</v>
      </c>
      <c r="B165" s="19" t="s">
        <v>383</v>
      </c>
      <c r="C165" s="78">
        <v>46303.33333333333</v>
      </c>
      <c r="D165" s="19" t="s">
        <v>384</v>
      </c>
      <c r="E165" s="19" t="s">
        <v>334</v>
      </c>
      <c r="F165" s="19" t="s">
        <v>45</v>
      </c>
      <c r="G165" s="19" t="s">
        <v>385</v>
      </c>
      <c r="H165" s="79">
        <v>46307.91980549769</v>
      </c>
      <c r="I165" s="19" t="s">
        <v>45</v>
      </c>
    </row>
    <row r="166" ht="15.75" customHeight="1">
      <c r="A166" s="19" t="s">
        <v>575</v>
      </c>
      <c r="B166" s="19" t="s">
        <v>383</v>
      </c>
      <c r="C166" s="78">
        <v>46303.33333333333</v>
      </c>
      <c r="D166" s="19" t="s">
        <v>384</v>
      </c>
      <c r="E166" s="19" t="s">
        <v>335</v>
      </c>
      <c r="F166" s="19" t="s">
        <v>45</v>
      </c>
      <c r="G166" s="19" t="s">
        <v>385</v>
      </c>
      <c r="H166" s="79">
        <v>46307.91980549769</v>
      </c>
      <c r="I166" s="19" t="s">
        <v>45</v>
      </c>
    </row>
    <row r="167" ht="15.75" customHeight="1">
      <c r="A167" s="19" t="s">
        <v>576</v>
      </c>
      <c r="B167" s="19" t="s">
        <v>383</v>
      </c>
      <c r="C167" s="78">
        <v>46303.33333333333</v>
      </c>
      <c r="D167" s="19" t="s">
        <v>384</v>
      </c>
      <c r="E167" s="19" t="s">
        <v>336</v>
      </c>
      <c r="F167" s="19" t="s">
        <v>45</v>
      </c>
      <c r="G167" s="19" t="s">
        <v>385</v>
      </c>
      <c r="H167" s="79">
        <v>46307.91980549769</v>
      </c>
      <c r="I167" s="19" t="s">
        <v>45</v>
      </c>
    </row>
    <row r="168" ht="15.75" customHeight="1">
      <c r="A168" s="19" t="s">
        <v>577</v>
      </c>
      <c r="B168" s="19" t="s">
        <v>386</v>
      </c>
      <c r="C168" s="78">
        <v>46304.0</v>
      </c>
      <c r="D168" s="19" t="s">
        <v>387</v>
      </c>
      <c r="E168" s="19" t="s">
        <v>178</v>
      </c>
      <c r="F168" s="19" t="s">
        <v>42</v>
      </c>
      <c r="G168" s="19" t="s">
        <v>388</v>
      </c>
      <c r="H168" s="79">
        <v>46307.91980549769</v>
      </c>
      <c r="I168" s="19" t="s">
        <v>42</v>
      </c>
    </row>
    <row r="169" ht="15.75" customHeight="1">
      <c r="A169" s="19" t="s">
        <v>578</v>
      </c>
      <c r="B169" s="19" t="s">
        <v>386</v>
      </c>
      <c r="C169" s="78">
        <v>46304.0</v>
      </c>
      <c r="D169" s="19" t="s">
        <v>387</v>
      </c>
      <c r="E169" s="19" t="s">
        <v>184</v>
      </c>
      <c r="F169" s="19" t="s">
        <v>42</v>
      </c>
      <c r="G169" s="19" t="s">
        <v>388</v>
      </c>
      <c r="H169" s="79">
        <v>46307.91980549769</v>
      </c>
      <c r="I169" s="19" t="s">
        <v>42</v>
      </c>
    </row>
    <row r="170" ht="15.75" customHeight="1">
      <c r="A170" s="19" t="s">
        <v>579</v>
      </c>
      <c r="B170" s="19" t="s">
        <v>386</v>
      </c>
      <c r="C170" s="78">
        <v>46304.0</v>
      </c>
      <c r="D170" s="19" t="s">
        <v>387</v>
      </c>
      <c r="E170" s="19" t="s">
        <v>185</v>
      </c>
      <c r="F170" s="19" t="s">
        <v>42</v>
      </c>
      <c r="G170" s="19" t="s">
        <v>388</v>
      </c>
      <c r="H170" s="79">
        <v>46307.91980549769</v>
      </c>
      <c r="I170" s="19" t="s">
        <v>42</v>
      </c>
    </row>
    <row r="171" ht="15.75" customHeight="1">
      <c r="A171" s="19" t="s">
        <v>580</v>
      </c>
      <c r="B171" s="19" t="s">
        <v>386</v>
      </c>
      <c r="C171" s="78">
        <v>46304.0</v>
      </c>
      <c r="D171" s="19" t="s">
        <v>387</v>
      </c>
      <c r="E171" s="19" t="s">
        <v>187</v>
      </c>
      <c r="F171" s="19" t="s">
        <v>42</v>
      </c>
      <c r="G171" s="19" t="s">
        <v>388</v>
      </c>
      <c r="H171" s="79">
        <v>46307.91980549769</v>
      </c>
      <c r="I171" s="19" t="s">
        <v>42</v>
      </c>
    </row>
    <row r="172" ht="15.75" customHeight="1">
      <c r="A172" s="19" t="s">
        <v>581</v>
      </c>
      <c r="B172" s="19" t="s">
        <v>386</v>
      </c>
      <c r="C172" s="78">
        <v>46304.0</v>
      </c>
      <c r="D172" s="19" t="s">
        <v>387</v>
      </c>
      <c r="E172" s="19" t="s">
        <v>188</v>
      </c>
      <c r="F172" s="19" t="s">
        <v>42</v>
      </c>
      <c r="G172" s="19" t="s">
        <v>388</v>
      </c>
      <c r="H172" s="79">
        <v>46307.91980549769</v>
      </c>
      <c r="I172" s="19" t="s">
        <v>42</v>
      </c>
    </row>
    <row r="173" ht="15.75" customHeight="1">
      <c r="A173" s="19" t="s">
        <v>582</v>
      </c>
      <c r="B173" s="19" t="s">
        <v>386</v>
      </c>
      <c r="C173" s="78">
        <v>46304.0</v>
      </c>
      <c r="D173" s="19" t="s">
        <v>387</v>
      </c>
      <c r="E173" s="19" t="s">
        <v>189</v>
      </c>
      <c r="F173" s="19" t="s">
        <v>42</v>
      </c>
      <c r="G173" s="19" t="s">
        <v>388</v>
      </c>
      <c r="H173" s="79">
        <v>46307.91980549769</v>
      </c>
      <c r="I173" s="19" t="s">
        <v>42</v>
      </c>
    </row>
    <row r="174" ht="15.75" customHeight="1">
      <c r="A174" s="19" t="s">
        <v>583</v>
      </c>
      <c r="B174" s="19" t="s">
        <v>386</v>
      </c>
      <c r="C174" s="78">
        <v>46304.0</v>
      </c>
      <c r="D174" s="19" t="s">
        <v>387</v>
      </c>
      <c r="E174" s="19" t="s">
        <v>190</v>
      </c>
      <c r="F174" s="19" t="s">
        <v>42</v>
      </c>
      <c r="G174" s="19" t="s">
        <v>388</v>
      </c>
      <c r="H174" s="79">
        <v>46307.91980549769</v>
      </c>
      <c r="I174" s="19" t="s">
        <v>42</v>
      </c>
    </row>
    <row r="175" ht="15.75" customHeight="1">
      <c r="A175" s="19" t="s">
        <v>584</v>
      </c>
      <c r="B175" s="19" t="s">
        <v>386</v>
      </c>
      <c r="C175" s="78">
        <v>46304.0</v>
      </c>
      <c r="D175" s="19" t="s">
        <v>387</v>
      </c>
      <c r="E175" s="19" t="s">
        <v>191</v>
      </c>
      <c r="F175" s="19" t="s">
        <v>42</v>
      </c>
      <c r="G175" s="19" t="s">
        <v>388</v>
      </c>
      <c r="H175" s="79">
        <v>46307.91980549769</v>
      </c>
      <c r="I175" s="19" t="s">
        <v>42</v>
      </c>
    </row>
    <row r="176" ht="15.75" customHeight="1">
      <c r="A176" s="19" t="s">
        <v>585</v>
      </c>
      <c r="B176" s="19" t="s">
        <v>386</v>
      </c>
      <c r="C176" s="78">
        <v>46304.0</v>
      </c>
      <c r="D176" s="19" t="s">
        <v>387</v>
      </c>
      <c r="E176" s="19" t="s">
        <v>193</v>
      </c>
      <c r="F176" s="19" t="s">
        <v>42</v>
      </c>
      <c r="G176" s="19" t="s">
        <v>388</v>
      </c>
      <c r="H176" s="79">
        <v>46307.91980549769</v>
      </c>
      <c r="I176" s="19" t="s">
        <v>42</v>
      </c>
    </row>
    <row r="177" ht="15.75" customHeight="1">
      <c r="A177" s="19" t="s">
        <v>586</v>
      </c>
      <c r="B177" s="19" t="s">
        <v>386</v>
      </c>
      <c r="C177" s="78">
        <v>46304.0</v>
      </c>
      <c r="D177" s="19" t="s">
        <v>387</v>
      </c>
      <c r="E177" s="19" t="s">
        <v>196</v>
      </c>
      <c r="F177" s="19" t="s">
        <v>42</v>
      </c>
      <c r="G177" s="19" t="s">
        <v>388</v>
      </c>
      <c r="H177" s="79">
        <v>46307.91980549769</v>
      </c>
      <c r="I177" s="19" t="s">
        <v>42</v>
      </c>
    </row>
    <row r="178" ht="15.75" customHeight="1">
      <c r="A178" s="19" t="s">
        <v>587</v>
      </c>
      <c r="B178" s="19" t="s">
        <v>386</v>
      </c>
      <c r="C178" s="78">
        <v>46304.0</v>
      </c>
      <c r="D178" s="19" t="s">
        <v>387</v>
      </c>
      <c r="E178" s="19" t="s">
        <v>198</v>
      </c>
      <c r="F178" s="19" t="s">
        <v>42</v>
      </c>
      <c r="G178" s="19" t="s">
        <v>388</v>
      </c>
      <c r="H178" s="79">
        <v>46307.91980549769</v>
      </c>
      <c r="I178" s="19" t="s">
        <v>42</v>
      </c>
    </row>
    <row r="179" ht="15.75" customHeight="1">
      <c r="A179" s="19" t="s">
        <v>588</v>
      </c>
      <c r="B179" s="19" t="s">
        <v>386</v>
      </c>
      <c r="C179" s="78">
        <v>46304.0</v>
      </c>
      <c r="D179" s="19" t="s">
        <v>387</v>
      </c>
      <c r="E179" s="19" t="s">
        <v>199</v>
      </c>
      <c r="F179" s="19" t="s">
        <v>42</v>
      </c>
      <c r="G179" s="19" t="s">
        <v>388</v>
      </c>
      <c r="H179" s="79">
        <v>46307.91980549769</v>
      </c>
      <c r="I179" s="19" t="s">
        <v>42</v>
      </c>
    </row>
    <row r="180" ht="15.75" customHeight="1">
      <c r="A180" s="19" t="s">
        <v>589</v>
      </c>
      <c r="B180" s="19" t="s">
        <v>386</v>
      </c>
      <c r="C180" s="78">
        <v>46304.0</v>
      </c>
      <c r="D180" s="19" t="s">
        <v>387</v>
      </c>
      <c r="E180" s="19" t="s">
        <v>200</v>
      </c>
      <c r="F180" s="19" t="s">
        <v>42</v>
      </c>
      <c r="G180" s="19" t="s">
        <v>388</v>
      </c>
      <c r="H180" s="79">
        <v>46307.91980549769</v>
      </c>
      <c r="I180" s="19" t="s">
        <v>42</v>
      </c>
    </row>
    <row r="181" ht="15.75" customHeight="1">
      <c r="A181" s="19" t="s">
        <v>590</v>
      </c>
      <c r="B181" s="19" t="s">
        <v>386</v>
      </c>
      <c r="C181" s="78">
        <v>46304.0</v>
      </c>
      <c r="D181" s="19" t="s">
        <v>387</v>
      </c>
      <c r="E181" s="19" t="s">
        <v>202</v>
      </c>
      <c r="F181" s="19" t="s">
        <v>42</v>
      </c>
      <c r="G181" s="19" t="s">
        <v>388</v>
      </c>
      <c r="H181" s="79">
        <v>46307.91980549769</v>
      </c>
      <c r="I181" s="19" t="s">
        <v>42</v>
      </c>
    </row>
    <row r="182" ht="15.75" customHeight="1">
      <c r="A182" s="19" t="s">
        <v>591</v>
      </c>
      <c r="B182" s="19" t="s">
        <v>386</v>
      </c>
      <c r="C182" s="78">
        <v>46304.0</v>
      </c>
      <c r="D182" s="19" t="s">
        <v>387</v>
      </c>
      <c r="E182" s="19" t="s">
        <v>203</v>
      </c>
      <c r="F182" s="19" t="s">
        <v>42</v>
      </c>
      <c r="G182" s="19" t="s">
        <v>388</v>
      </c>
      <c r="H182" s="79">
        <v>46307.91980549769</v>
      </c>
      <c r="I182" s="19" t="s">
        <v>42</v>
      </c>
    </row>
    <row r="183" ht="15.75" customHeight="1">
      <c r="A183" s="19" t="s">
        <v>592</v>
      </c>
      <c r="B183" s="19" t="s">
        <v>386</v>
      </c>
      <c r="C183" s="78">
        <v>46304.0</v>
      </c>
      <c r="D183" s="19" t="s">
        <v>387</v>
      </c>
      <c r="E183" s="19" t="s">
        <v>204</v>
      </c>
      <c r="F183" s="19" t="s">
        <v>42</v>
      </c>
      <c r="G183" s="19" t="s">
        <v>388</v>
      </c>
      <c r="H183" s="79">
        <v>46307.91980549769</v>
      </c>
      <c r="I183" s="19" t="s">
        <v>42</v>
      </c>
    </row>
    <row r="184" ht="15.75" customHeight="1">
      <c r="A184" s="19" t="s">
        <v>593</v>
      </c>
      <c r="B184" s="19" t="s">
        <v>386</v>
      </c>
      <c r="C184" s="78">
        <v>46304.0</v>
      </c>
      <c r="D184" s="19" t="s">
        <v>387</v>
      </c>
      <c r="E184" s="19" t="s">
        <v>206</v>
      </c>
      <c r="F184" s="19" t="s">
        <v>42</v>
      </c>
      <c r="G184" s="19" t="s">
        <v>388</v>
      </c>
      <c r="H184" s="79">
        <v>46307.91980549769</v>
      </c>
      <c r="I184" s="19" t="s">
        <v>42</v>
      </c>
    </row>
    <row r="185" ht="15.75" customHeight="1">
      <c r="A185" s="19" t="s">
        <v>594</v>
      </c>
      <c r="B185" s="19" t="s">
        <v>386</v>
      </c>
      <c r="C185" s="78">
        <v>46304.0</v>
      </c>
      <c r="D185" s="19" t="s">
        <v>387</v>
      </c>
      <c r="E185" s="19" t="s">
        <v>207</v>
      </c>
      <c r="F185" s="19" t="s">
        <v>42</v>
      </c>
      <c r="G185" s="19" t="s">
        <v>388</v>
      </c>
      <c r="H185" s="79">
        <v>46307.91980549769</v>
      </c>
      <c r="I185" s="19" t="s">
        <v>42</v>
      </c>
    </row>
    <row r="186" ht="15.75" customHeight="1">
      <c r="A186" s="19" t="s">
        <v>595</v>
      </c>
      <c r="B186" s="19" t="s">
        <v>386</v>
      </c>
      <c r="C186" s="78">
        <v>46304.0</v>
      </c>
      <c r="D186" s="19" t="s">
        <v>387</v>
      </c>
      <c r="E186" s="19" t="s">
        <v>208</v>
      </c>
      <c r="F186" s="19" t="s">
        <v>42</v>
      </c>
      <c r="G186" s="19" t="s">
        <v>388</v>
      </c>
      <c r="H186" s="79">
        <v>46307.91980549769</v>
      </c>
      <c r="I186" s="19" t="s">
        <v>42</v>
      </c>
    </row>
    <row r="187" ht="15.75" customHeight="1">
      <c r="A187" s="19" t="s">
        <v>596</v>
      </c>
      <c r="B187" s="19" t="s">
        <v>386</v>
      </c>
      <c r="C187" s="78">
        <v>46304.0</v>
      </c>
      <c r="D187" s="19" t="s">
        <v>387</v>
      </c>
      <c r="E187" s="19" t="s">
        <v>210</v>
      </c>
      <c r="F187" s="19" t="s">
        <v>42</v>
      </c>
      <c r="G187" s="19" t="s">
        <v>388</v>
      </c>
      <c r="H187" s="79">
        <v>46307.91980549769</v>
      </c>
      <c r="I187" s="19" t="s">
        <v>42</v>
      </c>
    </row>
    <row r="188" ht="15.75" customHeight="1">
      <c r="A188" s="19" t="s">
        <v>597</v>
      </c>
      <c r="B188" s="19" t="s">
        <v>386</v>
      </c>
      <c r="C188" s="78">
        <v>46304.0</v>
      </c>
      <c r="D188" s="19" t="s">
        <v>387</v>
      </c>
      <c r="E188" s="19" t="s">
        <v>211</v>
      </c>
      <c r="F188" s="19" t="s">
        <v>42</v>
      </c>
      <c r="G188" s="19" t="s">
        <v>388</v>
      </c>
      <c r="H188" s="79">
        <v>46307.91980549769</v>
      </c>
      <c r="I188" s="19" t="s">
        <v>42</v>
      </c>
    </row>
    <row r="189" ht="15.75" customHeight="1">
      <c r="A189" s="19" t="s">
        <v>598</v>
      </c>
      <c r="B189" s="19" t="s">
        <v>386</v>
      </c>
      <c r="C189" s="78">
        <v>46304.0</v>
      </c>
      <c r="D189" s="19" t="s">
        <v>387</v>
      </c>
      <c r="E189" s="19" t="s">
        <v>214</v>
      </c>
      <c r="F189" s="19" t="s">
        <v>42</v>
      </c>
      <c r="G189" s="19" t="s">
        <v>388</v>
      </c>
      <c r="H189" s="79">
        <v>46307.91980549769</v>
      </c>
      <c r="I189" s="19" t="s">
        <v>42</v>
      </c>
    </row>
    <row r="190" ht="15.75" customHeight="1">
      <c r="A190" s="19" t="s">
        <v>599</v>
      </c>
      <c r="B190" s="19" t="s">
        <v>386</v>
      </c>
      <c r="C190" s="78">
        <v>46304.0</v>
      </c>
      <c r="D190" s="19" t="s">
        <v>387</v>
      </c>
      <c r="E190" s="19" t="s">
        <v>216</v>
      </c>
      <c r="F190" s="19" t="s">
        <v>42</v>
      </c>
      <c r="G190" s="19" t="s">
        <v>388</v>
      </c>
      <c r="H190" s="79">
        <v>46307.91980549769</v>
      </c>
      <c r="I190" s="19" t="s">
        <v>42</v>
      </c>
    </row>
    <row r="191" ht="15.75" customHeight="1">
      <c r="A191" s="19" t="s">
        <v>600</v>
      </c>
      <c r="B191" s="19" t="s">
        <v>389</v>
      </c>
      <c r="C191" s="78">
        <v>46303.33333333333</v>
      </c>
      <c r="D191" s="19" t="s">
        <v>390</v>
      </c>
      <c r="E191" s="19" t="s">
        <v>271</v>
      </c>
      <c r="F191" s="19" t="s">
        <v>44</v>
      </c>
      <c r="G191" s="19" t="s">
        <v>391</v>
      </c>
      <c r="H191" s="79">
        <v>46307.91980549769</v>
      </c>
      <c r="I191" s="19" t="s">
        <v>44</v>
      </c>
    </row>
    <row r="192" ht="15.75" customHeight="1">
      <c r="A192" s="19" t="s">
        <v>601</v>
      </c>
      <c r="B192" s="19" t="s">
        <v>389</v>
      </c>
      <c r="C192" s="78">
        <v>46303.33333333333</v>
      </c>
      <c r="D192" s="19" t="s">
        <v>390</v>
      </c>
      <c r="E192" s="19" t="s">
        <v>272</v>
      </c>
      <c r="F192" s="19" t="s">
        <v>44</v>
      </c>
      <c r="G192" s="19" t="s">
        <v>391</v>
      </c>
      <c r="H192" s="79">
        <v>46307.91980549769</v>
      </c>
      <c r="I192" s="19" t="s">
        <v>44</v>
      </c>
    </row>
    <row r="193" ht="15.75" customHeight="1">
      <c r="A193" s="19" t="s">
        <v>602</v>
      </c>
      <c r="B193" s="19" t="s">
        <v>389</v>
      </c>
      <c r="C193" s="78">
        <v>46303.33333333333</v>
      </c>
      <c r="D193" s="19" t="s">
        <v>390</v>
      </c>
      <c r="E193" s="19" t="s">
        <v>274</v>
      </c>
      <c r="F193" s="19" t="s">
        <v>44</v>
      </c>
      <c r="G193" s="19" t="s">
        <v>391</v>
      </c>
      <c r="H193" s="79">
        <v>46307.91980549769</v>
      </c>
      <c r="I193" s="19" t="s">
        <v>44</v>
      </c>
    </row>
    <row r="194" ht="15.75" customHeight="1">
      <c r="A194" s="19" t="s">
        <v>603</v>
      </c>
      <c r="B194" s="19" t="s">
        <v>389</v>
      </c>
      <c r="C194" s="78">
        <v>46303.33333333333</v>
      </c>
      <c r="D194" s="19" t="s">
        <v>390</v>
      </c>
      <c r="E194" s="19" t="s">
        <v>275</v>
      </c>
      <c r="F194" s="19" t="s">
        <v>44</v>
      </c>
      <c r="G194" s="19" t="s">
        <v>391</v>
      </c>
      <c r="H194" s="79">
        <v>46307.91980549769</v>
      </c>
      <c r="I194" s="19" t="s">
        <v>44</v>
      </c>
    </row>
    <row r="195" ht="15.75" customHeight="1">
      <c r="A195" s="19" t="s">
        <v>604</v>
      </c>
      <c r="B195" s="19" t="s">
        <v>389</v>
      </c>
      <c r="C195" s="78">
        <v>46303.33333333333</v>
      </c>
      <c r="D195" s="19" t="s">
        <v>390</v>
      </c>
      <c r="E195" s="19" t="s">
        <v>276</v>
      </c>
      <c r="F195" s="19" t="s">
        <v>44</v>
      </c>
      <c r="G195" s="19" t="s">
        <v>391</v>
      </c>
      <c r="H195" s="79">
        <v>46307.91980549769</v>
      </c>
      <c r="I195" s="19" t="s">
        <v>44</v>
      </c>
    </row>
    <row r="196" ht="15.75" customHeight="1">
      <c r="A196" s="19" t="s">
        <v>605</v>
      </c>
      <c r="B196" s="19" t="s">
        <v>389</v>
      </c>
      <c r="C196" s="78">
        <v>46303.33333333333</v>
      </c>
      <c r="D196" s="19" t="s">
        <v>390</v>
      </c>
      <c r="E196" s="19" t="s">
        <v>277</v>
      </c>
      <c r="F196" s="19" t="s">
        <v>44</v>
      </c>
      <c r="G196" s="19" t="s">
        <v>391</v>
      </c>
      <c r="H196" s="79">
        <v>46307.91980549769</v>
      </c>
      <c r="I196" s="19" t="s">
        <v>44</v>
      </c>
    </row>
    <row r="197" ht="15.75" customHeight="1">
      <c r="A197" s="19" t="s">
        <v>606</v>
      </c>
      <c r="B197" s="19" t="s">
        <v>389</v>
      </c>
      <c r="C197" s="78">
        <v>46303.33333333333</v>
      </c>
      <c r="D197" s="19" t="s">
        <v>390</v>
      </c>
      <c r="E197" s="19" t="s">
        <v>278</v>
      </c>
      <c r="F197" s="19" t="s">
        <v>44</v>
      </c>
      <c r="G197" s="19" t="s">
        <v>391</v>
      </c>
      <c r="H197" s="79">
        <v>46307.91980549769</v>
      </c>
      <c r="I197" s="19" t="s">
        <v>44</v>
      </c>
    </row>
    <row r="198" ht="15.75" customHeight="1">
      <c r="A198" s="19" t="s">
        <v>607</v>
      </c>
      <c r="B198" s="19" t="s">
        <v>389</v>
      </c>
      <c r="C198" s="78">
        <v>46303.33333333333</v>
      </c>
      <c r="D198" s="19" t="s">
        <v>390</v>
      </c>
      <c r="E198" s="19" t="s">
        <v>280</v>
      </c>
      <c r="F198" s="19" t="s">
        <v>44</v>
      </c>
      <c r="G198" s="19" t="s">
        <v>391</v>
      </c>
      <c r="H198" s="79">
        <v>46307.91980549769</v>
      </c>
      <c r="I198" s="19" t="s">
        <v>44</v>
      </c>
    </row>
    <row r="199" ht="15.75" customHeight="1">
      <c r="A199" s="19" t="s">
        <v>608</v>
      </c>
      <c r="B199" s="19" t="s">
        <v>389</v>
      </c>
      <c r="C199" s="78">
        <v>46303.33333333333</v>
      </c>
      <c r="D199" s="19" t="s">
        <v>390</v>
      </c>
      <c r="E199" s="19" t="s">
        <v>282</v>
      </c>
      <c r="F199" s="19" t="s">
        <v>44</v>
      </c>
      <c r="G199" s="19" t="s">
        <v>391</v>
      </c>
      <c r="H199" s="79">
        <v>46307.91980549769</v>
      </c>
      <c r="I199" s="19" t="s">
        <v>44</v>
      </c>
    </row>
    <row r="200" ht="15.75" customHeight="1">
      <c r="A200" s="19" t="s">
        <v>609</v>
      </c>
      <c r="B200" s="19" t="s">
        <v>389</v>
      </c>
      <c r="C200" s="78">
        <v>46303.33333333333</v>
      </c>
      <c r="D200" s="19" t="s">
        <v>390</v>
      </c>
      <c r="E200" s="19" t="s">
        <v>284</v>
      </c>
      <c r="F200" s="19" t="s">
        <v>44</v>
      </c>
      <c r="G200" s="19" t="s">
        <v>391</v>
      </c>
      <c r="H200" s="79">
        <v>46307.91980549769</v>
      </c>
      <c r="I200" s="19" t="s">
        <v>44</v>
      </c>
    </row>
    <row r="201" ht="15.75" customHeight="1">
      <c r="A201" s="19" t="s">
        <v>610</v>
      </c>
      <c r="B201" s="19" t="s">
        <v>389</v>
      </c>
      <c r="C201" s="78">
        <v>46303.33333333333</v>
      </c>
      <c r="D201" s="19" t="s">
        <v>390</v>
      </c>
      <c r="E201" s="19" t="s">
        <v>285</v>
      </c>
      <c r="F201" s="19" t="s">
        <v>44</v>
      </c>
      <c r="G201" s="19" t="s">
        <v>391</v>
      </c>
      <c r="H201" s="79">
        <v>46307.91980549769</v>
      </c>
      <c r="I201" s="19" t="s">
        <v>44</v>
      </c>
    </row>
    <row r="202" ht="15.75" customHeight="1">
      <c r="A202" s="19" t="s">
        <v>611</v>
      </c>
      <c r="B202" s="19" t="s">
        <v>389</v>
      </c>
      <c r="C202" s="78">
        <v>46303.33333333333</v>
      </c>
      <c r="D202" s="19" t="s">
        <v>390</v>
      </c>
      <c r="E202" s="19" t="s">
        <v>286</v>
      </c>
      <c r="F202" s="19" t="s">
        <v>44</v>
      </c>
      <c r="G202" s="19" t="s">
        <v>391</v>
      </c>
      <c r="H202" s="79">
        <v>46307.91980549769</v>
      </c>
      <c r="I202" s="19" t="s">
        <v>44</v>
      </c>
    </row>
    <row r="203" ht="15.75" customHeight="1">
      <c r="A203" s="19" t="s">
        <v>612</v>
      </c>
      <c r="B203" s="19" t="s">
        <v>389</v>
      </c>
      <c r="C203" s="78">
        <v>46303.33333333333</v>
      </c>
      <c r="D203" s="19" t="s">
        <v>390</v>
      </c>
      <c r="E203" s="19" t="s">
        <v>287</v>
      </c>
      <c r="F203" s="19" t="s">
        <v>44</v>
      </c>
      <c r="G203" s="19" t="s">
        <v>391</v>
      </c>
      <c r="H203" s="79">
        <v>46307.91980549769</v>
      </c>
      <c r="I203" s="19" t="s">
        <v>44</v>
      </c>
    </row>
    <row r="204" ht="15.75" customHeight="1">
      <c r="A204" s="19" t="s">
        <v>613</v>
      </c>
      <c r="B204" s="19" t="s">
        <v>389</v>
      </c>
      <c r="C204" s="78">
        <v>46303.33333333333</v>
      </c>
      <c r="D204" s="19" t="s">
        <v>390</v>
      </c>
      <c r="E204" s="19" t="s">
        <v>288</v>
      </c>
      <c r="F204" s="19" t="s">
        <v>44</v>
      </c>
      <c r="G204" s="19" t="s">
        <v>391</v>
      </c>
      <c r="H204" s="79">
        <v>46307.91980549769</v>
      </c>
      <c r="I204" s="19" t="s">
        <v>44</v>
      </c>
    </row>
    <row r="205" ht="15.75" customHeight="1">
      <c r="A205" s="19" t="s">
        <v>614</v>
      </c>
      <c r="B205" s="19" t="s">
        <v>389</v>
      </c>
      <c r="C205" s="78">
        <v>46303.33333333333</v>
      </c>
      <c r="D205" s="19" t="s">
        <v>390</v>
      </c>
      <c r="E205" s="19" t="s">
        <v>289</v>
      </c>
      <c r="F205" s="19" t="s">
        <v>44</v>
      </c>
      <c r="G205" s="19" t="s">
        <v>391</v>
      </c>
      <c r="H205" s="79">
        <v>46307.91980549769</v>
      </c>
      <c r="I205" s="19" t="s">
        <v>44</v>
      </c>
    </row>
    <row r="206" ht="15.75" customHeight="1">
      <c r="A206" s="19" t="s">
        <v>615</v>
      </c>
      <c r="B206" s="19" t="s">
        <v>389</v>
      </c>
      <c r="C206" s="78">
        <v>46303.33333333333</v>
      </c>
      <c r="D206" s="19" t="s">
        <v>390</v>
      </c>
      <c r="E206" s="19" t="s">
        <v>290</v>
      </c>
      <c r="F206" s="19" t="s">
        <v>44</v>
      </c>
      <c r="G206" s="19" t="s">
        <v>391</v>
      </c>
      <c r="H206" s="79">
        <v>46307.91980549769</v>
      </c>
      <c r="I206" s="19" t="s">
        <v>44</v>
      </c>
    </row>
    <row r="207" ht="15.75" customHeight="1">
      <c r="A207" s="19" t="s">
        <v>616</v>
      </c>
      <c r="B207" s="19" t="s">
        <v>389</v>
      </c>
      <c r="C207" s="78">
        <v>46303.33333333333</v>
      </c>
      <c r="D207" s="19" t="s">
        <v>390</v>
      </c>
      <c r="E207" s="19" t="s">
        <v>291</v>
      </c>
      <c r="F207" s="19" t="s">
        <v>44</v>
      </c>
      <c r="G207" s="19" t="s">
        <v>391</v>
      </c>
      <c r="H207" s="79">
        <v>46307.91980549769</v>
      </c>
      <c r="I207" s="19" t="s">
        <v>44</v>
      </c>
    </row>
    <row r="208" ht="15.75" customHeight="1">
      <c r="A208" s="19" t="s">
        <v>617</v>
      </c>
      <c r="B208" s="19" t="s">
        <v>389</v>
      </c>
      <c r="C208" s="78">
        <v>46303.33333333333</v>
      </c>
      <c r="D208" s="19" t="s">
        <v>390</v>
      </c>
      <c r="E208" s="19" t="s">
        <v>292</v>
      </c>
      <c r="F208" s="19" t="s">
        <v>44</v>
      </c>
      <c r="G208" s="19" t="s">
        <v>391</v>
      </c>
      <c r="H208" s="79">
        <v>46307.91980549769</v>
      </c>
      <c r="I208" s="19" t="s">
        <v>44</v>
      </c>
    </row>
    <row r="209" ht="15.75" customHeight="1">
      <c r="A209" s="19" t="s">
        <v>618</v>
      </c>
      <c r="B209" s="19" t="s">
        <v>389</v>
      </c>
      <c r="C209" s="78">
        <v>46303.33333333333</v>
      </c>
      <c r="D209" s="19" t="s">
        <v>390</v>
      </c>
      <c r="E209" s="19" t="s">
        <v>293</v>
      </c>
      <c r="F209" s="19" t="s">
        <v>44</v>
      </c>
      <c r="G209" s="19" t="s">
        <v>391</v>
      </c>
      <c r="H209" s="79">
        <v>46307.91980549769</v>
      </c>
      <c r="I209" s="19" t="s">
        <v>44</v>
      </c>
    </row>
    <row r="210" ht="15.75" customHeight="1">
      <c r="A210" s="19" t="s">
        <v>619</v>
      </c>
      <c r="B210" s="19" t="s">
        <v>389</v>
      </c>
      <c r="C210" s="78">
        <v>46303.33333333333</v>
      </c>
      <c r="D210" s="19" t="s">
        <v>390</v>
      </c>
      <c r="E210" s="19" t="s">
        <v>294</v>
      </c>
      <c r="F210" s="19" t="s">
        <v>44</v>
      </c>
      <c r="G210" s="19" t="s">
        <v>391</v>
      </c>
      <c r="H210" s="79">
        <v>46307.91980549769</v>
      </c>
      <c r="I210" s="19" t="s">
        <v>44</v>
      </c>
    </row>
    <row r="211" ht="15.75" customHeight="1">
      <c r="A211" s="19" t="s">
        <v>620</v>
      </c>
      <c r="B211" s="19" t="s">
        <v>389</v>
      </c>
      <c r="C211" s="78">
        <v>46303.33333333333</v>
      </c>
      <c r="D211" s="19" t="s">
        <v>390</v>
      </c>
      <c r="E211" s="19" t="s">
        <v>295</v>
      </c>
      <c r="F211" s="19" t="s">
        <v>44</v>
      </c>
      <c r="G211" s="19" t="s">
        <v>391</v>
      </c>
      <c r="H211" s="79">
        <v>46307.91980549769</v>
      </c>
      <c r="I211" s="19" t="s">
        <v>44</v>
      </c>
    </row>
    <row r="212" ht="15.75" customHeight="1">
      <c r="A212" s="19" t="s">
        <v>621</v>
      </c>
      <c r="B212" s="19" t="s">
        <v>389</v>
      </c>
      <c r="C212" s="78">
        <v>46303.33333333333</v>
      </c>
      <c r="D212" s="19" t="s">
        <v>390</v>
      </c>
      <c r="E212" s="19" t="s">
        <v>296</v>
      </c>
      <c r="F212" s="19" t="s">
        <v>44</v>
      </c>
      <c r="G212" s="19" t="s">
        <v>391</v>
      </c>
      <c r="H212" s="79">
        <v>46307.91980549769</v>
      </c>
      <c r="I212" s="19" t="s">
        <v>44</v>
      </c>
    </row>
    <row r="213" ht="15.75" customHeight="1">
      <c r="A213" s="19" t="s">
        <v>622</v>
      </c>
      <c r="B213" s="19" t="s">
        <v>389</v>
      </c>
      <c r="C213" s="78">
        <v>46303.33333333333</v>
      </c>
      <c r="D213" s="19" t="s">
        <v>390</v>
      </c>
      <c r="E213" s="19" t="s">
        <v>297</v>
      </c>
      <c r="F213" s="19" t="s">
        <v>44</v>
      </c>
      <c r="G213" s="19" t="s">
        <v>391</v>
      </c>
      <c r="H213" s="79">
        <v>46307.91980549769</v>
      </c>
      <c r="I213" s="19" t="s">
        <v>44</v>
      </c>
    </row>
    <row r="214" ht="15.75" customHeight="1">
      <c r="A214" s="19" t="s">
        <v>623</v>
      </c>
      <c r="B214" s="19" t="s">
        <v>389</v>
      </c>
      <c r="C214" s="78">
        <v>46303.33333333333</v>
      </c>
      <c r="D214" s="19" t="s">
        <v>390</v>
      </c>
      <c r="E214" s="19" t="s">
        <v>298</v>
      </c>
      <c r="F214" s="19" t="s">
        <v>44</v>
      </c>
      <c r="G214" s="19" t="s">
        <v>391</v>
      </c>
      <c r="H214" s="79">
        <v>46307.91980549769</v>
      </c>
      <c r="I214" s="19" t="s">
        <v>44</v>
      </c>
    </row>
    <row r="215" ht="15.75" customHeight="1">
      <c r="A215" s="19" t="s">
        <v>624</v>
      </c>
      <c r="B215" s="19" t="s">
        <v>389</v>
      </c>
      <c r="C215" s="78">
        <v>46303.33333333333</v>
      </c>
      <c r="D215" s="19" t="s">
        <v>390</v>
      </c>
      <c r="E215" s="19" t="s">
        <v>299</v>
      </c>
      <c r="F215" s="19" t="s">
        <v>44</v>
      </c>
      <c r="G215" s="19" t="s">
        <v>391</v>
      </c>
      <c r="H215" s="79">
        <v>46307.91980549769</v>
      </c>
      <c r="I215" s="19" t="s">
        <v>44</v>
      </c>
    </row>
    <row r="216" ht="15.75" customHeight="1">
      <c r="A216" s="19" t="s">
        <v>625</v>
      </c>
      <c r="B216" s="19" t="s">
        <v>389</v>
      </c>
      <c r="C216" s="78">
        <v>46303.33333333333</v>
      </c>
      <c r="D216" s="19" t="s">
        <v>390</v>
      </c>
      <c r="E216" s="19" t="s">
        <v>300</v>
      </c>
      <c r="F216" s="19" t="s">
        <v>44</v>
      </c>
      <c r="G216" s="19" t="s">
        <v>391</v>
      </c>
      <c r="H216" s="79">
        <v>46307.91980549769</v>
      </c>
      <c r="I216" s="19" t="s">
        <v>44</v>
      </c>
    </row>
    <row r="217" ht="15.75" customHeight="1">
      <c r="A217" s="19" t="s">
        <v>626</v>
      </c>
      <c r="B217" s="19" t="s">
        <v>389</v>
      </c>
      <c r="C217" s="78">
        <v>46303.33333333333</v>
      </c>
      <c r="D217" s="19" t="s">
        <v>390</v>
      </c>
      <c r="E217" s="19" t="s">
        <v>301</v>
      </c>
      <c r="F217" s="19" t="s">
        <v>44</v>
      </c>
      <c r="G217" s="19" t="s">
        <v>391</v>
      </c>
      <c r="H217" s="79">
        <v>46307.91980549769</v>
      </c>
      <c r="I217" s="19" t="s">
        <v>44</v>
      </c>
    </row>
    <row r="218" ht="15.75" customHeight="1">
      <c r="A218" s="19" t="s">
        <v>627</v>
      </c>
      <c r="B218" s="19" t="s">
        <v>389</v>
      </c>
      <c r="C218" s="78">
        <v>46303.33333333333</v>
      </c>
      <c r="D218" s="19" t="s">
        <v>390</v>
      </c>
      <c r="E218" s="19" t="s">
        <v>302</v>
      </c>
      <c r="F218" s="19" t="s">
        <v>44</v>
      </c>
      <c r="G218" s="19" t="s">
        <v>391</v>
      </c>
      <c r="H218" s="79">
        <v>46307.91980549769</v>
      </c>
      <c r="I218" s="19" t="s">
        <v>44</v>
      </c>
    </row>
    <row r="219" ht="15.75" customHeight="1">
      <c r="A219" s="19" t="s">
        <v>628</v>
      </c>
      <c r="B219" s="19" t="s">
        <v>389</v>
      </c>
      <c r="C219" s="78">
        <v>46303.33333333333</v>
      </c>
      <c r="D219" s="19" t="s">
        <v>390</v>
      </c>
      <c r="E219" s="19" t="s">
        <v>303</v>
      </c>
      <c r="F219" s="19" t="s">
        <v>44</v>
      </c>
      <c r="G219" s="19" t="s">
        <v>391</v>
      </c>
      <c r="H219" s="79">
        <v>46307.91980549769</v>
      </c>
      <c r="I219" s="19" t="s">
        <v>44</v>
      </c>
    </row>
    <row r="220" ht="15.75" customHeight="1">
      <c r="A220" s="19" t="s">
        <v>629</v>
      </c>
      <c r="B220" s="19" t="s">
        <v>392</v>
      </c>
      <c r="C220" s="78">
        <v>46303.33333333333</v>
      </c>
      <c r="D220" s="19" t="s">
        <v>74</v>
      </c>
      <c r="E220" s="19" t="s">
        <v>86</v>
      </c>
      <c r="F220" s="19" t="s">
        <v>43</v>
      </c>
      <c r="G220" s="19" t="s">
        <v>393</v>
      </c>
      <c r="H220" s="79">
        <v>46307.91980549769</v>
      </c>
      <c r="I220" s="19" t="s">
        <v>43</v>
      </c>
    </row>
    <row r="221" ht="15.75" customHeight="1">
      <c r="A221" s="19" t="s">
        <v>630</v>
      </c>
      <c r="B221" s="19" t="s">
        <v>392</v>
      </c>
      <c r="C221" s="29">
        <v>46303.33333333333</v>
      </c>
      <c r="D221" s="19" t="s">
        <v>74</v>
      </c>
      <c r="E221" s="19" t="s">
        <v>235</v>
      </c>
      <c r="F221" s="19" t="s">
        <v>43</v>
      </c>
      <c r="G221" s="19" t="s">
        <v>393</v>
      </c>
      <c r="H221" s="51">
        <v>46307.91980549769</v>
      </c>
      <c r="I221" s="19" t="s">
        <v>43</v>
      </c>
    </row>
    <row r="222" ht="15.75" customHeight="1">
      <c r="A222" s="19" t="s">
        <v>631</v>
      </c>
      <c r="B222" s="19" t="s">
        <v>392</v>
      </c>
      <c r="C222" s="29">
        <v>46303.33333333333</v>
      </c>
      <c r="D222" s="19" t="s">
        <v>74</v>
      </c>
      <c r="E222" s="19" t="s">
        <v>84</v>
      </c>
      <c r="F222" s="19" t="s">
        <v>43</v>
      </c>
      <c r="G222" s="19" t="s">
        <v>393</v>
      </c>
      <c r="H222" s="51">
        <v>46307.91980549769</v>
      </c>
      <c r="I222" s="19" t="s">
        <v>43</v>
      </c>
    </row>
    <row r="223" ht="15.75" customHeight="1">
      <c r="A223" s="19" t="s">
        <v>632</v>
      </c>
      <c r="B223" s="19" t="s">
        <v>392</v>
      </c>
      <c r="C223" s="29">
        <v>46303.33333333333</v>
      </c>
      <c r="D223" s="19" t="s">
        <v>74</v>
      </c>
      <c r="E223" s="19" t="s">
        <v>241</v>
      </c>
      <c r="F223" s="19" t="s">
        <v>43</v>
      </c>
      <c r="G223" s="19" t="s">
        <v>393</v>
      </c>
      <c r="H223" s="51">
        <v>46307.91980549769</v>
      </c>
      <c r="I223" s="19" t="s">
        <v>43</v>
      </c>
    </row>
    <row r="224" ht="15.75" customHeight="1">
      <c r="A224" s="19" t="s">
        <v>633</v>
      </c>
      <c r="B224" s="19" t="s">
        <v>392</v>
      </c>
      <c r="C224" s="29">
        <v>46303.33333333333</v>
      </c>
      <c r="D224" s="19" t="s">
        <v>74</v>
      </c>
      <c r="E224" s="19" t="s">
        <v>242</v>
      </c>
      <c r="F224" s="19" t="s">
        <v>43</v>
      </c>
      <c r="G224" s="19" t="s">
        <v>393</v>
      </c>
      <c r="H224" s="51">
        <v>46307.91980549769</v>
      </c>
      <c r="I224" s="19" t="s">
        <v>43</v>
      </c>
    </row>
    <row r="225" ht="15.75" customHeight="1">
      <c r="A225" s="19" t="s">
        <v>634</v>
      </c>
      <c r="B225" s="19" t="s">
        <v>392</v>
      </c>
      <c r="C225" s="29">
        <v>46303.33333333333</v>
      </c>
      <c r="D225" s="19" t="s">
        <v>74</v>
      </c>
      <c r="E225" s="19" t="s">
        <v>245</v>
      </c>
      <c r="F225" s="19" t="s">
        <v>43</v>
      </c>
      <c r="G225" s="19" t="s">
        <v>393</v>
      </c>
      <c r="H225" s="51">
        <v>46307.91980549769</v>
      </c>
      <c r="I225" s="19" t="s">
        <v>43</v>
      </c>
    </row>
    <row r="226" ht="15.75" customHeight="1">
      <c r="A226" s="19" t="s">
        <v>635</v>
      </c>
      <c r="B226" s="19" t="s">
        <v>392</v>
      </c>
      <c r="C226" s="29">
        <v>46303.33333333333</v>
      </c>
      <c r="D226" s="19" t="s">
        <v>74</v>
      </c>
      <c r="E226" s="19" t="s">
        <v>247</v>
      </c>
      <c r="F226" s="19" t="s">
        <v>43</v>
      </c>
      <c r="G226" s="19" t="s">
        <v>393</v>
      </c>
      <c r="H226" s="51">
        <v>46307.91980549769</v>
      </c>
      <c r="I226" s="19" t="s">
        <v>43</v>
      </c>
    </row>
    <row r="227" ht="15.75" customHeight="1">
      <c r="A227" s="19" t="s">
        <v>636</v>
      </c>
      <c r="B227" s="19" t="s">
        <v>392</v>
      </c>
      <c r="C227" s="29">
        <v>46303.33333333333</v>
      </c>
      <c r="D227" s="19" t="s">
        <v>74</v>
      </c>
      <c r="E227" s="19" t="s">
        <v>248</v>
      </c>
      <c r="F227" s="19" t="s">
        <v>43</v>
      </c>
      <c r="G227" s="19" t="s">
        <v>393</v>
      </c>
      <c r="H227" s="51">
        <v>46307.91980549769</v>
      </c>
      <c r="I227" s="19" t="s">
        <v>43</v>
      </c>
    </row>
    <row r="228" ht="15.75" customHeight="1">
      <c r="A228" s="19" t="s">
        <v>637</v>
      </c>
      <c r="B228" s="19" t="s">
        <v>392</v>
      </c>
      <c r="C228" s="29">
        <v>46303.33333333333</v>
      </c>
      <c r="D228" s="19" t="s">
        <v>74</v>
      </c>
      <c r="E228" s="19" t="s">
        <v>81</v>
      </c>
      <c r="F228" s="19" t="s">
        <v>43</v>
      </c>
      <c r="G228" s="19" t="s">
        <v>393</v>
      </c>
      <c r="H228" s="51">
        <v>46307.91980549769</v>
      </c>
      <c r="I228" s="19" t="s">
        <v>43</v>
      </c>
    </row>
    <row r="229" ht="15.75" customHeight="1">
      <c r="A229" s="19" t="s">
        <v>638</v>
      </c>
      <c r="B229" s="19" t="s">
        <v>392</v>
      </c>
      <c r="C229" s="29">
        <v>46303.33333333333</v>
      </c>
      <c r="D229" s="19" t="s">
        <v>74</v>
      </c>
      <c r="E229" s="19" t="s">
        <v>90</v>
      </c>
      <c r="F229" s="19" t="s">
        <v>43</v>
      </c>
      <c r="G229" s="19" t="s">
        <v>393</v>
      </c>
      <c r="H229" s="51">
        <v>46307.91980549769</v>
      </c>
      <c r="I229" s="19" t="s">
        <v>43</v>
      </c>
    </row>
    <row r="230" ht="15.75" customHeight="1">
      <c r="A230" s="19" t="s">
        <v>639</v>
      </c>
      <c r="B230" s="19" t="s">
        <v>392</v>
      </c>
      <c r="C230" s="29">
        <v>46303.33333333333</v>
      </c>
      <c r="D230" s="19" t="s">
        <v>74</v>
      </c>
      <c r="E230" s="19" t="s">
        <v>250</v>
      </c>
      <c r="F230" s="19" t="s">
        <v>43</v>
      </c>
      <c r="G230" s="19" t="s">
        <v>393</v>
      </c>
      <c r="H230" s="51">
        <v>46307.91980549769</v>
      </c>
      <c r="I230" s="19" t="s">
        <v>43</v>
      </c>
    </row>
    <row r="231" ht="15.75" customHeight="1">
      <c r="A231" s="19" t="s">
        <v>640</v>
      </c>
      <c r="B231" s="19" t="s">
        <v>392</v>
      </c>
      <c r="C231" s="29">
        <v>46303.33333333333</v>
      </c>
      <c r="D231" s="19" t="s">
        <v>74</v>
      </c>
      <c r="E231" s="19" t="s">
        <v>253</v>
      </c>
      <c r="F231" s="19" t="s">
        <v>43</v>
      </c>
      <c r="G231" s="19" t="s">
        <v>393</v>
      </c>
      <c r="H231" s="51">
        <v>46307.91980549769</v>
      </c>
      <c r="I231" s="19" t="s">
        <v>43</v>
      </c>
    </row>
    <row r="232" ht="15.75" customHeight="1">
      <c r="A232" s="19" t="s">
        <v>641</v>
      </c>
      <c r="B232" s="19" t="s">
        <v>392</v>
      </c>
      <c r="C232" s="29">
        <v>46303.33333333333</v>
      </c>
      <c r="D232" s="19" t="s">
        <v>74</v>
      </c>
      <c r="E232" s="19" t="s">
        <v>95</v>
      </c>
      <c r="F232" s="19" t="s">
        <v>43</v>
      </c>
      <c r="G232" s="19" t="s">
        <v>393</v>
      </c>
      <c r="H232" s="51">
        <v>46307.91980549769</v>
      </c>
      <c r="I232" s="19" t="s">
        <v>43</v>
      </c>
    </row>
    <row r="233" ht="15.75" customHeight="1">
      <c r="A233" s="19" t="s">
        <v>642</v>
      </c>
      <c r="B233" s="19" t="s">
        <v>392</v>
      </c>
      <c r="C233" s="29">
        <v>46303.33333333333</v>
      </c>
      <c r="D233" s="19" t="s">
        <v>74</v>
      </c>
      <c r="E233" s="19" t="s">
        <v>92</v>
      </c>
      <c r="F233" s="19" t="s">
        <v>43</v>
      </c>
      <c r="G233" s="19" t="s">
        <v>393</v>
      </c>
      <c r="H233" s="51">
        <v>46307.91980549769</v>
      </c>
      <c r="I233" s="19" t="s">
        <v>43</v>
      </c>
    </row>
    <row r="234" ht="15.75" customHeight="1">
      <c r="A234" s="19" t="s">
        <v>643</v>
      </c>
      <c r="B234" s="19" t="s">
        <v>392</v>
      </c>
      <c r="C234" s="29">
        <v>46303.33333333333</v>
      </c>
      <c r="D234" s="19" t="s">
        <v>74</v>
      </c>
      <c r="E234" s="19" t="s">
        <v>256</v>
      </c>
      <c r="F234" s="19" t="s">
        <v>43</v>
      </c>
      <c r="G234" s="19" t="s">
        <v>393</v>
      </c>
      <c r="H234" s="51">
        <v>46307.91980549769</v>
      </c>
      <c r="I234" s="19" t="s">
        <v>43</v>
      </c>
    </row>
    <row r="235" ht="15.75" customHeight="1">
      <c r="A235" s="19" t="s">
        <v>644</v>
      </c>
      <c r="B235" s="19" t="s">
        <v>392</v>
      </c>
      <c r="C235" s="29">
        <v>46303.33333333333</v>
      </c>
      <c r="D235" s="19" t="s">
        <v>74</v>
      </c>
      <c r="E235" s="19" t="s">
        <v>257</v>
      </c>
      <c r="F235" s="19" t="s">
        <v>43</v>
      </c>
      <c r="G235" s="19" t="s">
        <v>393</v>
      </c>
      <c r="H235" s="51">
        <v>46307.91980549769</v>
      </c>
      <c r="I235" s="19" t="s">
        <v>43</v>
      </c>
    </row>
    <row r="236" ht="15.75" customHeight="1">
      <c r="A236" s="19" t="s">
        <v>645</v>
      </c>
      <c r="B236" s="19" t="s">
        <v>392</v>
      </c>
      <c r="C236" s="29">
        <v>46303.33333333333</v>
      </c>
      <c r="D236" s="19" t="s">
        <v>74</v>
      </c>
      <c r="E236" s="19" t="s">
        <v>99</v>
      </c>
      <c r="F236" s="19" t="s">
        <v>43</v>
      </c>
      <c r="G236" s="19" t="s">
        <v>393</v>
      </c>
      <c r="H236" s="51">
        <v>46307.91980549769</v>
      </c>
      <c r="I236" s="19" t="s">
        <v>43</v>
      </c>
    </row>
    <row r="237" ht="15.75" customHeight="1">
      <c r="A237" s="19" t="s">
        <v>646</v>
      </c>
      <c r="B237" s="19" t="s">
        <v>392</v>
      </c>
      <c r="C237" s="29">
        <v>46303.33333333333</v>
      </c>
      <c r="D237" s="19" t="s">
        <v>74</v>
      </c>
      <c r="E237" s="19" t="s">
        <v>259</v>
      </c>
      <c r="F237" s="19" t="s">
        <v>43</v>
      </c>
      <c r="G237" s="19" t="s">
        <v>393</v>
      </c>
      <c r="H237" s="51">
        <v>46307.91980549769</v>
      </c>
      <c r="I237" s="19" t="s">
        <v>43</v>
      </c>
    </row>
    <row r="238" ht="15.75" customHeight="1">
      <c r="A238" s="19" t="s">
        <v>647</v>
      </c>
      <c r="B238" s="19" t="s">
        <v>392</v>
      </c>
      <c r="C238" s="29">
        <v>46303.33333333333</v>
      </c>
      <c r="D238" s="19" t="s">
        <v>74</v>
      </c>
      <c r="E238" s="19" t="s">
        <v>260</v>
      </c>
      <c r="F238" s="19" t="s">
        <v>43</v>
      </c>
      <c r="G238" s="19" t="s">
        <v>393</v>
      </c>
      <c r="H238" s="51">
        <v>46307.91980549769</v>
      </c>
      <c r="I238" s="19" t="s">
        <v>43</v>
      </c>
    </row>
    <row r="239" ht="15.75" customHeight="1">
      <c r="A239" s="19" t="s">
        <v>648</v>
      </c>
      <c r="B239" s="19" t="s">
        <v>392</v>
      </c>
      <c r="C239" s="29">
        <v>46303.33333333333</v>
      </c>
      <c r="D239" s="19" t="s">
        <v>74</v>
      </c>
      <c r="E239" s="19" t="s">
        <v>265</v>
      </c>
      <c r="F239" s="19" t="s">
        <v>43</v>
      </c>
      <c r="G239" s="19" t="s">
        <v>393</v>
      </c>
      <c r="H239" s="51">
        <v>46307.91980549769</v>
      </c>
      <c r="I239" s="19" t="s">
        <v>43</v>
      </c>
    </row>
    <row r="240" ht="15.75" customHeight="1">
      <c r="A240" s="19" t="s">
        <v>649</v>
      </c>
      <c r="B240" s="19" t="s">
        <v>392</v>
      </c>
      <c r="C240" s="29">
        <v>46303.33333333333</v>
      </c>
      <c r="D240" s="19" t="s">
        <v>74</v>
      </c>
      <c r="E240" s="19" t="s">
        <v>268</v>
      </c>
      <c r="F240" s="19" t="s">
        <v>43</v>
      </c>
      <c r="G240" s="19" t="s">
        <v>393</v>
      </c>
      <c r="H240" s="51">
        <v>46307.91980549769</v>
      </c>
      <c r="I240" s="19" t="s">
        <v>43</v>
      </c>
    </row>
    <row r="241" ht="15.75" customHeight="1">
      <c r="A241" s="19" t="s">
        <v>650</v>
      </c>
      <c r="B241" s="19" t="s">
        <v>394</v>
      </c>
      <c r="C241" s="29">
        <v>46306.0</v>
      </c>
      <c r="D241" s="19" t="s">
        <v>395</v>
      </c>
      <c r="E241" s="19" t="s">
        <v>184</v>
      </c>
      <c r="F241" s="19" t="s">
        <v>42</v>
      </c>
      <c r="G241" s="19" t="s">
        <v>396</v>
      </c>
      <c r="H241" s="51">
        <v>46307.91980549769</v>
      </c>
      <c r="I241" s="19" t="s">
        <v>42</v>
      </c>
    </row>
    <row r="242" ht="15.75" customHeight="1">
      <c r="A242" s="19" t="s">
        <v>651</v>
      </c>
      <c r="B242" s="19" t="s">
        <v>394</v>
      </c>
      <c r="C242" s="29">
        <v>46306.0</v>
      </c>
      <c r="D242" s="19" t="s">
        <v>395</v>
      </c>
      <c r="E242" s="19" t="s">
        <v>189</v>
      </c>
      <c r="F242" s="19" t="s">
        <v>42</v>
      </c>
      <c r="G242" s="19" t="s">
        <v>396</v>
      </c>
      <c r="H242" s="51">
        <v>46307.91980549769</v>
      </c>
      <c r="I242" s="19" t="s">
        <v>42</v>
      </c>
    </row>
    <row r="243" ht="15.75" customHeight="1">
      <c r="A243" s="19" t="s">
        <v>652</v>
      </c>
      <c r="B243" s="19" t="s">
        <v>394</v>
      </c>
      <c r="C243" s="29">
        <v>46306.0</v>
      </c>
      <c r="D243" s="19" t="s">
        <v>395</v>
      </c>
      <c r="E243" s="19" t="s">
        <v>190</v>
      </c>
      <c r="F243" s="19" t="s">
        <v>42</v>
      </c>
      <c r="G243" s="19" t="s">
        <v>396</v>
      </c>
      <c r="H243" s="51">
        <v>46307.91980549769</v>
      </c>
      <c r="I243" s="19" t="s">
        <v>42</v>
      </c>
    </row>
    <row r="244" ht="15.75" customHeight="1">
      <c r="A244" s="19" t="s">
        <v>653</v>
      </c>
      <c r="B244" s="19" t="s">
        <v>394</v>
      </c>
      <c r="C244" s="29">
        <v>46306.0</v>
      </c>
      <c r="D244" s="19" t="s">
        <v>395</v>
      </c>
      <c r="E244" s="19" t="s">
        <v>193</v>
      </c>
      <c r="F244" s="19" t="s">
        <v>42</v>
      </c>
      <c r="G244" s="19" t="s">
        <v>396</v>
      </c>
      <c r="H244" s="51">
        <v>46307.91980549769</v>
      </c>
      <c r="I244" s="19" t="s">
        <v>42</v>
      </c>
    </row>
    <row r="245" ht="15.75" customHeight="1">
      <c r="A245" s="19" t="s">
        <v>654</v>
      </c>
      <c r="B245" s="19" t="s">
        <v>394</v>
      </c>
      <c r="C245" s="29">
        <v>46306.0</v>
      </c>
      <c r="D245" s="19" t="s">
        <v>395</v>
      </c>
      <c r="E245" s="19" t="s">
        <v>196</v>
      </c>
      <c r="F245" s="19" t="s">
        <v>42</v>
      </c>
      <c r="G245" s="19" t="s">
        <v>396</v>
      </c>
      <c r="H245" s="51">
        <v>46307.91980549769</v>
      </c>
      <c r="I245" s="19" t="s">
        <v>42</v>
      </c>
    </row>
    <row r="246" ht="15.75" customHeight="1">
      <c r="A246" s="19" t="s">
        <v>655</v>
      </c>
      <c r="B246" s="19" t="s">
        <v>394</v>
      </c>
      <c r="C246" s="29">
        <v>46306.0</v>
      </c>
      <c r="D246" s="19" t="s">
        <v>395</v>
      </c>
      <c r="E246" s="19" t="s">
        <v>198</v>
      </c>
      <c r="F246" s="19" t="s">
        <v>42</v>
      </c>
      <c r="G246" s="19" t="s">
        <v>396</v>
      </c>
      <c r="H246" s="51">
        <v>46307.91980549769</v>
      </c>
      <c r="I246" s="19" t="s">
        <v>42</v>
      </c>
    </row>
    <row r="247" ht="15.75" customHeight="1">
      <c r="A247" s="19" t="s">
        <v>656</v>
      </c>
      <c r="B247" s="19" t="s">
        <v>394</v>
      </c>
      <c r="C247" s="29">
        <v>46306.0</v>
      </c>
      <c r="D247" s="19" t="s">
        <v>395</v>
      </c>
      <c r="E247" s="19" t="s">
        <v>202</v>
      </c>
      <c r="F247" s="19" t="s">
        <v>42</v>
      </c>
      <c r="G247" s="19" t="s">
        <v>396</v>
      </c>
      <c r="H247" s="51">
        <v>46307.91980549769</v>
      </c>
      <c r="I247" s="19" t="s">
        <v>42</v>
      </c>
    </row>
    <row r="248" ht="15.75" customHeight="1">
      <c r="A248" s="19" t="s">
        <v>657</v>
      </c>
      <c r="B248" s="19" t="s">
        <v>394</v>
      </c>
      <c r="C248" s="29">
        <v>46306.0</v>
      </c>
      <c r="D248" s="19" t="s">
        <v>395</v>
      </c>
      <c r="E248" s="19" t="s">
        <v>208</v>
      </c>
      <c r="F248" s="19" t="s">
        <v>42</v>
      </c>
      <c r="G248" s="19" t="s">
        <v>396</v>
      </c>
      <c r="H248" s="51">
        <v>46307.91980549769</v>
      </c>
      <c r="I248" s="19" t="s">
        <v>42</v>
      </c>
    </row>
    <row r="249" ht="15.75" customHeight="1">
      <c r="A249" s="19" t="s">
        <v>658</v>
      </c>
      <c r="B249" s="19" t="s">
        <v>394</v>
      </c>
      <c r="C249" s="29">
        <v>46306.0</v>
      </c>
      <c r="D249" s="19" t="s">
        <v>395</v>
      </c>
      <c r="E249" s="19" t="s">
        <v>210</v>
      </c>
      <c r="F249" s="19" t="s">
        <v>42</v>
      </c>
      <c r="G249" s="19" t="s">
        <v>396</v>
      </c>
      <c r="H249" s="51">
        <v>46307.91980549769</v>
      </c>
      <c r="I249" s="19" t="s">
        <v>42</v>
      </c>
    </row>
    <row r="250" ht="15.75" customHeight="1">
      <c r="A250" s="19" t="s">
        <v>659</v>
      </c>
      <c r="B250" s="19" t="s">
        <v>394</v>
      </c>
      <c r="C250" s="29">
        <v>46306.0</v>
      </c>
      <c r="D250" s="19" t="s">
        <v>395</v>
      </c>
      <c r="E250" s="19" t="s">
        <v>211</v>
      </c>
      <c r="F250" s="19" t="s">
        <v>42</v>
      </c>
      <c r="G250" s="19" t="s">
        <v>396</v>
      </c>
      <c r="H250" s="51">
        <v>46307.91980549769</v>
      </c>
      <c r="I250" s="19" t="s">
        <v>42</v>
      </c>
    </row>
    <row r="251" ht="15.75" customHeight="1">
      <c r="A251" s="19" t="s">
        <v>660</v>
      </c>
      <c r="B251" s="19" t="s">
        <v>394</v>
      </c>
      <c r="C251" s="29">
        <v>46306.0</v>
      </c>
      <c r="D251" s="19" t="s">
        <v>395</v>
      </c>
      <c r="E251" s="19" t="s">
        <v>214</v>
      </c>
      <c r="F251" s="19" t="s">
        <v>42</v>
      </c>
      <c r="G251" s="19" t="s">
        <v>396</v>
      </c>
      <c r="H251" s="51">
        <v>46307.91980549769</v>
      </c>
      <c r="I251" s="19" t="s">
        <v>42</v>
      </c>
    </row>
    <row r="252" ht="15.75" customHeight="1">
      <c r="A252" s="19" t="s">
        <v>661</v>
      </c>
      <c r="B252" s="19" t="s">
        <v>394</v>
      </c>
      <c r="C252" s="29">
        <v>46306.0</v>
      </c>
      <c r="D252" s="19" t="s">
        <v>395</v>
      </c>
      <c r="E252" s="19" t="s">
        <v>216</v>
      </c>
      <c r="F252" s="19" t="s">
        <v>42</v>
      </c>
      <c r="G252" s="19" t="s">
        <v>396</v>
      </c>
      <c r="H252" s="51">
        <v>46307.91980549769</v>
      </c>
      <c r="I252" s="19" t="s">
        <v>42</v>
      </c>
    </row>
    <row r="253" ht="15.75" customHeight="1">
      <c r="A253" s="19" t="s">
        <v>662</v>
      </c>
      <c r="B253" s="19" t="s">
        <v>397</v>
      </c>
      <c r="C253" s="29">
        <v>46305.33333333333</v>
      </c>
      <c r="D253" s="19" t="s">
        <v>398</v>
      </c>
      <c r="E253" s="19" t="s">
        <v>183</v>
      </c>
      <c r="F253" s="19" t="s">
        <v>42</v>
      </c>
      <c r="G253" s="19" t="s">
        <v>399</v>
      </c>
      <c r="H253" s="51">
        <v>46307.91980549769</v>
      </c>
    </row>
    <row r="254" ht="15.75" customHeight="1">
      <c r="A254" s="19" t="s">
        <v>663</v>
      </c>
      <c r="B254" s="19" t="s">
        <v>397</v>
      </c>
      <c r="C254" s="29">
        <v>46305.33333333333</v>
      </c>
      <c r="D254" s="19" t="s">
        <v>398</v>
      </c>
      <c r="E254" s="19" t="s">
        <v>233</v>
      </c>
      <c r="F254" s="19" t="s">
        <v>43</v>
      </c>
      <c r="G254" s="19" t="s">
        <v>399</v>
      </c>
      <c r="H254" s="51">
        <v>46307.91980549769</v>
      </c>
    </row>
    <row r="255" ht="15.75" customHeight="1">
      <c r="A255" s="19" t="s">
        <v>664</v>
      </c>
      <c r="B255" s="19" t="s">
        <v>397</v>
      </c>
      <c r="C255" s="29">
        <v>46305.33333333333</v>
      </c>
      <c r="D255" s="19" t="s">
        <v>398</v>
      </c>
      <c r="E255" s="19" t="s">
        <v>123</v>
      </c>
      <c r="F255" s="19" t="s">
        <v>41</v>
      </c>
      <c r="G255" s="19" t="s">
        <v>399</v>
      </c>
      <c r="H255" s="51">
        <v>46307.91980549769</v>
      </c>
    </row>
    <row r="256" ht="15.75" customHeight="1">
      <c r="A256" s="19" t="s">
        <v>665</v>
      </c>
      <c r="B256" s="19" t="s">
        <v>397</v>
      </c>
      <c r="C256" s="29">
        <v>46305.33333333333</v>
      </c>
      <c r="D256" s="19" t="s">
        <v>398</v>
      </c>
      <c r="E256" s="19" t="s">
        <v>280</v>
      </c>
      <c r="F256" s="19" t="s">
        <v>44</v>
      </c>
      <c r="G256" s="19" t="s">
        <v>399</v>
      </c>
      <c r="H256" s="51">
        <v>46307.91980549769</v>
      </c>
    </row>
    <row r="257" ht="15.75" customHeight="1">
      <c r="A257" s="19" t="s">
        <v>666</v>
      </c>
      <c r="B257" s="19" t="s">
        <v>397</v>
      </c>
      <c r="C257" s="29">
        <v>46305.33333333333</v>
      </c>
      <c r="D257" s="19" t="s">
        <v>398</v>
      </c>
      <c r="E257" s="19" t="s">
        <v>235</v>
      </c>
      <c r="F257" s="19" t="s">
        <v>43</v>
      </c>
      <c r="G257" s="19" t="s">
        <v>399</v>
      </c>
      <c r="H257" s="51">
        <v>46307.91980549769</v>
      </c>
    </row>
    <row r="258" ht="15.75" customHeight="1">
      <c r="A258" s="19" t="s">
        <v>667</v>
      </c>
      <c r="B258" s="19" t="s">
        <v>397</v>
      </c>
      <c r="C258" s="29">
        <v>46305.33333333333</v>
      </c>
      <c r="D258" s="19" t="s">
        <v>398</v>
      </c>
      <c r="E258" s="19" t="s">
        <v>236</v>
      </c>
      <c r="F258" s="19" t="s">
        <v>43</v>
      </c>
      <c r="G258" s="19" t="s">
        <v>399</v>
      </c>
      <c r="H258" s="51">
        <v>46307.91980549769</v>
      </c>
    </row>
    <row r="259" ht="15.75" customHeight="1">
      <c r="A259" s="19" t="s">
        <v>668</v>
      </c>
      <c r="B259" s="19" t="s">
        <v>397</v>
      </c>
      <c r="C259" s="29">
        <v>46305.33333333333</v>
      </c>
      <c r="D259" s="19" t="s">
        <v>398</v>
      </c>
      <c r="E259" s="19" t="s">
        <v>281</v>
      </c>
      <c r="F259" s="19" t="s">
        <v>44</v>
      </c>
      <c r="G259" s="19" t="s">
        <v>399</v>
      </c>
      <c r="H259" s="51">
        <v>46307.91980549769</v>
      </c>
    </row>
    <row r="260" ht="15.75" customHeight="1">
      <c r="A260" s="19" t="s">
        <v>669</v>
      </c>
      <c r="B260" s="19" t="s">
        <v>397</v>
      </c>
      <c r="C260" s="29">
        <v>46305.33333333333</v>
      </c>
      <c r="D260" s="19" t="s">
        <v>398</v>
      </c>
      <c r="E260" s="19" t="s">
        <v>282</v>
      </c>
      <c r="F260" s="19" t="s">
        <v>44</v>
      </c>
      <c r="G260" s="19" t="s">
        <v>399</v>
      </c>
      <c r="H260" s="51">
        <v>46307.91980549769</v>
      </c>
    </row>
    <row r="261" ht="15.75" customHeight="1">
      <c r="A261" s="19" t="s">
        <v>670</v>
      </c>
      <c r="B261" s="19" t="s">
        <v>397</v>
      </c>
      <c r="C261" s="29">
        <v>46305.33333333333</v>
      </c>
      <c r="D261" s="19" t="s">
        <v>398</v>
      </c>
      <c r="E261" s="19" t="s">
        <v>84</v>
      </c>
      <c r="F261" s="19" t="s">
        <v>43</v>
      </c>
      <c r="G261" s="19" t="s">
        <v>399</v>
      </c>
      <c r="H261" s="51">
        <v>46307.91980549769</v>
      </c>
    </row>
    <row r="262" ht="15.75" customHeight="1">
      <c r="A262" s="19" t="s">
        <v>671</v>
      </c>
      <c r="B262" s="19" t="s">
        <v>397</v>
      </c>
      <c r="C262" s="29">
        <v>46305.33333333333</v>
      </c>
      <c r="D262" s="19" t="s">
        <v>398</v>
      </c>
      <c r="E262" s="19" t="s">
        <v>184</v>
      </c>
      <c r="F262" s="19" t="s">
        <v>42</v>
      </c>
      <c r="G262" s="19" t="s">
        <v>399</v>
      </c>
      <c r="H262" s="51">
        <v>46307.91980549769</v>
      </c>
    </row>
    <row r="263" ht="15.75" customHeight="1">
      <c r="A263" s="19" t="s">
        <v>672</v>
      </c>
      <c r="B263" s="19" t="s">
        <v>397</v>
      </c>
      <c r="C263" s="29">
        <v>46305.33333333333</v>
      </c>
      <c r="D263" s="19" t="s">
        <v>398</v>
      </c>
      <c r="E263" s="19" t="s">
        <v>283</v>
      </c>
      <c r="F263" s="19" t="s">
        <v>44</v>
      </c>
      <c r="G263" s="19" t="s">
        <v>399</v>
      </c>
      <c r="H263" s="51">
        <v>46307.91980549769</v>
      </c>
    </row>
    <row r="264" ht="15.75" customHeight="1">
      <c r="A264" s="19" t="s">
        <v>673</v>
      </c>
      <c r="B264" s="19" t="s">
        <v>397</v>
      </c>
      <c r="C264" s="29">
        <v>46305.33333333333</v>
      </c>
      <c r="D264" s="19" t="s">
        <v>398</v>
      </c>
      <c r="E264" s="19" t="s">
        <v>284</v>
      </c>
      <c r="F264" s="19" t="s">
        <v>44</v>
      </c>
      <c r="G264" s="19" t="s">
        <v>399</v>
      </c>
      <c r="H264" s="51">
        <v>46307.91980549769</v>
      </c>
    </row>
    <row r="265" ht="15.75" customHeight="1">
      <c r="A265" s="19" t="s">
        <v>674</v>
      </c>
      <c r="B265" s="19" t="s">
        <v>397</v>
      </c>
      <c r="C265" s="29">
        <v>46305.33333333333</v>
      </c>
      <c r="D265" s="19" t="s">
        <v>398</v>
      </c>
      <c r="E265" s="19" t="s">
        <v>237</v>
      </c>
      <c r="F265" s="19" t="s">
        <v>43</v>
      </c>
      <c r="G265" s="19" t="s">
        <v>399</v>
      </c>
      <c r="H265" s="51">
        <v>46307.91980549769</v>
      </c>
    </row>
    <row r="266" ht="15.75" customHeight="1">
      <c r="A266" s="19" t="s">
        <v>675</v>
      </c>
      <c r="B266" s="19" t="s">
        <v>397</v>
      </c>
      <c r="C266" s="29">
        <v>46305.33333333333</v>
      </c>
      <c r="D266" s="19" t="s">
        <v>398</v>
      </c>
      <c r="E266" s="19" t="s">
        <v>239</v>
      </c>
      <c r="F266" s="19" t="s">
        <v>43</v>
      </c>
      <c r="G266" s="19" t="s">
        <v>399</v>
      </c>
      <c r="H266" s="51">
        <v>46307.91980549769</v>
      </c>
    </row>
    <row r="267" ht="15.75" customHeight="1">
      <c r="A267" s="19" t="s">
        <v>676</v>
      </c>
      <c r="B267" s="19" t="s">
        <v>397</v>
      </c>
      <c r="C267" s="29">
        <v>46305.33333333333</v>
      </c>
      <c r="D267" s="19" t="s">
        <v>398</v>
      </c>
      <c r="E267" s="19" t="s">
        <v>286</v>
      </c>
      <c r="F267" s="19" t="s">
        <v>44</v>
      </c>
      <c r="G267" s="19" t="s">
        <v>399</v>
      </c>
      <c r="H267" s="51">
        <v>46307.91980549769</v>
      </c>
    </row>
    <row r="268" ht="15.75" customHeight="1">
      <c r="A268" s="19" t="s">
        <v>677</v>
      </c>
      <c r="B268" s="19" t="s">
        <v>397</v>
      </c>
      <c r="C268" s="29">
        <v>46305.33333333333</v>
      </c>
      <c r="D268" s="19" t="s">
        <v>398</v>
      </c>
      <c r="E268" s="19" t="s">
        <v>287</v>
      </c>
      <c r="F268" s="19" t="s">
        <v>44</v>
      </c>
      <c r="G268" s="19" t="s">
        <v>399</v>
      </c>
      <c r="H268" s="51">
        <v>46307.91980549769</v>
      </c>
    </row>
    <row r="269" ht="15.75" customHeight="1">
      <c r="A269" s="19" t="s">
        <v>678</v>
      </c>
      <c r="B269" s="19" t="s">
        <v>397</v>
      </c>
      <c r="C269" s="29">
        <v>46305.33333333333</v>
      </c>
      <c r="D269" s="19" t="s">
        <v>398</v>
      </c>
      <c r="E269" s="19" t="s">
        <v>240</v>
      </c>
      <c r="F269" s="19" t="s">
        <v>43</v>
      </c>
      <c r="G269" s="19" t="s">
        <v>399</v>
      </c>
      <c r="H269" s="51">
        <v>46307.91980549769</v>
      </c>
    </row>
    <row r="270" ht="15.75" customHeight="1">
      <c r="A270" s="19" t="s">
        <v>679</v>
      </c>
      <c r="B270" s="19" t="s">
        <v>397</v>
      </c>
      <c r="C270" s="29">
        <v>46305.33333333333</v>
      </c>
      <c r="D270" s="19" t="s">
        <v>398</v>
      </c>
      <c r="E270" s="19" t="s">
        <v>187</v>
      </c>
      <c r="F270" s="19" t="s">
        <v>42</v>
      </c>
      <c r="G270" s="19" t="s">
        <v>399</v>
      </c>
      <c r="H270" s="51">
        <v>46307.91980549769</v>
      </c>
    </row>
    <row r="271" ht="15.75" customHeight="1">
      <c r="A271" s="19" t="s">
        <v>680</v>
      </c>
      <c r="B271" s="19" t="s">
        <v>397</v>
      </c>
      <c r="C271" s="29">
        <v>46305.33333333333</v>
      </c>
      <c r="D271" s="19" t="s">
        <v>398</v>
      </c>
      <c r="E271" s="19" t="s">
        <v>288</v>
      </c>
      <c r="F271" s="19" t="s">
        <v>44</v>
      </c>
      <c r="G271" s="19" t="s">
        <v>399</v>
      </c>
      <c r="H271" s="51">
        <v>46307.91980549769</v>
      </c>
    </row>
    <row r="272" ht="15.75" customHeight="1">
      <c r="A272" s="19" t="s">
        <v>681</v>
      </c>
      <c r="B272" s="19" t="s">
        <v>397</v>
      </c>
      <c r="C272" s="29">
        <v>46305.33333333333</v>
      </c>
      <c r="D272" s="19" t="s">
        <v>398</v>
      </c>
      <c r="E272" s="19" t="s">
        <v>241</v>
      </c>
      <c r="F272" s="19" t="s">
        <v>43</v>
      </c>
      <c r="G272" s="19" t="s">
        <v>399</v>
      </c>
      <c r="H272" s="51">
        <v>46307.91980549769</v>
      </c>
    </row>
    <row r="273" ht="15.75" customHeight="1">
      <c r="A273" s="19" t="s">
        <v>682</v>
      </c>
      <c r="B273" s="19" t="s">
        <v>397</v>
      </c>
      <c r="C273" s="29">
        <v>46305.33333333333</v>
      </c>
      <c r="D273" s="19" t="s">
        <v>398</v>
      </c>
      <c r="E273" s="19" t="s">
        <v>189</v>
      </c>
      <c r="F273" s="19" t="s">
        <v>42</v>
      </c>
      <c r="G273" s="19" t="s">
        <v>399</v>
      </c>
      <c r="H273" s="51">
        <v>46307.91980549769</v>
      </c>
    </row>
    <row r="274" ht="15.75" customHeight="1">
      <c r="A274" s="19" t="s">
        <v>683</v>
      </c>
      <c r="B274" s="19" t="s">
        <v>397</v>
      </c>
      <c r="C274" s="29">
        <v>46305.33333333333</v>
      </c>
      <c r="D274" s="19" t="s">
        <v>398</v>
      </c>
      <c r="E274" s="19" t="s">
        <v>190</v>
      </c>
      <c r="F274" s="19" t="s">
        <v>42</v>
      </c>
      <c r="G274" s="19" t="s">
        <v>399</v>
      </c>
      <c r="H274" s="51">
        <v>46307.91980549769</v>
      </c>
    </row>
    <row r="275" ht="15.75" customHeight="1">
      <c r="A275" s="19" t="s">
        <v>684</v>
      </c>
      <c r="B275" s="19" t="s">
        <v>397</v>
      </c>
      <c r="C275" s="29">
        <v>46305.33333333333</v>
      </c>
      <c r="D275" s="19" t="s">
        <v>398</v>
      </c>
      <c r="E275" s="19" t="s">
        <v>242</v>
      </c>
      <c r="F275" s="19" t="s">
        <v>43</v>
      </c>
      <c r="G275" s="19" t="s">
        <v>399</v>
      </c>
      <c r="H275" s="51">
        <v>46307.91980549769</v>
      </c>
    </row>
    <row r="276" ht="15.75" customHeight="1">
      <c r="A276" s="19" t="s">
        <v>685</v>
      </c>
      <c r="B276" s="19" t="s">
        <v>397</v>
      </c>
      <c r="C276" s="29">
        <v>46305.33333333333</v>
      </c>
      <c r="D276" s="19" t="s">
        <v>398</v>
      </c>
      <c r="E276" s="19" t="s">
        <v>243</v>
      </c>
      <c r="F276" s="19" t="s">
        <v>43</v>
      </c>
      <c r="G276" s="19" t="s">
        <v>399</v>
      </c>
      <c r="H276" s="51">
        <v>46307.91980549769</v>
      </c>
    </row>
    <row r="277" ht="15.75" customHeight="1">
      <c r="A277" s="19" t="s">
        <v>686</v>
      </c>
      <c r="B277" s="19" t="s">
        <v>397</v>
      </c>
      <c r="C277" s="29">
        <v>46305.33333333333</v>
      </c>
      <c r="D277" s="19" t="s">
        <v>398</v>
      </c>
      <c r="E277" s="19" t="s">
        <v>126</v>
      </c>
      <c r="F277" s="19" t="s">
        <v>41</v>
      </c>
      <c r="G277" s="19" t="s">
        <v>399</v>
      </c>
      <c r="H277" s="51">
        <v>46307.91980549769</v>
      </c>
    </row>
    <row r="278" ht="15.75" customHeight="1">
      <c r="A278" s="19" t="s">
        <v>687</v>
      </c>
      <c r="B278" s="19" t="s">
        <v>397</v>
      </c>
      <c r="C278" s="29">
        <v>46305.33333333333</v>
      </c>
      <c r="D278" s="19" t="s">
        <v>398</v>
      </c>
      <c r="E278" s="19" t="s">
        <v>127</v>
      </c>
      <c r="F278" s="19" t="s">
        <v>41</v>
      </c>
      <c r="G278" s="19" t="s">
        <v>399</v>
      </c>
      <c r="H278" s="51">
        <v>46307.91980549769</v>
      </c>
    </row>
    <row r="279" ht="15.75" customHeight="1">
      <c r="A279" s="19" t="s">
        <v>688</v>
      </c>
      <c r="B279" s="19" t="s">
        <v>397</v>
      </c>
      <c r="C279" s="29">
        <v>46305.33333333333</v>
      </c>
      <c r="D279" s="19" t="s">
        <v>398</v>
      </c>
      <c r="E279" s="19" t="s">
        <v>245</v>
      </c>
      <c r="F279" s="19" t="s">
        <v>43</v>
      </c>
      <c r="G279" s="19" t="s">
        <v>399</v>
      </c>
      <c r="H279" s="51">
        <v>46307.91980549769</v>
      </c>
    </row>
    <row r="280" ht="15.75" customHeight="1">
      <c r="A280" s="19" t="s">
        <v>689</v>
      </c>
      <c r="B280" s="19" t="s">
        <v>397</v>
      </c>
      <c r="C280" s="29">
        <v>46305.33333333333</v>
      </c>
      <c r="D280" s="19" t="s">
        <v>398</v>
      </c>
      <c r="E280" s="19" t="s">
        <v>246</v>
      </c>
      <c r="F280" s="19" t="s">
        <v>43</v>
      </c>
      <c r="G280" s="19" t="s">
        <v>399</v>
      </c>
      <c r="H280" s="51">
        <v>46307.91980549769</v>
      </c>
    </row>
    <row r="281" ht="15.75" customHeight="1">
      <c r="A281" s="19" t="s">
        <v>690</v>
      </c>
      <c r="B281" s="19" t="s">
        <v>397</v>
      </c>
      <c r="C281" s="29">
        <v>46305.33333333333</v>
      </c>
      <c r="D281" s="19" t="s">
        <v>398</v>
      </c>
      <c r="E281" s="19" t="s">
        <v>310</v>
      </c>
      <c r="F281" s="19" t="s">
        <v>45</v>
      </c>
      <c r="G281" s="19" t="s">
        <v>399</v>
      </c>
      <c r="H281" s="51">
        <v>46307.91980549769</v>
      </c>
    </row>
    <row r="282" ht="15.75" customHeight="1">
      <c r="A282" s="19" t="s">
        <v>691</v>
      </c>
      <c r="B282" s="19" t="s">
        <v>397</v>
      </c>
      <c r="C282" s="29">
        <v>46305.33333333333</v>
      </c>
      <c r="D282" s="19" t="s">
        <v>398</v>
      </c>
      <c r="E282" s="19" t="s">
        <v>247</v>
      </c>
      <c r="F282" s="19" t="s">
        <v>43</v>
      </c>
      <c r="G282" s="19" t="s">
        <v>399</v>
      </c>
      <c r="H282" s="51">
        <v>46307.91980549769</v>
      </c>
    </row>
    <row r="283" ht="15.75" customHeight="1">
      <c r="A283" s="19" t="s">
        <v>692</v>
      </c>
      <c r="B283" s="19" t="s">
        <v>397</v>
      </c>
      <c r="C283" s="29">
        <v>46305.33333333333</v>
      </c>
      <c r="D283" s="19" t="s">
        <v>398</v>
      </c>
      <c r="E283" s="19" t="s">
        <v>311</v>
      </c>
      <c r="F283" s="19" t="s">
        <v>45</v>
      </c>
      <c r="G283" s="19" t="s">
        <v>399</v>
      </c>
      <c r="H283" s="51">
        <v>46307.91980549769</v>
      </c>
    </row>
    <row r="284" ht="15.75" customHeight="1">
      <c r="A284" s="19" t="s">
        <v>693</v>
      </c>
      <c r="B284" s="19" t="s">
        <v>397</v>
      </c>
      <c r="C284" s="29">
        <v>46305.33333333333</v>
      </c>
      <c r="D284" s="19" t="s">
        <v>398</v>
      </c>
      <c r="E284" s="19" t="s">
        <v>312</v>
      </c>
      <c r="F284" s="19" t="s">
        <v>45</v>
      </c>
      <c r="G284" s="19" t="s">
        <v>399</v>
      </c>
      <c r="H284" s="51">
        <v>46307.91980549769</v>
      </c>
    </row>
    <row r="285" ht="15.75" customHeight="1">
      <c r="A285" s="19" t="s">
        <v>694</v>
      </c>
      <c r="B285" s="19" t="s">
        <v>397</v>
      </c>
      <c r="C285" s="29">
        <v>46305.33333333333</v>
      </c>
      <c r="D285" s="19" t="s">
        <v>398</v>
      </c>
      <c r="E285" s="19" t="s">
        <v>191</v>
      </c>
      <c r="F285" s="19" t="s">
        <v>42</v>
      </c>
      <c r="G285" s="19" t="s">
        <v>399</v>
      </c>
      <c r="H285" s="51">
        <v>46307.91980549769</v>
      </c>
    </row>
    <row r="286" ht="15.75" customHeight="1">
      <c r="A286" s="19" t="s">
        <v>695</v>
      </c>
      <c r="B286" s="19" t="s">
        <v>397</v>
      </c>
      <c r="C286" s="29">
        <v>46305.33333333333</v>
      </c>
      <c r="D286" s="19" t="s">
        <v>398</v>
      </c>
      <c r="E286" s="19" t="s">
        <v>314</v>
      </c>
      <c r="F286" s="19" t="s">
        <v>45</v>
      </c>
      <c r="G286" s="19" t="s">
        <v>399</v>
      </c>
      <c r="H286" s="51">
        <v>46307.91980549769</v>
      </c>
    </row>
    <row r="287" ht="15.75" customHeight="1">
      <c r="A287" s="19" t="s">
        <v>696</v>
      </c>
      <c r="B287" s="19" t="s">
        <v>397</v>
      </c>
      <c r="C287" s="29">
        <v>46305.33333333333</v>
      </c>
      <c r="D287" s="19" t="s">
        <v>398</v>
      </c>
      <c r="E287" s="19" t="s">
        <v>289</v>
      </c>
      <c r="F287" s="19" t="s">
        <v>44</v>
      </c>
      <c r="G287" s="19" t="s">
        <v>399</v>
      </c>
      <c r="H287" s="51">
        <v>46307.91980549769</v>
      </c>
    </row>
    <row r="288" ht="15.75" customHeight="1">
      <c r="A288" s="19" t="s">
        <v>697</v>
      </c>
      <c r="B288" s="19" t="s">
        <v>397</v>
      </c>
      <c r="C288" s="29">
        <v>46305.33333333333</v>
      </c>
      <c r="D288" s="19" t="s">
        <v>398</v>
      </c>
      <c r="E288" s="19" t="s">
        <v>248</v>
      </c>
      <c r="F288" s="19" t="s">
        <v>43</v>
      </c>
      <c r="G288" s="19" t="s">
        <v>399</v>
      </c>
      <c r="H288" s="51">
        <v>46307.91980549769</v>
      </c>
    </row>
    <row r="289" ht="15.75" customHeight="1">
      <c r="A289" s="19" t="s">
        <v>698</v>
      </c>
      <c r="B289" s="19" t="s">
        <v>397</v>
      </c>
      <c r="C289" s="29">
        <v>46305.33333333333</v>
      </c>
      <c r="D289" s="19" t="s">
        <v>398</v>
      </c>
      <c r="E289" s="19" t="s">
        <v>290</v>
      </c>
      <c r="F289" s="19" t="s">
        <v>44</v>
      </c>
      <c r="G289" s="19" t="s">
        <v>399</v>
      </c>
      <c r="H289" s="51">
        <v>46307.91980549769</v>
      </c>
    </row>
    <row r="290" ht="15.75" customHeight="1">
      <c r="A290" s="19" t="s">
        <v>699</v>
      </c>
      <c r="B290" s="19" t="s">
        <v>397</v>
      </c>
      <c r="C290" s="29">
        <v>46305.33333333333</v>
      </c>
      <c r="D290" s="19" t="s">
        <v>398</v>
      </c>
      <c r="E290" s="19" t="s">
        <v>81</v>
      </c>
      <c r="F290" s="19" t="s">
        <v>43</v>
      </c>
      <c r="G290" s="19" t="s">
        <v>399</v>
      </c>
      <c r="H290" s="51">
        <v>46307.91980549769</v>
      </c>
    </row>
    <row r="291" ht="15.75" customHeight="1">
      <c r="A291" s="19" t="s">
        <v>700</v>
      </c>
      <c r="B291" s="19" t="s">
        <v>397</v>
      </c>
      <c r="C291" s="29">
        <v>46305.33333333333</v>
      </c>
      <c r="D291" s="19" t="s">
        <v>398</v>
      </c>
      <c r="E291" s="19" t="s">
        <v>249</v>
      </c>
      <c r="F291" s="19" t="s">
        <v>43</v>
      </c>
      <c r="G291" s="19" t="s">
        <v>399</v>
      </c>
      <c r="H291" s="51">
        <v>46307.91980549769</v>
      </c>
    </row>
    <row r="292" ht="15.75" customHeight="1">
      <c r="A292" s="19" t="s">
        <v>701</v>
      </c>
      <c r="B292" s="19" t="s">
        <v>397</v>
      </c>
      <c r="C292" s="29">
        <v>46305.33333333333</v>
      </c>
      <c r="D292" s="19" t="s">
        <v>398</v>
      </c>
      <c r="E292" s="19" t="s">
        <v>90</v>
      </c>
      <c r="F292" s="19" t="s">
        <v>43</v>
      </c>
      <c r="G292" s="19" t="s">
        <v>399</v>
      </c>
      <c r="H292" s="51">
        <v>46307.91980549769</v>
      </c>
    </row>
    <row r="293" ht="15.75" customHeight="1">
      <c r="A293" s="19" t="s">
        <v>702</v>
      </c>
      <c r="B293" s="19" t="s">
        <v>397</v>
      </c>
      <c r="C293" s="29">
        <v>46305.33333333333</v>
      </c>
      <c r="D293" s="19" t="s">
        <v>398</v>
      </c>
      <c r="E293" s="19" t="s">
        <v>130</v>
      </c>
      <c r="F293" s="19" t="s">
        <v>41</v>
      </c>
      <c r="G293" s="19" t="s">
        <v>399</v>
      </c>
      <c r="H293" s="51">
        <v>46307.91980549769</v>
      </c>
    </row>
    <row r="294" ht="15.75" customHeight="1">
      <c r="A294" s="19" t="s">
        <v>703</v>
      </c>
      <c r="B294" s="19" t="s">
        <v>397</v>
      </c>
      <c r="C294" s="29">
        <v>46305.33333333333</v>
      </c>
      <c r="D294" s="19" t="s">
        <v>398</v>
      </c>
      <c r="E294" s="19" t="s">
        <v>250</v>
      </c>
      <c r="F294" s="19" t="s">
        <v>43</v>
      </c>
      <c r="G294" s="19" t="s">
        <v>399</v>
      </c>
      <c r="H294" s="51">
        <v>46307.91980549769</v>
      </c>
    </row>
    <row r="295" ht="15.75" customHeight="1">
      <c r="A295" s="19" t="s">
        <v>704</v>
      </c>
      <c r="B295" s="19" t="s">
        <v>397</v>
      </c>
      <c r="C295" s="29">
        <v>46305.33333333333</v>
      </c>
      <c r="D295" s="19" t="s">
        <v>398</v>
      </c>
      <c r="E295" s="19" t="s">
        <v>292</v>
      </c>
      <c r="F295" s="19" t="s">
        <v>44</v>
      </c>
      <c r="G295" s="19" t="s">
        <v>399</v>
      </c>
      <c r="H295" s="51">
        <v>46307.91980549769</v>
      </c>
    </row>
    <row r="296" ht="15.75" customHeight="1">
      <c r="A296" s="19" t="s">
        <v>705</v>
      </c>
      <c r="B296" s="19" t="s">
        <v>397</v>
      </c>
      <c r="C296" s="29">
        <v>46305.33333333333</v>
      </c>
      <c r="D296" s="19" t="s">
        <v>398</v>
      </c>
      <c r="E296" s="19" t="s">
        <v>251</v>
      </c>
      <c r="F296" s="19" t="s">
        <v>43</v>
      </c>
      <c r="G296" s="19" t="s">
        <v>399</v>
      </c>
      <c r="H296" s="51">
        <v>46307.91980549769</v>
      </c>
    </row>
    <row r="297" ht="15.75" customHeight="1">
      <c r="A297" s="19" t="s">
        <v>706</v>
      </c>
      <c r="B297" s="19" t="s">
        <v>397</v>
      </c>
      <c r="C297" s="29">
        <v>46305.33333333333</v>
      </c>
      <c r="D297" s="19" t="s">
        <v>398</v>
      </c>
      <c r="E297" s="19" t="s">
        <v>132</v>
      </c>
      <c r="F297" s="19" t="s">
        <v>41</v>
      </c>
      <c r="G297" s="19" t="s">
        <v>399</v>
      </c>
      <c r="H297" s="51">
        <v>46307.91980549769</v>
      </c>
    </row>
    <row r="298" ht="15.75" customHeight="1">
      <c r="A298" s="19" t="s">
        <v>707</v>
      </c>
      <c r="B298" s="19" t="s">
        <v>397</v>
      </c>
      <c r="C298" s="29">
        <v>46305.33333333333</v>
      </c>
      <c r="D298" s="19" t="s">
        <v>398</v>
      </c>
      <c r="E298" s="19" t="s">
        <v>133</v>
      </c>
      <c r="F298" s="19" t="s">
        <v>41</v>
      </c>
      <c r="G298" s="19" t="s">
        <v>399</v>
      </c>
      <c r="H298" s="51">
        <v>46307.91980549769</v>
      </c>
    </row>
    <row r="299" ht="15.75" customHeight="1">
      <c r="A299" s="19" t="s">
        <v>708</v>
      </c>
      <c r="B299" s="19" t="s">
        <v>397</v>
      </c>
      <c r="C299" s="29">
        <v>46305.33333333333</v>
      </c>
      <c r="D299" s="19" t="s">
        <v>398</v>
      </c>
      <c r="E299" s="19" t="s">
        <v>134</v>
      </c>
      <c r="F299" s="19" t="s">
        <v>41</v>
      </c>
      <c r="G299" s="19" t="s">
        <v>399</v>
      </c>
      <c r="H299" s="51">
        <v>46307.91980549769</v>
      </c>
    </row>
    <row r="300" ht="15.75" customHeight="1">
      <c r="A300" s="19" t="s">
        <v>709</v>
      </c>
      <c r="B300" s="19" t="s">
        <v>397</v>
      </c>
      <c r="C300" s="29">
        <v>46305.33333333333</v>
      </c>
      <c r="D300" s="19" t="s">
        <v>398</v>
      </c>
      <c r="E300" s="19" t="s">
        <v>135</v>
      </c>
      <c r="F300" s="19" t="s">
        <v>41</v>
      </c>
      <c r="G300" s="19" t="s">
        <v>399</v>
      </c>
      <c r="H300" s="51">
        <v>46307.91980549769</v>
      </c>
    </row>
    <row r="301" ht="15.75" customHeight="1">
      <c r="A301" s="19" t="s">
        <v>710</v>
      </c>
      <c r="B301" s="19" t="s">
        <v>397</v>
      </c>
      <c r="C301" s="29">
        <v>46305.33333333333</v>
      </c>
      <c r="D301" s="19" t="s">
        <v>398</v>
      </c>
      <c r="E301" s="19" t="s">
        <v>252</v>
      </c>
      <c r="F301" s="19" t="s">
        <v>43</v>
      </c>
      <c r="G301" s="19" t="s">
        <v>399</v>
      </c>
      <c r="H301" s="51">
        <v>46307.91980549769</v>
      </c>
    </row>
    <row r="302" ht="15.75" customHeight="1">
      <c r="A302" s="19" t="s">
        <v>711</v>
      </c>
      <c r="B302" s="19" t="s">
        <v>397</v>
      </c>
      <c r="C302" s="29">
        <v>46305.33333333333</v>
      </c>
      <c r="D302" s="19" t="s">
        <v>398</v>
      </c>
      <c r="E302" s="19" t="s">
        <v>253</v>
      </c>
      <c r="F302" s="19" t="s">
        <v>43</v>
      </c>
      <c r="G302" s="19" t="s">
        <v>399</v>
      </c>
      <c r="H302" s="51">
        <v>46307.91980549769</v>
      </c>
    </row>
    <row r="303" ht="15.75" customHeight="1">
      <c r="A303" s="19" t="s">
        <v>712</v>
      </c>
      <c r="B303" s="19" t="s">
        <v>397</v>
      </c>
      <c r="C303" s="29">
        <v>46305.33333333333</v>
      </c>
      <c r="D303" s="19" t="s">
        <v>398</v>
      </c>
      <c r="E303" s="19" t="s">
        <v>137</v>
      </c>
      <c r="F303" s="19" t="s">
        <v>41</v>
      </c>
      <c r="G303" s="19" t="s">
        <v>399</v>
      </c>
      <c r="H303" s="51">
        <v>46307.91980549769</v>
      </c>
    </row>
    <row r="304" ht="15.75" customHeight="1">
      <c r="A304" s="19" t="s">
        <v>713</v>
      </c>
      <c r="B304" s="19" t="s">
        <v>397</v>
      </c>
      <c r="C304" s="29">
        <v>46305.33333333333</v>
      </c>
      <c r="D304" s="19" t="s">
        <v>398</v>
      </c>
      <c r="E304" s="19" t="s">
        <v>194</v>
      </c>
      <c r="F304" s="19" t="s">
        <v>42</v>
      </c>
      <c r="G304" s="19" t="s">
        <v>399</v>
      </c>
      <c r="H304" s="51">
        <v>46307.91980549769</v>
      </c>
    </row>
    <row r="305" ht="15.75" customHeight="1">
      <c r="A305" s="19" t="s">
        <v>714</v>
      </c>
      <c r="B305" s="19" t="s">
        <v>397</v>
      </c>
      <c r="C305" s="29">
        <v>46305.33333333333</v>
      </c>
      <c r="D305" s="19" t="s">
        <v>398</v>
      </c>
      <c r="E305" s="19" t="s">
        <v>95</v>
      </c>
      <c r="F305" s="19" t="s">
        <v>43</v>
      </c>
      <c r="G305" s="19" t="s">
        <v>399</v>
      </c>
      <c r="H305" s="51">
        <v>46307.91980549769</v>
      </c>
    </row>
    <row r="306" ht="15.75" customHeight="1">
      <c r="A306" s="19" t="s">
        <v>715</v>
      </c>
      <c r="B306" s="19" t="s">
        <v>397</v>
      </c>
      <c r="C306" s="29">
        <v>46305.33333333333</v>
      </c>
      <c r="D306" s="19" t="s">
        <v>398</v>
      </c>
      <c r="E306" s="19" t="s">
        <v>195</v>
      </c>
      <c r="F306" s="19" t="s">
        <v>42</v>
      </c>
      <c r="G306" s="19" t="s">
        <v>399</v>
      </c>
      <c r="H306" s="51">
        <v>46307.91980549769</v>
      </c>
    </row>
    <row r="307" ht="15.75" customHeight="1">
      <c r="A307" s="19" t="s">
        <v>716</v>
      </c>
      <c r="B307" s="19" t="s">
        <v>397</v>
      </c>
      <c r="C307" s="29">
        <v>46305.33333333333</v>
      </c>
      <c r="D307" s="19" t="s">
        <v>398</v>
      </c>
      <c r="E307" s="19" t="s">
        <v>138</v>
      </c>
      <c r="F307" s="19" t="s">
        <v>41</v>
      </c>
      <c r="G307" s="19" t="s">
        <v>399</v>
      </c>
      <c r="H307" s="51">
        <v>46307.91980549769</v>
      </c>
    </row>
    <row r="308" ht="15.75" customHeight="1">
      <c r="A308" s="19" t="s">
        <v>717</v>
      </c>
      <c r="B308" s="19" t="s">
        <v>397</v>
      </c>
      <c r="C308" s="29">
        <v>46305.33333333333</v>
      </c>
      <c r="D308" s="19" t="s">
        <v>398</v>
      </c>
      <c r="E308" s="19" t="s">
        <v>294</v>
      </c>
      <c r="F308" s="19" t="s">
        <v>44</v>
      </c>
      <c r="G308" s="19" t="s">
        <v>399</v>
      </c>
      <c r="H308" s="51">
        <v>46307.91980549769</v>
      </c>
    </row>
    <row r="309" ht="15.75" customHeight="1">
      <c r="A309" s="19" t="s">
        <v>718</v>
      </c>
      <c r="B309" s="19" t="s">
        <v>397</v>
      </c>
      <c r="C309" s="29">
        <v>46305.33333333333</v>
      </c>
      <c r="D309" s="19" t="s">
        <v>398</v>
      </c>
      <c r="E309" s="19" t="s">
        <v>139</v>
      </c>
      <c r="F309" s="19" t="s">
        <v>41</v>
      </c>
      <c r="G309" s="19" t="s">
        <v>399</v>
      </c>
      <c r="H309" s="51">
        <v>46307.91980549769</v>
      </c>
    </row>
    <row r="310" ht="15.75" customHeight="1">
      <c r="A310" s="19" t="s">
        <v>719</v>
      </c>
      <c r="B310" s="19" t="s">
        <v>397</v>
      </c>
      <c r="C310" s="29">
        <v>46305.33333333333</v>
      </c>
      <c r="D310" s="19" t="s">
        <v>398</v>
      </c>
      <c r="E310" s="19" t="s">
        <v>140</v>
      </c>
      <c r="F310" s="19" t="s">
        <v>41</v>
      </c>
      <c r="G310" s="19" t="s">
        <v>399</v>
      </c>
      <c r="H310" s="51">
        <v>46307.91980549769</v>
      </c>
    </row>
    <row r="311" ht="15.75" customHeight="1">
      <c r="A311" s="19" t="s">
        <v>720</v>
      </c>
      <c r="B311" s="19" t="s">
        <v>397</v>
      </c>
      <c r="C311" s="29">
        <v>46305.33333333333</v>
      </c>
      <c r="D311" s="19" t="s">
        <v>398</v>
      </c>
      <c r="E311" s="19" t="s">
        <v>295</v>
      </c>
      <c r="F311" s="19" t="s">
        <v>44</v>
      </c>
      <c r="G311" s="19" t="s">
        <v>399</v>
      </c>
      <c r="H311" s="51">
        <v>46307.91980549769</v>
      </c>
    </row>
    <row r="312" ht="15.75" customHeight="1">
      <c r="A312" s="19" t="s">
        <v>721</v>
      </c>
      <c r="B312" s="19" t="s">
        <v>397</v>
      </c>
      <c r="C312" s="29">
        <v>46305.33333333333</v>
      </c>
      <c r="D312" s="19" t="s">
        <v>398</v>
      </c>
      <c r="E312" s="19" t="s">
        <v>198</v>
      </c>
      <c r="F312" s="19" t="s">
        <v>42</v>
      </c>
      <c r="G312" s="19" t="s">
        <v>399</v>
      </c>
      <c r="H312" s="51">
        <v>46307.91980549769</v>
      </c>
    </row>
    <row r="313" ht="15.75" customHeight="1">
      <c r="A313" s="19" t="s">
        <v>722</v>
      </c>
      <c r="B313" s="19" t="s">
        <v>397</v>
      </c>
      <c r="C313" s="29">
        <v>46305.33333333333</v>
      </c>
      <c r="D313" s="19" t="s">
        <v>398</v>
      </c>
      <c r="E313" s="19" t="s">
        <v>92</v>
      </c>
      <c r="F313" s="19" t="s">
        <v>43</v>
      </c>
      <c r="G313" s="19" t="s">
        <v>399</v>
      </c>
      <c r="H313" s="51">
        <v>46307.91980549769</v>
      </c>
    </row>
    <row r="314" ht="15.75" customHeight="1">
      <c r="A314" s="19" t="s">
        <v>723</v>
      </c>
      <c r="B314" s="19" t="s">
        <v>397</v>
      </c>
      <c r="C314" s="29">
        <v>46305.33333333333</v>
      </c>
      <c r="D314" s="19" t="s">
        <v>398</v>
      </c>
      <c r="E314" s="19" t="s">
        <v>199</v>
      </c>
      <c r="F314" s="19" t="s">
        <v>42</v>
      </c>
      <c r="G314" s="19" t="s">
        <v>399</v>
      </c>
      <c r="H314" s="51">
        <v>46307.91980549769</v>
      </c>
    </row>
    <row r="315" ht="15.75" customHeight="1">
      <c r="A315" s="19" t="s">
        <v>724</v>
      </c>
      <c r="B315" s="19" t="s">
        <v>397</v>
      </c>
      <c r="C315" s="29">
        <v>46305.33333333333</v>
      </c>
      <c r="D315" s="19" t="s">
        <v>398</v>
      </c>
      <c r="E315" s="19" t="s">
        <v>296</v>
      </c>
      <c r="F315" s="19" t="s">
        <v>44</v>
      </c>
      <c r="G315" s="19" t="s">
        <v>399</v>
      </c>
      <c r="H315" s="51">
        <v>46307.91980549769</v>
      </c>
    </row>
    <row r="316" ht="15.75" customHeight="1">
      <c r="A316" s="19" t="s">
        <v>725</v>
      </c>
      <c r="B316" s="19" t="s">
        <v>397</v>
      </c>
      <c r="C316" s="29">
        <v>46305.33333333333</v>
      </c>
      <c r="D316" s="19" t="s">
        <v>398</v>
      </c>
      <c r="E316" s="19" t="s">
        <v>256</v>
      </c>
      <c r="F316" s="19" t="s">
        <v>43</v>
      </c>
      <c r="G316" s="19" t="s">
        <v>399</v>
      </c>
      <c r="H316" s="51">
        <v>46307.91980549769</v>
      </c>
    </row>
    <row r="317" ht="15.75" customHeight="1">
      <c r="A317" s="19" t="s">
        <v>726</v>
      </c>
      <c r="B317" s="19" t="s">
        <v>397</v>
      </c>
      <c r="C317" s="29">
        <v>46305.33333333333</v>
      </c>
      <c r="D317" s="19" t="s">
        <v>398</v>
      </c>
      <c r="E317" s="19" t="s">
        <v>142</v>
      </c>
      <c r="F317" s="19" t="s">
        <v>41</v>
      </c>
      <c r="G317" s="19" t="s">
        <v>399</v>
      </c>
      <c r="H317" s="51">
        <v>46307.91980549769</v>
      </c>
    </row>
    <row r="318" ht="15.75" customHeight="1">
      <c r="A318" s="19" t="s">
        <v>727</v>
      </c>
      <c r="B318" s="19" t="s">
        <v>397</v>
      </c>
      <c r="C318" s="29">
        <v>46305.33333333333</v>
      </c>
      <c r="D318" s="19" t="s">
        <v>398</v>
      </c>
      <c r="E318" s="19" t="s">
        <v>257</v>
      </c>
      <c r="F318" s="19" t="s">
        <v>43</v>
      </c>
      <c r="G318" s="19" t="s">
        <v>399</v>
      </c>
      <c r="H318" s="51">
        <v>46307.91980549769</v>
      </c>
    </row>
    <row r="319" ht="15.75" customHeight="1">
      <c r="A319" s="19" t="s">
        <v>728</v>
      </c>
      <c r="B319" s="19" t="s">
        <v>397</v>
      </c>
      <c r="C319" s="29">
        <v>46305.33333333333</v>
      </c>
      <c r="D319" s="19" t="s">
        <v>398</v>
      </c>
      <c r="E319" s="19" t="s">
        <v>200</v>
      </c>
      <c r="F319" s="19" t="s">
        <v>42</v>
      </c>
      <c r="G319" s="19" t="s">
        <v>399</v>
      </c>
      <c r="H319" s="51">
        <v>46307.91980549769</v>
      </c>
    </row>
    <row r="320" ht="15.75" customHeight="1">
      <c r="A320" s="19" t="s">
        <v>729</v>
      </c>
      <c r="B320" s="19" t="s">
        <v>397</v>
      </c>
      <c r="C320" s="29">
        <v>46305.33333333333</v>
      </c>
      <c r="D320" s="19" t="s">
        <v>398</v>
      </c>
      <c r="E320" s="19" t="s">
        <v>201</v>
      </c>
      <c r="F320" s="19" t="s">
        <v>42</v>
      </c>
      <c r="G320" s="19" t="s">
        <v>399</v>
      </c>
      <c r="H320" s="51">
        <v>46307.91980549769</v>
      </c>
    </row>
    <row r="321" ht="15.75" customHeight="1">
      <c r="A321" s="19" t="s">
        <v>730</v>
      </c>
      <c r="B321" s="19" t="s">
        <v>397</v>
      </c>
      <c r="C321" s="29">
        <v>46305.33333333333</v>
      </c>
      <c r="D321" s="19" t="s">
        <v>398</v>
      </c>
      <c r="E321" s="19" t="s">
        <v>258</v>
      </c>
      <c r="F321" s="19" t="s">
        <v>43</v>
      </c>
      <c r="G321" s="19" t="s">
        <v>399</v>
      </c>
      <c r="H321" s="51">
        <v>46307.91980549769</v>
      </c>
    </row>
    <row r="322" ht="15.75" customHeight="1">
      <c r="A322" s="19" t="s">
        <v>731</v>
      </c>
      <c r="B322" s="19" t="s">
        <v>397</v>
      </c>
      <c r="C322" s="29">
        <v>46305.33333333333</v>
      </c>
      <c r="D322" s="19" t="s">
        <v>398</v>
      </c>
      <c r="E322" s="19" t="s">
        <v>202</v>
      </c>
      <c r="F322" s="19" t="s">
        <v>42</v>
      </c>
      <c r="G322" s="19" t="s">
        <v>399</v>
      </c>
      <c r="H322" s="51">
        <v>46307.91980549769</v>
      </c>
    </row>
    <row r="323" ht="15.75" customHeight="1">
      <c r="A323" s="19" t="s">
        <v>732</v>
      </c>
      <c r="B323" s="19" t="s">
        <v>397</v>
      </c>
      <c r="C323" s="29">
        <v>46305.33333333333</v>
      </c>
      <c r="D323" s="19" t="s">
        <v>398</v>
      </c>
      <c r="E323" s="19" t="s">
        <v>144</v>
      </c>
      <c r="F323" s="19" t="s">
        <v>41</v>
      </c>
      <c r="G323" s="19" t="s">
        <v>399</v>
      </c>
      <c r="H323" s="51">
        <v>46307.91980549769</v>
      </c>
    </row>
    <row r="324" ht="15.75" customHeight="1">
      <c r="A324" s="19" t="s">
        <v>733</v>
      </c>
      <c r="B324" s="19" t="s">
        <v>397</v>
      </c>
      <c r="C324" s="29">
        <v>46305.33333333333</v>
      </c>
      <c r="D324" s="19" t="s">
        <v>398</v>
      </c>
      <c r="E324" s="19" t="s">
        <v>99</v>
      </c>
      <c r="F324" s="19" t="s">
        <v>43</v>
      </c>
      <c r="G324" s="19" t="s">
        <v>399</v>
      </c>
      <c r="H324" s="51">
        <v>46307.91980549769</v>
      </c>
    </row>
    <row r="325" ht="15.75" customHeight="1">
      <c r="A325" s="19" t="s">
        <v>734</v>
      </c>
      <c r="B325" s="19" t="s">
        <v>397</v>
      </c>
      <c r="C325" s="29">
        <v>46305.33333333333</v>
      </c>
      <c r="D325" s="19" t="s">
        <v>398</v>
      </c>
      <c r="E325" s="19" t="s">
        <v>145</v>
      </c>
      <c r="F325" s="19" t="s">
        <v>41</v>
      </c>
      <c r="G325" s="19" t="s">
        <v>399</v>
      </c>
      <c r="H325" s="51">
        <v>46307.91980549769</v>
      </c>
    </row>
    <row r="326" ht="15.75" customHeight="1">
      <c r="A326" s="19" t="s">
        <v>735</v>
      </c>
      <c r="B326" s="19" t="s">
        <v>397</v>
      </c>
      <c r="C326" s="29">
        <v>46305.33333333333</v>
      </c>
      <c r="D326" s="19" t="s">
        <v>398</v>
      </c>
      <c r="E326" s="19" t="s">
        <v>146</v>
      </c>
      <c r="F326" s="19" t="s">
        <v>41</v>
      </c>
      <c r="G326" s="19" t="s">
        <v>399</v>
      </c>
      <c r="H326" s="51">
        <v>46307.91980549769</v>
      </c>
    </row>
    <row r="327" ht="15.75" customHeight="1">
      <c r="A327" s="19" t="s">
        <v>736</v>
      </c>
      <c r="B327" s="19" t="s">
        <v>397</v>
      </c>
      <c r="C327" s="29">
        <v>46305.33333333333</v>
      </c>
      <c r="D327" s="19" t="s">
        <v>398</v>
      </c>
      <c r="E327" s="19" t="s">
        <v>298</v>
      </c>
      <c r="F327" s="19" t="s">
        <v>44</v>
      </c>
      <c r="G327" s="19" t="s">
        <v>399</v>
      </c>
      <c r="H327" s="51">
        <v>46307.91980549769</v>
      </c>
    </row>
    <row r="328" ht="15.75" customHeight="1">
      <c r="A328" s="19" t="s">
        <v>737</v>
      </c>
      <c r="B328" s="19" t="s">
        <v>397</v>
      </c>
      <c r="C328" s="29">
        <v>46305.33333333333</v>
      </c>
      <c r="D328" s="19" t="s">
        <v>398</v>
      </c>
      <c r="E328" s="19" t="s">
        <v>259</v>
      </c>
      <c r="F328" s="19" t="s">
        <v>43</v>
      </c>
      <c r="G328" s="19" t="s">
        <v>399</v>
      </c>
      <c r="H328" s="51">
        <v>46307.91980549769</v>
      </c>
    </row>
    <row r="329" ht="15.75" customHeight="1">
      <c r="A329" s="19" t="s">
        <v>738</v>
      </c>
      <c r="B329" s="19" t="s">
        <v>397</v>
      </c>
      <c r="C329" s="29">
        <v>46305.33333333333</v>
      </c>
      <c r="D329" s="19" t="s">
        <v>398</v>
      </c>
      <c r="E329" s="19" t="s">
        <v>149</v>
      </c>
      <c r="F329" s="19" t="s">
        <v>41</v>
      </c>
      <c r="G329" s="19" t="s">
        <v>399</v>
      </c>
      <c r="H329" s="51">
        <v>46307.91980549769</v>
      </c>
    </row>
    <row r="330" ht="15.75" customHeight="1">
      <c r="A330" s="19" t="s">
        <v>739</v>
      </c>
      <c r="B330" s="19" t="s">
        <v>397</v>
      </c>
      <c r="C330" s="29">
        <v>46305.33333333333</v>
      </c>
      <c r="D330" s="19" t="s">
        <v>398</v>
      </c>
      <c r="E330" s="19" t="s">
        <v>260</v>
      </c>
      <c r="F330" s="19" t="s">
        <v>43</v>
      </c>
      <c r="G330" s="19" t="s">
        <v>399</v>
      </c>
      <c r="H330" s="51">
        <v>46307.91980549769</v>
      </c>
    </row>
    <row r="331" ht="15.75" customHeight="1">
      <c r="A331" s="19" t="s">
        <v>740</v>
      </c>
      <c r="B331" s="19" t="s">
        <v>397</v>
      </c>
      <c r="C331" s="29">
        <v>46305.33333333333</v>
      </c>
      <c r="D331" s="19" t="s">
        <v>398</v>
      </c>
      <c r="E331" s="19" t="s">
        <v>204</v>
      </c>
      <c r="F331" s="19" t="s">
        <v>42</v>
      </c>
      <c r="G331" s="19" t="s">
        <v>399</v>
      </c>
      <c r="H331" s="51">
        <v>46307.91980549769</v>
      </c>
    </row>
    <row r="332" ht="15.75" customHeight="1">
      <c r="A332" s="19" t="s">
        <v>741</v>
      </c>
      <c r="B332" s="19" t="s">
        <v>397</v>
      </c>
      <c r="C332" s="29">
        <v>46305.33333333333</v>
      </c>
      <c r="D332" s="19" t="s">
        <v>398</v>
      </c>
      <c r="E332" s="19" t="s">
        <v>299</v>
      </c>
      <c r="F332" s="19" t="s">
        <v>44</v>
      </c>
      <c r="G332" s="19" t="s">
        <v>399</v>
      </c>
      <c r="H332" s="51">
        <v>46307.91980549769</v>
      </c>
    </row>
    <row r="333" ht="15.75" customHeight="1">
      <c r="A333" s="19" t="s">
        <v>742</v>
      </c>
      <c r="B333" s="19" t="s">
        <v>397</v>
      </c>
      <c r="C333" s="29">
        <v>46305.33333333333</v>
      </c>
      <c r="D333" s="19" t="s">
        <v>398</v>
      </c>
      <c r="E333" s="19" t="s">
        <v>151</v>
      </c>
      <c r="F333" s="19" t="s">
        <v>41</v>
      </c>
      <c r="G333" s="19" t="s">
        <v>399</v>
      </c>
      <c r="H333" s="51">
        <v>46307.91980549769</v>
      </c>
    </row>
    <row r="334" ht="15.75" customHeight="1">
      <c r="A334" s="19" t="s">
        <v>743</v>
      </c>
      <c r="B334" s="19" t="s">
        <v>397</v>
      </c>
      <c r="C334" s="29">
        <v>46305.33333333333</v>
      </c>
      <c r="D334" s="19" t="s">
        <v>398</v>
      </c>
      <c r="E334" s="19" t="s">
        <v>261</v>
      </c>
      <c r="F334" s="19" t="s">
        <v>43</v>
      </c>
      <c r="G334" s="19" t="s">
        <v>399</v>
      </c>
      <c r="H334" s="51">
        <v>46307.91980549769</v>
      </c>
    </row>
    <row r="335" ht="15.75" customHeight="1">
      <c r="A335" s="19" t="s">
        <v>744</v>
      </c>
      <c r="B335" s="19" t="s">
        <v>397</v>
      </c>
      <c r="C335" s="29">
        <v>46305.33333333333</v>
      </c>
      <c r="D335" s="19" t="s">
        <v>398</v>
      </c>
      <c r="E335" s="19" t="s">
        <v>152</v>
      </c>
      <c r="F335" s="19" t="s">
        <v>41</v>
      </c>
      <c r="G335" s="19" t="s">
        <v>399</v>
      </c>
      <c r="H335" s="51">
        <v>46307.91980549769</v>
      </c>
    </row>
    <row r="336" ht="15.75" customHeight="1">
      <c r="A336" s="19" t="s">
        <v>745</v>
      </c>
      <c r="B336" s="19" t="s">
        <v>397</v>
      </c>
      <c r="C336" s="29">
        <v>46305.33333333333</v>
      </c>
      <c r="D336" s="19" t="s">
        <v>398</v>
      </c>
      <c r="E336" s="19" t="s">
        <v>153</v>
      </c>
      <c r="F336" s="19" t="s">
        <v>41</v>
      </c>
      <c r="G336" s="19" t="s">
        <v>399</v>
      </c>
      <c r="H336" s="51">
        <v>46307.91980549769</v>
      </c>
    </row>
    <row r="337" ht="15.75" customHeight="1">
      <c r="A337" s="19" t="s">
        <v>746</v>
      </c>
      <c r="B337" s="19" t="s">
        <v>397</v>
      </c>
      <c r="C337" s="29">
        <v>46305.33333333333</v>
      </c>
      <c r="D337" s="19" t="s">
        <v>398</v>
      </c>
      <c r="E337" s="19" t="s">
        <v>262</v>
      </c>
      <c r="F337" s="19" t="s">
        <v>43</v>
      </c>
      <c r="G337" s="19" t="s">
        <v>399</v>
      </c>
      <c r="H337" s="51">
        <v>46307.91980549769</v>
      </c>
    </row>
    <row r="338" ht="15.75" customHeight="1">
      <c r="A338" s="19" t="s">
        <v>747</v>
      </c>
      <c r="B338" s="19" t="s">
        <v>397</v>
      </c>
      <c r="C338" s="29">
        <v>46305.33333333333</v>
      </c>
      <c r="D338" s="19" t="s">
        <v>398</v>
      </c>
      <c r="E338" s="19" t="s">
        <v>300</v>
      </c>
      <c r="F338" s="19" t="s">
        <v>44</v>
      </c>
      <c r="G338" s="19" t="s">
        <v>399</v>
      </c>
      <c r="H338" s="51">
        <v>46307.91980549769</v>
      </c>
    </row>
    <row r="339" ht="15.75" customHeight="1">
      <c r="A339" s="19" t="s">
        <v>748</v>
      </c>
      <c r="B339" s="19" t="s">
        <v>397</v>
      </c>
      <c r="C339" s="29">
        <v>46305.33333333333</v>
      </c>
      <c r="D339" s="19" t="s">
        <v>398</v>
      </c>
      <c r="E339" s="19" t="s">
        <v>154</v>
      </c>
      <c r="F339" s="19" t="s">
        <v>41</v>
      </c>
      <c r="G339" s="19" t="s">
        <v>399</v>
      </c>
      <c r="H339" s="51">
        <v>46307.91980549769</v>
      </c>
    </row>
    <row r="340" ht="15.75" customHeight="1">
      <c r="A340" s="19" t="s">
        <v>749</v>
      </c>
      <c r="B340" s="19" t="s">
        <v>397</v>
      </c>
      <c r="C340" s="29">
        <v>46305.33333333333</v>
      </c>
      <c r="D340" s="19" t="s">
        <v>398</v>
      </c>
      <c r="E340" s="19" t="s">
        <v>263</v>
      </c>
      <c r="F340" s="19" t="s">
        <v>43</v>
      </c>
      <c r="G340" s="19" t="s">
        <v>399</v>
      </c>
      <c r="H340" s="51">
        <v>46307.91980549769</v>
      </c>
    </row>
    <row r="341" ht="15.75" customHeight="1">
      <c r="A341" s="19" t="s">
        <v>750</v>
      </c>
      <c r="B341" s="19" t="s">
        <v>397</v>
      </c>
      <c r="C341" s="29">
        <v>46305.33333333333</v>
      </c>
      <c r="D341" s="19" t="s">
        <v>398</v>
      </c>
      <c r="E341" s="19" t="s">
        <v>206</v>
      </c>
      <c r="F341" s="19" t="s">
        <v>42</v>
      </c>
      <c r="G341" s="19" t="s">
        <v>399</v>
      </c>
      <c r="H341" s="51">
        <v>46307.91980549769</v>
      </c>
    </row>
    <row r="342" ht="15.75" customHeight="1">
      <c r="A342" s="19" t="s">
        <v>751</v>
      </c>
      <c r="B342" s="19" t="s">
        <v>397</v>
      </c>
      <c r="C342" s="29">
        <v>46305.33333333333</v>
      </c>
      <c r="D342" s="19" t="s">
        <v>398</v>
      </c>
      <c r="E342" s="19" t="s">
        <v>207</v>
      </c>
      <c r="F342" s="19" t="s">
        <v>42</v>
      </c>
      <c r="G342" s="19" t="s">
        <v>399</v>
      </c>
      <c r="H342" s="51">
        <v>46307.91980549769</v>
      </c>
    </row>
    <row r="343" ht="15.75" customHeight="1">
      <c r="A343" s="19" t="s">
        <v>752</v>
      </c>
      <c r="B343" s="19" t="s">
        <v>397</v>
      </c>
      <c r="C343" s="29">
        <v>46305.33333333333</v>
      </c>
      <c r="D343" s="19" t="s">
        <v>398</v>
      </c>
      <c r="E343" s="19" t="s">
        <v>208</v>
      </c>
      <c r="F343" s="19" t="s">
        <v>42</v>
      </c>
      <c r="G343" s="19" t="s">
        <v>399</v>
      </c>
      <c r="H343" s="51">
        <v>46307.91980549769</v>
      </c>
    </row>
    <row r="344" ht="15.75" customHeight="1">
      <c r="A344" s="19" t="s">
        <v>753</v>
      </c>
      <c r="B344" s="19" t="s">
        <v>397</v>
      </c>
      <c r="C344" s="29">
        <v>46305.33333333333</v>
      </c>
      <c r="D344" s="19" t="s">
        <v>398</v>
      </c>
      <c r="E344" s="19" t="s">
        <v>155</v>
      </c>
      <c r="F344" s="19" t="s">
        <v>41</v>
      </c>
      <c r="G344" s="19" t="s">
        <v>399</v>
      </c>
      <c r="H344" s="51">
        <v>46307.91980549769</v>
      </c>
    </row>
    <row r="345" ht="15.75" customHeight="1">
      <c r="A345" s="19" t="s">
        <v>754</v>
      </c>
      <c r="B345" s="19" t="s">
        <v>397</v>
      </c>
      <c r="C345" s="29">
        <v>46305.33333333333</v>
      </c>
      <c r="D345" s="19" t="s">
        <v>398</v>
      </c>
      <c r="E345" s="19" t="s">
        <v>156</v>
      </c>
      <c r="F345" s="19" t="s">
        <v>41</v>
      </c>
      <c r="G345" s="19" t="s">
        <v>399</v>
      </c>
      <c r="H345" s="51">
        <v>46307.91980549769</v>
      </c>
    </row>
    <row r="346" ht="15.75" customHeight="1">
      <c r="A346" s="19" t="s">
        <v>755</v>
      </c>
      <c r="B346" s="19" t="s">
        <v>397</v>
      </c>
      <c r="C346" s="29">
        <v>46305.33333333333</v>
      </c>
      <c r="D346" s="19" t="s">
        <v>398</v>
      </c>
      <c r="E346" s="19" t="s">
        <v>157</v>
      </c>
      <c r="F346" s="19" t="s">
        <v>41</v>
      </c>
      <c r="G346" s="19" t="s">
        <v>399</v>
      </c>
      <c r="H346" s="51">
        <v>46307.91980549769</v>
      </c>
    </row>
    <row r="347" ht="15.75" customHeight="1">
      <c r="A347" s="19" t="s">
        <v>756</v>
      </c>
      <c r="B347" s="19" t="s">
        <v>397</v>
      </c>
      <c r="C347" s="29">
        <v>46305.33333333333</v>
      </c>
      <c r="D347" s="19" t="s">
        <v>398</v>
      </c>
      <c r="E347" s="19" t="s">
        <v>158</v>
      </c>
      <c r="F347" s="19" t="s">
        <v>41</v>
      </c>
      <c r="G347" s="19" t="s">
        <v>399</v>
      </c>
      <c r="H347" s="51">
        <v>46307.91980549769</v>
      </c>
    </row>
    <row r="348" ht="15.75" customHeight="1">
      <c r="A348" s="19" t="s">
        <v>757</v>
      </c>
      <c r="B348" s="19" t="s">
        <v>397</v>
      </c>
      <c r="C348" s="29">
        <v>46305.33333333333</v>
      </c>
      <c r="D348" s="19" t="s">
        <v>398</v>
      </c>
      <c r="E348" s="19" t="s">
        <v>264</v>
      </c>
      <c r="F348" s="19" t="s">
        <v>43</v>
      </c>
      <c r="G348" s="19" t="s">
        <v>399</v>
      </c>
      <c r="H348" s="51">
        <v>46307.91980549769</v>
      </c>
    </row>
    <row r="349" ht="15.75" customHeight="1">
      <c r="A349" s="19" t="s">
        <v>758</v>
      </c>
      <c r="B349" s="19" t="s">
        <v>397</v>
      </c>
      <c r="C349" s="29">
        <v>46305.33333333333</v>
      </c>
      <c r="D349" s="19" t="s">
        <v>398</v>
      </c>
      <c r="E349" s="19" t="s">
        <v>159</v>
      </c>
      <c r="F349" s="19" t="s">
        <v>41</v>
      </c>
      <c r="G349" s="19" t="s">
        <v>399</v>
      </c>
      <c r="H349" s="51">
        <v>46307.91980549769</v>
      </c>
    </row>
    <row r="350" ht="15.75" customHeight="1">
      <c r="A350" s="19" t="s">
        <v>759</v>
      </c>
      <c r="B350" s="19" t="s">
        <v>397</v>
      </c>
      <c r="C350" s="29">
        <v>46305.33333333333</v>
      </c>
      <c r="D350" s="19" t="s">
        <v>398</v>
      </c>
      <c r="E350" s="19" t="s">
        <v>160</v>
      </c>
      <c r="F350" s="19" t="s">
        <v>41</v>
      </c>
      <c r="G350" s="19" t="s">
        <v>399</v>
      </c>
      <c r="H350" s="51">
        <v>46307.91980549769</v>
      </c>
    </row>
    <row r="351" ht="15.75" customHeight="1">
      <c r="A351" s="19" t="s">
        <v>760</v>
      </c>
      <c r="B351" s="19" t="s">
        <v>397</v>
      </c>
      <c r="C351" s="29">
        <v>46305.33333333333</v>
      </c>
      <c r="D351" s="19" t="s">
        <v>398</v>
      </c>
      <c r="E351" s="19" t="s">
        <v>265</v>
      </c>
      <c r="F351" s="19" t="s">
        <v>43</v>
      </c>
      <c r="G351" s="19" t="s">
        <v>399</v>
      </c>
      <c r="H351" s="51">
        <v>46307.91980549769</v>
      </c>
    </row>
    <row r="352" ht="15.75" customHeight="1">
      <c r="A352" s="19" t="s">
        <v>761</v>
      </c>
      <c r="B352" s="19" t="s">
        <v>397</v>
      </c>
      <c r="C352" s="29">
        <v>46305.33333333333</v>
      </c>
      <c r="D352" s="19" t="s">
        <v>398</v>
      </c>
      <c r="E352" s="19" t="s">
        <v>210</v>
      </c>
      <c r="F352" s="19" t="s">
        <v>42</v>
      </c>
      <c r="G352" s="19" t="s">
        <v>399</v>
      </c>
      <c r="H352" s="51">
        <v>46307.91980549769</v>
      </c>
    </row>
    <row r="353" ht="15.75" customHeight="1">
      <c r="A353" s="19" t="s">
        <v>762</v>
      </c>
      <c r="B353" s="19" t="s">
        <v>397</v>
      </c>
      <c r="C353" s="29">
        <v>46305.33333333333</v>
      </c>
      <c r="D353" s="19" t="s">
        <v>398</v>
      </c>
      <c r="E353" s="19" t="s">
        <v>161</v>
      </c>
      <c r="F353" s="19" t="s">
        <v>41</v>
      </c>
      <c r="G353" s="19" t="s">
        <v>399</v>
      </c>
      <c r="H353" s="51">
        <v>46307.91980549769</v>
      </c>
    </row>
    <row r="354" ht="15.75" customHeight="1">
      <c r="A354" s="19" t="s">
        <v>763</v>
      </c>
      <c r="B354" s="19" t="s">
        <v>397</v>
      </c>
      <c r="C354" s="29">
        <v>46305.33333333333</v>
      </c>
      <c r="D354" s="19" t="s">
        <v>398</v>
      </c>
      <c r="E354" s="19" t="s">
        <v>212</v>
      </c>
      <c r="F354" s="19" t="s">
        <v>42</v>
      </c>
      <c r="G354" s="19" t="s">
        <v>399</v>
      </c>
      <c r="H354" s="51">
        <v>46307.91980549769</v>
      </c>
    </row>
    <row r="355" ht="15.75" customHeight="1">
      <c r="A355" s="19" t="s">
        <v>764</v>
      </c>
      <c r="B355" s="19" t="s">
        <v>397</v>
      </c>
      <c r="C355" s="29">
        <v>46305.33333333333</v>
      </c>
      <c r="D355" s="19" t="s">
        <v>398</v>
      </c>
      <c r="E355" s="19" t="s">
        <v>266</v>
      </c>
      <c r="F355" s="19" t="s">
        <v>43</v>
      </c>
      <c r="G355" s="19" t="s">
        <v>399</v>
      </c>
      <c r="H355" s="51">
        <v>46307.91980549769</v>
      </c>
    </row>
    <row r="356" ht="15.75" customHeight="1">
      <c r="A356" s="19" t="s">
        <v>765</v>
      </c>
      <c r="B356" s="19" t="s">
        <v>397</v>
      </c>
      <c r="C356" s="29">
        <v>46305.33333333333</v>
      </c>
      <c r="D356" s="19" t="s">
        <v>398</v>
      </c>
      <c r="E356" s="19" t="s">
        <v>162</v>
      </c>
      <c r="F356" s="19" t="s">
        <v>41</v>
      </c>
      <c r="G356" s="19" t="s">
        <v>399</v>
      </c>
      <c r="H356" s="51">
        <v>46307.91980549769</v>
      </c>
    </row>
    <row r="357" ht="15.75" customHeight="1">
      <c r="A357" s="19" t="s">
        <v>766</v>
      </c>
      <c r="B357" s="19" t="s">
        <v>397</v>
      </c>
      <c r="C357" s="29">
        <v>46305.33333333333</v>
      </c>
      <c r="D357" s="19" t="s">
        <v>398</v>
      </c>
      <c r="E357" s="19" t="s">
        <v>214</v>
      </c>
      <c r="F357" s="19" t="s">
        <v>42</v>
      </c>
      <c r="G357" s="19" t="s">
        <v>399</v>
      </c>
      <c r="H357" s="51">
        <v>46307.91980549769</v>
      </c>
    </row>
    <row r="358" ht="15.75" customHeight="1">
      <c r="A358" s="19" t="s">
        <v>767</v>
      </c>
      <c r="B358" s="19" t="s">
        <v>397</v>
      </c>
      <c r="C358" s="29">
        <v>46305.33333333333</v>
      </c>
      <c r="D358" s="19" t="s">
        <v>398</v>
      </c>
      <c r="E358" s="19" t="s">
        <v>267</v>
      </c>
      <c r="F358" s="19" t="s">
        <v>43</v>
      </c>
      <c r="G358" s="19" t="s">
        <v>399</v>
      </c>
      <c r="H358" s="51">
        <v>46307.91980549769</v>
      </c>
    </row>
    <row r="359" ht="15.75" customHeight="1">
      <c r="A359" s="19" t="s">
        <v>768</v>
      </c>
      <c r="B359" s="19" t="s">
        <v>397</v>
      </c>
      <c r="C359" s="29">
        <v>46305.33333333333</v>
      </c>
      <c r="D359" s="19" t="s">
        <v>398</v>
      </c>
      <c r="E359" s="19" t="s">
        <v>163</v>
      </c>
      <c r="F359" s="19" t="s">
        <v>41</v>
      </c>
      <c r="G359" s="19" t="s">
        <v>399</v>
      </c>
      <c r="H359" s="51">
        <v>46307.91980549769</v>
      </c>
    </row>
    <row r="360" ht="15.75" customHeight="1">
      <c r="A360" s="19" t="s">
        <v>769</v>
      </c>
      <c r="B360" s="19" t="s">
        <v>397</v>
      </c>
      <c r="C360" s="29">
        <v>46305.33333333333</v>
      </c>
      <c r="D360" s="19" t="s">
        <v>398</v>
      </c>
      <c r="E360" s="19" t="s">
        <v>165</v>
      </c>
      <c r="F360" s="19" t="s">
        <v>41</v>
      </c>
      <c r="G360" s="19" t="s">
        <v>399</v>
      </c>
      <c r="H360" s="51">
        <v>46307.91980549769</v>
      </c>
    </row>
    <row r="361" ht="15.75" customHeight="1">
      <c r="A361" s="19" t="s">
        <v>770</v>
      </c>
      <c r="B361" s="19" t="s">
        <v>397</v>
      </c>
      <c r="C361" s="29">
        <v>46305.33333333333</v>
      </c>
      <c r="D361" s="19" t="s">
        <v>398</v>
      </c>
      <c r="E361" s="19" t="s">
        <v>166</v>
      </c>
      <c r="F361" s="19" t="s">
        <v>41</v>
      </c>
      <c r="G361" s="19" t="s">
        <v>399</v>
      </c>
      <c r="H361" s="51">
        <v>46307.91980549769</v>
      </c>
    </row>
    <row r="362" ht="15.75" customHeight="1">
      <c r="A362" s="19" t="s">
        <v>771</v>
      </c>
      <c r="B362" s="19" t="s">
        <v>397</v>
      </c>
      <c r="C362" s="29">
        <v>46305.33333333333</v>
      </c>
      <c r="D362" s="19" t="s">
        <v>398</v>
      </c>
      <c r="E362" s="19" t="s">
        <v>216</v>
      </c>
      <c r="F362" s="19" t="s">
        <v>42</v>
      </c>
      <c r="G362" s="19" t="s">
        <v>399</v>
      </c>
      <c r="H362" s="51">
        <v>46307.91980549769</v>
      </c>
    </row>
    <row r="363" ht="15.75" customHeight="1">
      <c r="A363" s="19" t="s">
        <v>772</v>
      </c>
      <c r="B363" s="19" t="s">
        <v>397</v>
      </c>
      <c r="C363" s="29">
        <v>46305.33333333333</v>
      </c>
      <c r="D363" s="19" t="s">
        <v>398</v>
      </c>
      <c r="E363" s="19" t="s">
        <v>167</v>
      </c>
      <c r="F363" s="19" t="s">
        <v>41</v>
      </c>
      <c r="G363" s="19" t="s">
        <v>399</v>
      </c>
      <c r="H363" s="51">
        <v>46307.91980549769</v>
      </c>
    </row>
    <row r="364" ht="15.75" customHeight="1">
      <c r="A364" s="19" t="s">
        <v>773</v>
      </c>
      <c r="B364" s="19" t="s">
        <v>397</v>
      </c>
      <c r="C364" s="29">
        <v>46305.33333333333</v>
      </c>
      <c r="D364" s="19" t="s">
        <v>398</v>
      </c>
      <c r="E364" s="19" t="s">
        <v>303</v>
      </c>
      <c r="F364" s="19" t="s">
        <v>44</v>
      </c>
      <c r="G364" s="19" t="s">
        <v>399</v>
      </c>
      <c r="H364" s="51">
        <v>46307.91980549769</v>
      </c>
    </row>
    <row r="365" ht="15.75" customHeight="1">
      <c r="A365" s="19" t="s">
        <v>774</v>
      </c>
      <c r="B365" s="19" t="s">
        <v>397</v>
      </c>
      <c r="C365" s="29">
        <v>46305.33333333333</v>
      </c>
      <c r="D365" s="19" t="s">
        <v>398</v>
      </c>
      <c r="E365" s="19" t="s">
        <v>315</v>
      </c>
      <c r="F365" s="19" t="s">
        <v>45</v>
      </c>
      <c r="G365" s="19" t="s">
        <v>399</v>
      </c>
      <c r="H365" s="51">
        <v>46307.91980549769</v>
      </c>
    </row>
    <row r="366" ht="15.75" customHeight="1">
      <c r="A366" s="19" t="s">
        <v>775</v>
      </c>
      <c r="B366" s="19" t="s">
        <v>397</v>
      </c>
      <c r="C366" s="29">
        <v>46305.33333333333</v>
      </c>
      <c r="D366" s="19" t="s">
        <v>398</v>
      </c>
      <c r="E366" s="19" t="s">
        <v>321</v>
      </c>
      <c r="F366" s="19" t="s">
        <v>45</v>
      </c>
      <c r="G366" s="19" t="s">
        <v>399</v>
      </c>
      <c r="H366" s="51">
        <v>46307.91980549769</v>
      </c>
    </row>
    <row r="367" ht="15.75" customHeight="1">
      <c r="A367" s="19" t="s">
        <v>776</v>
      </c>
      <c r="B367" s="19" t="s">
        <v>397</v>
      </c>
      <c r="C367" s="29">
        <v>46305.33333333333</v>
      </c>
      <c r="D367" s="19" t="s">
        <v>398</v>
      </c>
      <c r="E367" s="19" t="s">
        <v>327</v>
      </c>
      <c r="F367" s="19" t="s">
        <v>45</v>
      </c>
      <c r="G367" s="19" t="s">
        <v>399</v>
      </c>
      <c r="H367" s="51">
        <v>46307.91980549769</v>
      </c>
    </row>
    <row r="368" ht="15.75" customHeight="1">
      <c r="A368" s="19" t="s">
        <v>777</v>
      </c>
      <c r="B368" s="19" t="s">
        <v>397</v>
      </c>
      <c r="C368" s="29">
        <v>46305.33333333333</v>
      </c>
      <c r="D368" s="19" t="s">
        <v>398</v>
      </c>
      <c r="E368" s="19" t="s">
        <v>328</v>
      </c>
      <c r="F368" s="19" t="s">
        <v>45</v>
      </c>
      <c r="G368" s="19" t="s">
        <v>399</v>
      </c>
      <c r="H368" s="51">
        <v>46307.91980549769</v>
      </c>
    </row>
    <row r="369" ht="15.75" customHeight="1">
      <c r="A369" s="19" t="s">
        <v>778</v>
      </c>
      <c r="B369" s="19" t="s">
        <v>397</v>
      </c>
      <c r="C369" s="29">
        <v>46305.33333333333</v>
      </c>
      <c r="D369" s="19" t="s">
        <v>398</v>
      </c>
      <c r="E369" s="19" t="s">
        <v>330</v>
      </c>
      <c r="F369" s="19" t="s">
        <v>45</v>
      </c>
      <c r="G369" s="19" t="s">
        <v>399</v>
      </c>
      <c r="H369" s="51">
        <v>46307.91980549769</v>
      </c>
    </row>
    <row r="370" ht="15.75" customHeight="1">
      <c r="A370" s="19" t="s">
        <v>779</v>
      </c>
      <c r="B370" s="19" t="s">
        <v>397</v>
      </c>
      <c r="C370" s="29">
        <v>46305.33333333333</v>
      </c>
      <c r="D370" s="19" t="s">
        <v>398</v>
      </c>
      <c r="E370" s="19" t="s">
        <v>331</v>
      </c>
      <c r="F370" s="19" t="s">
        <v>45</v>
      </c>
      <c r="G370" s="19" t="s">
        <v>399</v>
      </c>
      <c r="H370" s="51">
        <v>46307.91980549769</v>
      </c>
    </row>
    <row r="371" ht="15.75" customHeight="1">
      <c r="A371" s="19" t="s">
        <v>780</v>
      </c>
      <c r="B371" s="19" t="s">
        <v>397</v>
      </c>
      <c r="C371" s="29">
        <v>46305.33333333333</v>
      </c>
      <c r="D371" s="19" t="s">
        <v>398</v>
      </c>
      <c r="E371" s="19" t="s">
        <v>334</v>
      </c>
      <c r="F371" s="19" t="s">
        <v>45</v>
      </c>
      <c r="G371" s="19" t="s">
        <v>399</v>
      </c>
      <c r="H371" s="51">
        <v>46307.91980549769</v>
      </c>
    </row>
    <row r="372" ht="15.75" customHeight="1">
      <c r="A372" s="19" t="s">
        <v>781</v>
      </c>
      <c r="B372" s="19" t="s">
        <v>397</v>
      </c>
      <c r="C372" s="29">
        <v>46305.33333333333</v>
      </c>
      <c r="D372" s="19" t="s">
        <v>398</v>
      </c>
      <c r="E372" s="19" t="s">
        <v>335</v>
      </c>
      <c r="F372" s="19" t="s">
        <v>45</v>
      </c>
      <c r="G372" s="19" t="s">
        <v>399</v>
      </c>
      <c r="H372" s="51">
        <v>46307.91980549769</v>
      </c>
    </row>
    <row r="373" ht="15.75" customHeight="1">
      <c r="A373" s="19" t="s">
        <v>782</v>
      </c>
      <c r="B373" s="19" t="s">
        <v>397</v>
      </c>
      <c r="C373" s="29">
        <v>46305.33333333333</v>
      </c>
      <c r="D373" s="19" t="s">
        <v>398</v>
      </c>
      <c r="E373" s="19" t="s">
        <v>168</v>
      </c>
      <c r="F373" s="19" t="s">
        <v>41</v>
      </c>
      <c r="G373" s="19" t="s">
        <v>399</v>
      </c>
      <c r="H373" s="51">
        <v>46307.91980549769</v>
      </c>
    </row>
    <row r="374" ht="15.75" customHeight="1">
      <c r="C374" s="20"/>
      <c r="H374" s="23"/>
    </row>
    <row r="375" ht="15.75" customHeight="1">
      <c r="C375" s="20"/>
      <c r="H375" s="23"/>
    </row>
    <row r="376" ht="15.75" customHeight="1">
      <c r="C376" s="20"/>
      <c r="H376" s="23"/>
    </row>
    <row r="377" ht="15.75" customHeight="1">
      <c r="C377" s="20"/>
      <c r="H377" s="23"/>
    </row>
    <row r="378" ht="15.75" customHeight="1">
      <c r="C378" s="20"/>
      <c r="H378" s="23"/>
    </row>
    <row r="379" ht="15.75" customHeight="1">
      <c r="C379" s="20"/>
      <c r="H379" s="23"/>
    </row>
    <row r="380" ht="15.75" customHeight="1">
      <c r="C380" s="20"/>
      <c r="H380" s="23"/>
    </row>
    <row r="381" ht="15.75" customHeight="1">
      <c r="C381" s="20"/>
      <c r="H381" s="23"/>
    </row>
    <row r="382" ht="15.75" customHeight="1">
      <c r="C382" s="20"/>
      <c r="H382" s="23"/>
    </row>
    <row r="383" ht="15.75" customHeight="1">
      <c r="C383" s="20"/>
      <c r="H383" s="23"/>
    </row>
    <row r="384" ht="15.75" customHeight="1">
      <c r="C384" s="20"/>
      <c r="H384" s="23"/>
    </row>
    <row r="385" ht="15.75" customHeight="1">
      <c r="C385" s="20"/>
      <c r="H385" s="23"/>
    </row>
    <row r="386" ht="15.75" customHeight="1">
      <c r="C386" s="20"/>
      <c r="H386" s="23"/>
    </row>
    <row r="387" ht="15.75" customHeight="1">
      <c r="C387" s="20"/>
      <c r="H387" s="23"/>
    </row>
    <row r="388" ht="15.75" customHeight="1">
      <c r="C388" s="20"/>
      <c r="H388" s="23"/>
    </row>
    <row r="389" ht="15.75" customHeight="1">
      <c r="C389" s="20"/>
      <c r="H389" s="23"/>
    </row>
    <row r="390" ht="15.75" customHeight="1">
      <c r="C390" s="20"/>
      <c r="H390" s="23"/>
    </row>
    <row r="391" ht="15.75" customHeight="1">
      <c r="C391" s="20"/>
      <c r="H391" s="23"/>
    </row>
    <row r="392" ht="15.75" customHeight="1">
      <c r="C392" s="20"/>
      <c r="H392" s="23"/>
    </row>
    <row r="393" ht="15.75" customHeight="1">
      <c r="C393" s="20"/>
      <c r="H393" s="23"/>
    </row>
    <row r="394" ht="15.75" customHeight="1">
      <c r="C394" s="20"/>
      <c r="H394" s="23"/>
    </row>
    <row r="395" ht="15.75" customHeight="1">
      <c r="C395" s="20"/>
      <c r="H395" s="23"/>
    </row>
    <row r="396" ht="15.75" customHeight="1">
      <c r="C396" s="20"/>
      <c r="H396" s="23"/>
    </row>
    <row r="397" ht="15.75" customHeight="1">
      <c r="C397" s="20"/>
      <c r="H397" s="23"/>
    </row>
    <row r="398" ht="15.75" customHeight="1">
      <c r="C398" s="20"/>
      <c r="H398" s="23"/>
    </row>
    <row r="399" ht="15.75" customHeight="1">
      <c r="C399" s="20"/>
      <c r="H399" s="23"/>
    </row>
    <row r="400" ht="15.75" customHeight="1">
      <c r="C400" s="20"/>
      <c r="H400" s="23"/>
    </row>
    <row r="401" ht="15.75" customHeight="1">
      <c r="C401" s="20"/>
      <c r="H401" s="23"/>
    </row>
    <row r="402" ht="15.75" customHeight="1">
      <c r="C402" s="20"/>
      <c r="H402" s="23"/>
    </row>
    <row r="403" ht="15.75" customHeight="1">
      <c r="C403" s="20"/>
      <c r="H403" s="23"/>
    </row>
    <row r="404" ht="15.75" customHeight="1">
      <c r="C404" s="20"/>
      <c r="H404" s="23"/>
    </row>
    <row r="405" ht="15.75" customHeight="1">
      <c r="C405" s="20"/>
      <c r="H405" s="23"/>
    </row>
    <row r="406" ht="15.75" customHeight="1">
      <c r="C406" s="20"/>
      <c r="H406" s="23"/>
    </row>
    <row r="407" ht="15.75" customHeight="1">
      <c r="C407" s="20"/>
      <c r="H407" s="23"/>
    </row>
    <row r="408" ht="15.75" customHeight="1">
      <c r="C408" s="20"/>
      <c r="H408" s="23"/>
    </row>
    <row r="409" ht="15.75" customHeight="1">
      <c r="C409" s="20"/>
      <c r="H409" s="23"/>
    </row>
    <row r="410" ht="15.75" customHeight="1">
      <c r="C410" s="20"/>
      <c r="H410" s="23"/>
    </row>
    <row r="411" ht="15.75" customHeight="1">
      <c r="C411" s="20"/>
      <c r="H411" s="23"/>
    </row>
    <row r="412" ht="15.75" customHeight="1">
      <c r="C412" s="20"/>
      <c r="H412" s="23"/>
    </row>
    <row r="413" ht="15.75" customHeight="1">
      <c r="C413" s="20"/>
      <c r="H413" s="23"/>
    </row>
    <row r="414" ht="15.75" customHeight="1">
      <c r="C414" s="20"/>
      <c r="H414" s="23"/>
    </row>
    <row r="415" ht="15.75" customHeight="1">
      <c r="C415" s="20"/>
      <c r="H415" s="23"/>
    </row>
    <row r="416" ht="15.75" customHeight="1">
      <c r="C416" s="20"/>
      <c r="H416" s="23"/>
    </row>
    <row r="417" ht="15.75" customHeight="1">
      <c r="C417" s="20"/>
      <c r="H417" s="23"/>
    </row>
    <row r="418" ht="15.75" customHeight="1">
      <c r="C418" s="20"/>
      <c r="H418" s="23"/>
    </row>
    <row r="419" ht="15.75" customHeight="1">
      <c r="C419" s="20"/>
      <c r="H419" s="23"/>
    </row>
    <row r="420" ht="15.75" customHeight="1">
      <c r="C420" s="20"/>
      <c r="H420" s="23"/>
    </row>
    <row r="421" ht="15.75" customHeight="1">
      <c r="C421" s="20"/>
      <c r="H421" s="23"/>
    </row>
    <row r="422" ht="15.75" customHeight="1">
      <c r="C422" s="20"/>
      <c r="H422" s="23"/>
    </row>
    <row r="423" ht="15.75" customHeight="1">
      <c r="C423" s="20"/>
      <c r="H423" s="23"/>
    </row>
    <row r="424" ht="15.75" customHeight="1">
      <c r="C424" s="20"/>
      <c r="H424" s="23"/>
    </row>
    <row r="425" ht="15.75" customHeight="1">
      <c r="C425" s="20"/>
      <c r="H425" s="23"/>
    </row>
    <row r="426" ht="15.75" customHeight="1">
      <c r="C426" s="20"/>
      <c r="H426" s="23"/>
    </row>
    <row r="427" ht="15.75" customHeight="1">
      <c r="C427" s="20"/>
      <c r="H427" s="23"/>
    </row>
    <row r="428" ht="15.75" customHeight="1">
      <c r="C428" s="20"/>
      <c r="H428" s="23"/>
    </row>
    <row r="429" ht="15.75" customHeight="1">
      <c r="C429" s="20"/>
      <c r="H429" s="23"/>
    </row>
    <row r="430" ht="15.75" customHeight="1">
      <c r="C430" s="20"/>
      <c r="H430" s="23"/>
    </row>
    <row r="431" ht="15.75" customHeight="1">
      <c r="C431" s="20"/>
      <c r="H431" s="23"/>
    </row>
    <row r="432" ht="15.75" customHeight="1">
      <c r="C432" s="20"/>
      <c r="H432" s="23"/>
    </row>
    <row r="433" ht="15.75" customHeight="1">
      <c r="C433" s="20"/>
      <c r="H433" s="23"/>
    </row>
    <row r="434" ht="15.75" customHeight="1">
      <c r="C434" s="20"/>
      <c r="H434" s="23"/>
    </row>
    <row r="435" ht="15.75" customHeight="1">
      <c r="C435" s="20"/>
      <c r="H435" s="23"/>
    </row>
    <row r="436" ht="15.75" customHeight="1">
      <c r="C436" s="20"/>
      <c r="H436" s="23"/>
    </row>
    <row r="437" ht="15.75" customHeight="1">
      <c r="C437" s="20"/>
      <c r="H437" s="23"/>
    </row>
    <row r="438" ht="15.75" customHeight="1">
      <c r="C438" s="20"/>
      <c r="H438" s="23"/>
    </row>
    <row r="439" ht="15.75" customHeight="1">
      <c r="C439" s="20"/>
      <c r="H439" s="23"/>
    </row>
    <row r="440" ht="15.75" customHeight="1">
      <c r="C440" s="20"/>
      <c r="H440" s="23"/>
    </row>
    <row r="441" ht="15.75" customHeight="1">
      <c r="C441" s="20"/>
      <c r="H441" s="23"/>
    </row>
    <row r="442" ht="15.75" customHeight="1">
      <c r="C442" s="20"/>
      <c r="H442" s="23"/>
    </row>
    <row r="443" ht="15.75" customHeight="1">
      <c r="C443" s="20"/>
      <c r="H443" s="23"/>
    </row>
    <row r="444" ht="15.75" customHeight="1">
      <c r="C444" s="20"/>
      <c r="H444" s="23"/>
    </row>
    <row r="445" ht="15.75" customHeight="1">
      <c r="C445" s="20"/>
      <c r="H445" s="23"/>
    </row>
    <row r="446" ht="15.75" customHeight="1">
      <c r="C446" s="20"/>
      <c r="H446" s="23"/>
    </row>
    <row r="447" ht="15.75" customHeight="1">
      <c r="C447" s="20"/>
      <c r="H447" s="23"/>
    </row>
    <row r="448" ht="15.75" customHeight="1">
      <c r="C448" s="20"/>
      <c r="H448" s="23"/>
    </row>
    <row r="449" ht="15.75" customHeight="1">
      <c r="C449" s="20"/>
      <c r="H449" s="23"/>
    </row>
    <row r="450" ht="15.75" customHeight="1">
      <c r="C450" s="20"/>
      <c r="H450" s="23"/>
    </row>
    <row r="451" ht="15.75" customHeight="1">
      <c r="C451" s="20"/>
      <c r="H451" s="23"/>
    </row>
    <row r="452" ht="15.75" customHeight="1">
      <c r="C452" s="20"/>
      <c r="H452" s="23"/>
    </row>
    <row r="453" ht="15.75" customHeight="1">
      <c r="C453" s="20"/>
      <c r="H453" s="23"/>
    </row>
    <row r="454" ht="15.75" customHeight="1">
      <c r="C454" s="20"/>
      <c r="H454" s="23"/>
    </row>
    <row r="455" ht="15.75" customHeight="1">
      <c r="C455" s="20"/>
      <c r="H455" s="23"/>
    </row>
    <row r="456" ht="15.75" customHeight="1">
      <c r="C456" s="20"/>
      <c r="H456" s="23"/>
    </row>
    <row r="457" ht="15.75" customHeight="1">
      <c r="C457" s="20"/>
      <c r="H457" s="23"/>
    </row>
    <row r="458" ht="15.75" customHeight="1">
      <c r="C458" s="20"/>
      <c r="H458" s="23"/>
    </row>
    <row r="459" ht="15.75" customHeight="1">
      <c r="C459" s="20"/>
      <c r="H459" s="23"/>
    </row>
    <row r="460" ht="15.75" customHeight="1">
      <c r="C460" s="20"/>
      <c r="H460" s="23"/>
    </row>
    <row r="461" ht="15.75" customHeight="1">
      <c r="C461" s="20"/>
      <c r="H461" s="23"/>
    </row>
    <row r="462" ht="15.75" customHeight="1">
      <c r="C462" s="20"/>
      <c r="H462" s="23"/>
    </row>
    <row r="463" ht="15.75" customHeight="1">
      <c r="C463" s="20"/>
      <c r="H463" s="23"/>
    </row>
    <row r="464" ht="15.75" customHeight="1">
      <c r="C464" s="20"/>
      <c r="H464" s="23"/>
    </row>
    <row r="465" ht="15.75" customHeight="1">
      <c r="C465" s="20"/>
      <c r="H465" s="23"/>
    </row>
    <row r="466" ht="15.75" customHeight="1">
      <c r="C466" s="20"/>
      <c r="H466" s="23"/>
    </row>
    <row r="467" ht="15.75" customHeight="1">
      <c r="C467" s="20"/>
      <c r="H467" s="23"/>
    </row>
    <row r="468" ht="15.75" customHeight="1">
      <c r="C468" s="20"/>
      <c r="H468" s="23"/>
    </row>
    <row r="469" ht="15.75" customHeight="1">
      <c r="C469" s="20"/>
      <c r="H469" s="23"/>
    </row>
    <row r="470" ht="15.75" customHeight="1">
      <c r="C470" s="20"/>
      <c r="H470" s="23"/>
    </row>
    <row r="471" ht="15.75" customHeight="1">
      <c r="C471" s="20"/>
      <c r="H471" s="23"/>
    </row>
    <row r="472" ht="15.75" customHeight="1">
      <c r="C472" s="20"/>
      <c r="H472" s="23"/>
    </row>
    <row r="473" ht="15.75" customHeight="1">
      <c r="C473" s="20"/>
      <c r="H473" s="23"/>
    </row>
    <row r="474" ht="15.75" customHeight="1">
      <c r="C474" s="20"/>
      <c r="H474" s="23"/>
    </row>
    <row r="475" ht="15.75" customHeight="1">
      <c r="C475" s="20"/>
      <c r="H475" s="23"/>
    </row>
    <row r="476" ht="15.75" customHeight="1">
      <c r="C476" s="20"/>
      <c r="H476" s="23"/>
    </row>
    <row r="477" ht="15.75" customHeight="1">
      <c r="C477" s="20"/>
      <c r="H477" s="23"/>
    </row>
    <row r="478" ht="15.75" customHeight="1">
      <c r="C478" s="20"/>
      <c r="H478" s="23"/>
    </row>
    <row r="479" ht="15.75" customHeight="1">
      <c r="C479" s="20"/>
      <c r="H479" s="23"/>
    </row>
    <row r="480" ht="15.75" customHeight="1">
      <c r="C480" s="20"/>
      <c r="H480" s="23"/>
    </row>
    <row r="481" ht="15.75" customHeight="1">
      <c r="C481" s="20"/>
      <c r="H481" s="23"/>
    </row>
    <row r="482" ht="15.75" customHeight="1">
      <c r="C482" s="20"/>
      <c r="H482" s="23"/>
    </row>
    <row r="483" ht="15.75" customHeight="1">
      <c r="C483" s="20"/>
      <c r="H483" s="23"/>
    </row>
    <row r="484" ht="15.75" customHeight="1">
      <c r="C484" s="20"/>
      <c r="H484" s="23"/>
    </row>
    <row r="485" ht="15.75" customHeight="1">
      <c r="C485" s="20"/>
      <c r="H485" s="23"/>
    </row>
    <row r="486" ht="15.75" customHeight="1">
      <c r="C486" s="20"/>
      <c r="H486" s="23"/>
    </row>
    <row r="487" ht="15.75" customHeight="1">
      <c r="C487" s="20"/>
      <c r="H487" s="23"/>
    </row>
    <row r="488" ht="15.75" customHeight="1">
      <c r="C488" s="20"/>
      <c r="H488" s="23"/>
    </row>
    <row r="489" ht="15.75" customHeight="1">
      <c r="C489" s="20"/>
      <c r="H489" s="23"/>
    </row>
    <row r="490" ht="15.75" customHeight="1">
      <c r="C490" s="20"/>
      <c r="H490" s="23"/>
    </row>
    <row r="491" ht="15.75" customHeight="1">
      <c r="C491" s="20"/>
      <c r="H491" s="23"/>
    </row>
    <row r="492" ht="15.75" customHeight="1">
      <c r="C492" s="20"/>
      <c r="H492" s="23"/>
    </row>
    <row r="493" ht="15.75" customHeight="1">
      <c r="C493" s="20"/>
      <c r="H493" s="23"/>
    </row>
    <row r="494" ht="15.75" customHeight="1">
      <c r="C494" s="20"/>
      <c r="H494" s="23"/>
    </row>
    <row r="495" ht="15.75" customHeight="1">
      <c r="C495" s="20"/>
      <c r="H495" s="23"/>
    </row>
    <row r="496" ht="15.75" customHeight="1">
      <c r="C496" s="20"/>
      <c r="H496" s="23"/>
    </row>
    <row r="497" ht="15.75" customHeight="1">
      <c r="C497" s="20"/>
      <c r="H497" s="23"/>
    </row>
    <row r="498" ht="15.75" customHeight="1">
      <c r="C498" s="20"/>
      <c r="H498" s="23"/>
    </row>
    <row r="499" ht="15.75" customHeight="1">
      <c r="C499" s="20"/>
      <c r="H499" s="23"/>
    </row>
    <row r="500" ht="15.75" customHeight="1">
      <c r="C500" s="20"/>
      <c r="H500" s="23"/>
    </row>
    <row r="501" ht="15.75" customHeight="1">
      <c r="C501" s="20"/>
      <c r="H501" s="23"/>
    </row>
    <row r="502" ht="15.75" customHeight="1">
      <c r="C502" s="20"/>
      <c r="H502" s="23"/>
    </row>
    <row r="503" ht="15.75" customHeight="1">
      <c r="C503" s="20"/>
      <c r="H503" s="23"/>
    </row>
    <row r="504" ht="15.75" customHeight="1">
      <c r="C504" s="20"/>
      <c r="H504" s="23"/>
    </row>
    <row r="505" ht="15.75" customHeight="1">
      <c r="C505" s="20"/>
      <c r="H505" s="23"/>
    </row>
    <row r="506" ht="15.75" customHeight="1">
      <c r="C506" s="20"/>
      <c r="H506" s="23"/>
    </row>
    <row r="507" ht="15.75" customHeight="1">
      <c r="C507" s="20"/>
      <c r="H507" s="23"/>
    </row>
    <row r="508" ht="15.75" customHeight="1">
      <c r="C508" s="20"/>
      <c r="H508" s="23"/>
    </row>
    <row r="509" ht="15.75" customHeight="1">
      <c r="C509" s="20"/>
      <c r="H509" s="23"/>
    </row>
    <row r="510" ht="15.75" customHeight="1">
      <c r="C510" s="20"/>
      <c r="H510" s="23"/>
    </row>
    <row r="511" ht="15.75" customHeight="1">
      <c r="C511" s="20"/>
      <c r="H511" s="23"/>
    </row>
    <row r="512" ht="15.75" customHeight="1">
      <c r="C512" s="20"/>
      <c r="H512" s="23"/>
    </row>
    <row r="513" ht="15.75" customHeight="1">
      <c r="C513" s="20"/>
      <c r="H513" s="23"/>
    </row>
    <row r="514" ht="15.75" customHeight="1">
      <c r="C514" s="20"/>
      <c r="H514" s="23"/>
    </row>
    <row r="515" ht="15.75" customHeight="1">
      <c r="C515" s="20"/>
      <c r="H515" s="23"/>
    </row>
    <row r="516" ht="15.75" customHeight="1">
      <c r="C516" s="20"/>
      <c r="H516" s="23"/>
    </row>
    <row r="517" ht="15.75" customHeight="1">
      <c r="C517" s="20"/>
      <c r="H517" s="23"/>
    </row>
    <row r="518" ht="15.75" customHeight="1">
      <c r="C518" s="20"/>
      <c r="H518" s="23"/>
    </row>
    <row r="519" ht="15.75" customHeight="1">
      <c r="C519" s="20"/>
      <c r="H519" s="23"/>
    </row>
    <row r="520" ht="15.75" customHeight="1">
      <c r="C520" s="20"/>
      <c r="H520" s="23"/>
    </row>
    <row r="521" ht="15.75" customHeight="1">
      <c r="C521" s="20"/>
      <c r="H521" s="23"/>
    </row>
    <row r="522" ht="15.75" customHeight="1">
      <c r="C522" s="20"/>
      <c r="H522" s="23"/>
    </row>
    <row r="523" ht="15.75" customHeight="1">
      <c r="C523" s="20"/>
      <c r="H523" s="23"/>
    </row>
    <row r="524" ht="15.75" customHeight="1">
      <c r="C524" s="20"/>
      <c r="H524" s="23"/>
    </row>
    <row r="525" ht="15.75" customHeight="1">
      <c r="C525" s="20"/>
      <c r="H525" s="23"/>
    </row>
    <row r="526" ht="15.75" customHeight="1">
      <c r="C526" s="20"/>
      <c r="H526" s="23"/>
    </row>
    <row r="527" ht="15.75" customHeight="1">
      <c r="C527" s="20"/>
      <c r="H527" s="23"/>
    </row>
    <row r="528" ht="15.75" customHeight="1">
      <c r="C528" s="20"/>
      <c r="H528" s="23"/>
    </row>
    <row r="529" ht="15.75" customHeight="1">
      <c r="C529" s="20"/>
      <c r="H529" s="23"/>
    </row>
    <row r="530" ht="15.75" customHeight="1">
      <c r="C530" s="20"/>
      <c r="H530" s="23"/>
    </row>
    <row r="531" ht="15.75" customHeight="1">
      <c r="C531" s="20"/>
      <c r="H531" s="23"/>
    </row>
    <row r="532" ht="15.75" customHeight="1">
      <c r="C532" s="20"/>
      <c r="H532" s="23"/>
    </row>
    <row r="533" ht="15.75" customHeight="1">
      <c r="C533" s="20"/>
      <c r="H533" s="23"/>
    </row>
    <row r="534" ht="15.75" customHeight="1">
      <c r="C534" s="20"/>
      <c r="H534" s="23"/>
    </row>
    <row r="535" ht="15.75" customHeight="1">
      <c r="C535" s="20"/>
      <c r="H535" s="23"/>
    </row>
    <row r="536" ht="15.75" customHeight="1">
      <c r="C536" s="20"/>
      <c r="H536" s="23"/>
    </row>
    <row r="537" ht="15.75" customHeight="1">
      <c r="C537" s="20"/>
      <c r="H537" s="23"/>
    </row>
    <row r="538" ht="15.75" customHeight="1">
      <c r="C538" s="20"/>
      <c r="H538" s="23"/>
    </row>
    <row r="539" ht="15.75" customHeight="1">
      <c r="C539" s="20"/>
      <c r="H539" s="23"/>
    </row>
    <row r="540" ht="15.75" customHeight="1">
      <c r="C540" s="20"/>
      <c r="H540" s="23"/>
    </row>
    <row r="541" ht="15.75" customHeight="1">
      <c r="C541" s="20"/>
      <c r="H541" s="23"/>
    </row>
    <row r="542" ht="15.75" customHeight="1">
      <c r="C542" s="20"/>
      <c r="H542" s="23"/>
    </row>
    <row r="543" ht="15.75" customHeight="1">
      <c r="C543" s="20"/>
      <c r="H543" s="23"/>
    </row>
    <row r="544" ht="15.75" customHeight="1">
      <c r="C544" s="20"/>
      <c r="H544" s="23"/>
    </row>
    <row r="545" ht="15.75" customHeight="1">
      <c r="C545" s="20"/>
      <c r="H545" s="23"/>
    </row>
    <row r="546" ht="15.75" customHeight="1">
      <c r="C546" s="20"/>
      <c r="H546" s="23"/>
    </row>
    <row r="547" ht="15.75" customHeight="1">
      <c r="C547" s="20"/>
      <c r="H547" s="23"/>
    </row>
    <row r="548" ht="15.75" customHeight="1">
      <c r="C548" s="20"/>
      <c r="H548" s="23"/>
    </row>
    <row r="549" ht="15.75" customHeight="1">
      <c r="C549" s="20"/>
      <c r="H549" s="23"/>
    </row>
    <row r="550" ht="15.75" customHeight="1">
      <c r="C550" s="20"/>
      <c r="H550" s="23"/>
    </row>
    <row r="551" ht="15.75" customHeight="1">
      <c r="C551" s="20"/>
      <c r="H551" s="23"/>
    </row>
    <row r="552" ht="15.75" customHeight="1">
      <c r="C552" s="20"/>
      <c r="H552" s="23"/>
    </row>
    <row r="553" ht="15.75" customHeight="1">
      <c r="C553" s="20"/>
      <c r="H553" s="23"/>
    </row>
    <row r="554" ht="15.75" customHeight="1">
      <c r="C554" s="20"/>
      <c r="H554" s="23"/>
    </row>
    <row r="555" ht="15.75" customHeight="1">
      <c r="C555" s="20"/>
      <c r="H555" s="23"/>
    </row>
    <row r="556" ht="15.75" customHeight="1">
      <c r="C556" s="20"/>
      <c r="H556" s="23"/>
    </row>
    <row r="557" ht="15.75" customHeight="1">
      <c r="C557" s="20"/>
      <c r="H557" s="23"/>
    </row>
    <row r="558" ht="15.75" customHeight="1">
      <c r="C558" s="20"/>
      <c r="H558" s="23"/>
    </row>
    <row r="559" ht="15.75" customHeight="1">
      <c r="C559" s="20"/>
      <c r="H559" s="23"/>
    </row>
    <row r="560" ht="15.75" customHeight="1">
      <c r="C560" s="20"/>
      <c r="H560" s="23"/>
    </row>
    <row r="561" ht="15.75" customHeight="1">
      <c r="C561" s="20"/>
      <c r="H561" s="23"/>
    </row>
    <row r="562" ht="15.75" customHeight="1">
      <c r="C562" s="20"/>
      <c r="H562" s="23"/>
    </row>
    <row r="563" ht="15.75" customHeight="1">
      <c r="C563" s="20"/>
      <c r="H563" s="23"/>
    </row>
    <row r="564" ht="15.75" customHeight="1">
      <c r="C564" s="20"/>
      <c r="H564" s="23"/>
    </row>
    <row r="565" ht="15.75" customHeight="1">
      <c r="C565" s="20"/>
      <c r="H565" s="23"/>
    </row>
    <row r="566" ht="15.75" customHeight="1">
      <c r="C566" s="20"/>
      <c r="H566" s="23"/>
    </row>
    <row r="567" ht="15.75" customHeight="1">
      <c r="C567" s="20"/>
      <c r="H567" s="23"/>
    </row>
    <row r="568" ht="15.75" customHeight="1">
      <c r="C568" s="20"/>
      <c r="H568" s="23"/>
    </row>
    <row r="569" ht="15.75" customHeight="1">
      <c r="C569" s="20"/>
      <c r="H569" s="23"/>
    </row>
    <row r="570" ht="15.75" customHeight="1">
      <c r="C570" s="20"/>
      <c r="H570" s="23"/>
    </row>
    <row r="571" ht="15.75" customHeight="1">
      <c r="C571" s="20"/>
      <c r="H571" s="23"/>
    </row>
    <row r="572" ht="15.75" customHeight="1">
      <c r="C572" s="20"/>
      <c r="H572" s="23"/>
    </row>
    <row r="573" ht="15.75" customHeight="1">
      <c r="C573" s="20"/>
      <c r="H573" s="23"/>
    </row>
    <row r="574" ht="15.75" customHeight="1">
      <c r="C574" s="20"/>
      <c r="H574" s="23"/>
    </row>
    <row r="575" ht="15.75" customHeight="1">
      <c r="C575" s="20"/>
      <c r="H575" s="23"/>
    </row>
    <row r="576" ht="15.75" customHeight="1">
      <c r="C576" s="20"/>
      <c r="H576" s="23"/>
    </row>
    <row r="577" ht="15.75" customHeight="1">
      <c r="C577" s="20"/>
      <c r="H577" s="23"/>
    </row>
    <row r="578" ht="15.75" customHeight="1">
      <c r="C578" s="20"/>
      <c r="H578" s="23"/>
    </row>
    <row r="579" ht="15.75" customHeight="1">
      <c r="C579" s="20"/>
      <c r="H579" s="23"/>
    </row>
    <row r="580" ht="15.75" customHeight="1">
      <c r="C580" s="20"/>
      <c r="H580" s="23"/>
    </row>
    <row r="581" ht="15.75" customHeight="1">
      <c r="C581" s="20"/>
      <c r="H581" s="23"/>
    </row>
    <row r="582" ht="15.75" customHeight="1">
      <c r="C582" s="20"/>
      <c r="H582" s="23"/>
    </row>
    <row r="583" ht="15.75" customHeight="1">
      <c r="C583" s="20"/>
      <c r="H583" s="23"/>
    </row>
    <row r="584" ht="15.75" customHeight="1">
      <c r="C584" s="20"/>
      <c r="H584" s="23"/>
    </row>
    <row r="585" ht="15.75" customHeight="1">
      <c r="C585" s="20"/>
      <c r="H585" s="23"/>
    </row>
    <row r="586" ht="15.75" customHeight="1">
      <c r="C586" s="20"/>
      <c r="H586" s="23"/>
    </row>
    <row r="587" ht="15.75" customHeight="1">
      <c r="C587" s="20"/>
      <c r="H587" s="23"/>
    </row>
    <row r="588" ht="15.75" customHeight="1">
      <c r="C588" s="20"/>
      <c r="H588" s="23"/>
    </row>
    <row r="589" ht="15.75" customHeight="1">
      <c r="C589" s="20"/>
      <c r="H589" s="23"/>
    </row>
    <row r="590" ht="15.75" customHeight="1">
      <c r="C590" s="20"/>
      <c r="H590" s="23"/>
    </row>
    <row r="591" ht="15.75" customHeight="1">
      <c r="C591" s="20"/>
      <c r="H591" s="23"/>
    </row>
    <row r="592" ht="15.75" customHeight="1">
      <c r="C592" s="20"/>
      <c r="H592" s="23"/>
    </row>
    <row r="593" ht="15.75" customHeight="1">
      <c r="C593" s="20"/>
      <c r="H593" s="23"/>
    </row>
    <row r="594" ht="15.75" customHeight="1">
      <c r="C594" s="20"/>
      <c r="H594" s="23"/>
    </row>
    <row r="595" ht="15.75" customHeight="1">
      <c r="C595" s="20"/>
      <c r="H595" s="23"/>
    </row>
    <row r="596" ht="15.75" customHeight="1">
      <c r="C596" s="20"/>
      <c r="H596" s="23"/>
    </row>
    <row r="597" ht="15.75" customHeight="1">
      <c r="C597" s="20"/>
      <c r="H597" s="23"/>
    </row>
    <row r="598" ht="15.75" customHeight="1">
      <c r="C598" s="20"/>
      <c r="H598" s="23"/>
    </row>
    <row r="599" ht="15.75" customHeight="1">
      <c r="C599" s="20"/>
      <c r="H599" s="23"/>
    </row>
    <row r="600" ht="15.75" customHeight="1">
      <c r="C600" s="20"/>
      <c r="H600" s="23"/>
    </row>
    <row r="601" ht="15.75" customHeight="1">
      <c r="C601" s="20"/>
      <c r="H601" s="23"/>
    </row>
    <row r="602" ht="15.75" customHeight="1">
      <c r="C602" s="20"/>
      <c r="H602" s="23"/>
    </row>
    <row r="603" ht="15.75" customHeight="1">
      <c r="C603" s="20"/>
      <c r="H603" s="23"/>
    </row>
    <row r="604" ht="15.75" customHeight="1">
      <c r="C604" s="20"/>
      <c r="H604" s="23"/>
    </row>
    <row r="605" ht="15.75" customHeight="1">
      <c r="C605" s="20"/>
      <c r="H605" s="23"/>
    </row>
    <row r="606" ht="15.75" customHeight="1">
      <c r="C606" s="20"/>
      <c r="H606" s="23"/>
    </row>
    <row r="607" ht="15.75" customHeight="1">
      <c r="C607" s="20"/>
      <c r="H607" s="23"/>
    </row>
    <row r="608" ht="15.75" customHeight="1">
      <c r="C608" s="20"/>
      <c r="H608" s="23"/>
    </row>
    <row r="609" ht="15.75" customHeight="1">
      <c r="C609" s="20"/>
      <c r="H609" s="23"/>
    </row>
    <row r="610" ht="15.75" customHeight="1">
      <c r="C610" s="20"/>
      <c r="H610" s="23"/>
    </row>
    <row r="611" ht="15.75" customHeight="1">
      <c r="C611" s="20"/>
      <c r="H611" s="23"/>
    </row>
    <row r="612" ht="15.75" customHeight="1">
      <c r="C612" s="20"/>
      <c r="H612" s="23"/>
    </row>
    <row r="613" ht="15.75" customHeight="1">
      <c r="C613" s="20"/>
      <c r="H613" s="23"/>
    </row>
    <row r="614" ht="15.75" customHeight="1">
      <c r="C614" s="20"/>
      <c r="H614" s="23"/>
    </row>
    <row r="615" ht="15.75" customHeight="1">
      <c r="C615" s="20"/>
      <c r="H615" s="23"/>
    </row>
    <row r="616" ht="15.75" customHeight="1">
      <c r="C616" s="20"/>
      <c r="H616" s="23"/>
    </row>
    <row r="617" ht="15.75" customHeight="1">
      <c r="C617" s="20"/>
      <c r="H617" s="23"/>
    </row>
    <row r="618" ht="15.75" customHeight="1">
      <c r="C618" s="20"/>
      <c r="H618" s="23"/>
    </row>
    <row r="619" ht="15.75" customHeight="1">
      <c r="C619" s="20"/>
      <c r="H619" s="23"/>
    </row>
    <row r="620" ht="15.75" customHeight="1">
      <c r="C620" s="20"/>
      <c r="H620" s="23"/>
    </row>
    <row r="621" ht="15.75" customHeight="1">
      <c r="C621" s="20"/>
      <c r="H621" s="23"/>
    </row>
    <row r="622" ht="15.75" customHeight="1">
      <c r="C622" s="20"/>
      <c r="H622" s="23"/>
    </row>
    <row r="623" ht="15.75" customHeight="1">
      <c r="C623" s="20"/>
      <c r="H623" s="23"/>
    </row>
    <row r="624" ht="15.75" customHeight="1">
      <c r="C624" s="20"/>
      <c r="H624" s="23"/>
    </row>
    <row r="625" ht="15.75" customHeight="1">
      <c r="C625" s="20"/>
      <c r="H625" s="23"/>
    </row>
    <row r="626" ht="15.75" customHeight="1">
      <c r="C626" s="20"/>
      <c r="H626" s="23"/>
    </row>
    <row r="627" ht="15.75" customHeight="1">
      <c r="C627" s="20"/>
      <c r="H627" s="23"/>
    </row>
    <row r="628" ht="15.75" customHeight="1">
      <c r="C628" s="20"/>
      <c r="H628" s="23"/>
    </row>
    <row r="629" ht="15.75" customHeight="1">
      <c r="C629" s="20"/>
      <c r="H629" s="23"/>
    </row>
    <row r="630" ht="15.75" customHeight="1">
      <c r="C630" s="20"/>
      <c r="H630" s="23"/>
    </row>
    <row r="631" ht="15.75" customHeight="1">
      <c r="C631" s="20"/>
      <c r="H631" s="23"/>
    </row>
    <row r="632" ht="15.75" customHeight="1">
      <c r="C632" s="20"/>
      <c r="H632" s="23"/>
    </row>
    <row r="633" ht="15.75" customHeight="1">
      <c r="C633" s="20"/>
      <c r="H633" s="23"/>
    </row>
    <row r="634" ht="15.75" customHeight="1">
      <c r="C634" s="20"/>
      <c r="H634" s="23"/>
    </row>
    <row r="635" ht="15.75" customHeight="1">
      <c r="C635" s="20"/>
      <c r="H635" s="23"/>
    </row>
    <row r="636" ht="15.75" customHeight="1">
      <c r="C636" s="20"/>
      <c r="H636" s="23"/>
    </row>
    <row r="637" ht="15.75" customHeight="1">
      <c r="C637" s="20"/>
      <c r="H637" s="23"/>
    </row>
    <row r="638" ht="15.75" customHeight="1">
      <c r="C638" s="20"/>
      <c r="H638" s="23"/>
    </row>
    <row r="639" ht="15.75" customHeight="1">
      <c r="C639" s="20"/>
      <c r="H639" s="23"/>
    </row>
    <row r="640" ht="15.75" customHeight="1">
      <c r="C640" s="20"/>
      <c r="H640" s="23"/>
    </row>
    <row r="641" ht="15.75" customHeight="1">
      <c r="C641" s="20"/>
      <c r="H641" s="23"/>
    </row>
    <row r="642" ht="15.75" customHeight="1">
      <c r="C642" s="20"/>
      <c r="H642" s="23"/>
    </row>
    <row r="643" ht="15.75" customHeight="1">
      <c r="C643" s="20"/>
      <c r="H643" s="23"/>
    </row>
    <row r="644" ht="15.75" customHeight="1">
      <c r="C644" s="20"/>
      <c r="H644" s="23"/>
    </row>
    <row r="645" ht="15.75" customHeight="1">
      <c r="C645" s="20"/>
      <c r="H645" s="23"/>
    </row>
    <row r="646" ht="15.75" customHeight="1">
      <c r="C646" s="20"/>
      <c r="H646" s="23"/>
    </row>
    <row r="647" ht="15.75" customHeight="1">
      <c r="C647" s="20"/>
      <c r="H647" s="23"/>
    </row>
    <row r="648" ht="15.75" customHeight="1">
      <c r="C648" s="20"/>
      <c r="H648" s="23"/>
    </row>
    <row r="649" ht="15.75" customHeight="1">
      <c r="C649" s="20"/>
      <c r="H649" s="23"/>
    </row>
    <row r="650" ht="15.75" customHeight="1">
      <c r="C650" s="20"/>
      <c r="H650" s="23"/>
    </row>
    <row r="651" ht="15.75" customHeight="1">
      <c r="C651" s="20"/>
      <c r="H651" s="23"/>
    </row>
    <row r="652" ht="15.75" customHeight="1">
      <c r="C652" s="20"/>
      <c r="H652" s="23"/>
    </row>
    <row r="653" ht="15.75" customHeight="1">
      <c r="C653" s="20"/>
      <c r="H653" s="23"/>
    </row>
    <row r="654" ht="15.75" customHeight="1">
      <c r="C654" s="20"/>
      <c r="H654" s="23"/>
    </row>
    <row r="655" ht="15.75" customHeight="1">
      <c r="C655" s="20"/>
      <c r="H655" s="23"/>
    </row>
    <row r="656" ht="15.75" customHeight="1">
      <c r="C656" s="20"/>
      <c r="H656" s="23"/>
    </row>
    <row r="657" ht="15.75" customHeight="1">
      <c r="C657" s="20"/>
      <c r="H657" s="23"/>
    </row>
    <row r="658" ht="15.75" customHeight="1">
      <c r="C658" s="20"/>
      <c r="H658" s="23"/>
    </row>
    <row r="659" ht="15.75" customHeight="1">
      <c r="C659" s="20"/>
      <c r="H659" s="23"/>
    </row>
    <row r="660" ht="15.75" customHeight="1">
      <c r="C660" s="20"/>
      <c r="H660" s="23"/>
    </row>
    <row r="661" ht="15.75" customHeight="1">
      <c r="C661" s="20"/>
      <c r="H661" s="23"/>
    </row>
    <row r="662" ht="15.75" customHeight="1">
      <c r="C662" s="20"/>
      <c r="H662" s="23"/>
    </row>
    <row r="663" ht="15.75" customHeight="1">
      <c r="C663" s="20"/>
      <c r="H663" s="23"/>
    </row>
    <row r="664" ht="15.75" customHeight="1">
      <c r="C664" s="20"/>
      <c r="H664" s="23"/>
    </row>
    <row r="665" ht="15.75" customHeight="1">
      <c r="C665" s="20"/>
      <c r="H665" s="23"/>
    </row>
    <row r="666" ht="15.75" customHeight="1">
      <c r="C666" s="20"/>
      <c r="H666" s="23"/>
    </row>
    <row r="667" ht="15.75" customHeight="1">
      <c r="C667" s="20"/>
      <c r="H667" s="23"/>
    </row>
    <row r="668" ht="15.75" customHeight="1">
      <c r="C668" s="20"/>
      <c r="H668" s="23"/>
    </row>
    <row r="669" ht="15.75" customHeight="1">
      <c r="C669" s="20"/>
      <c r="H669" s="23"/>
    </row>
    <row r="670" ht="15.75" customHeight="1">
      <c r="C670" s="20"/>
      <c r="H670" s="23"/>
    </row>
    <row r="671" ht="15.75" customHeight="1">
      <c r="C671" s="20"/>
      <c r="H671" s="23"/>
    </row>
    <row r="672" ht="15.75" customHeight="1">
      <c r="C672" s="20"/>
      <c r="H672" s="23"/>
    </row>
    <row r="673" ht="15.75" customHeight="1">
      <c r="C673" s="20"/>
      <c r="H673" s="23"/>
    </row>
    <row r="674" ht="15.75" customHeight="1">
      <c r="C674" s="20"/>
      <c r="H674" s="23"/>
    </row>
    <row r="675" ht="15.75" customHeight="1">
      <c r="C675" s="20"/>
      <c r="H675" s="23"/>
    </row>
    <row r="676" ht="15.75" customHeight="1">
      <c r="C676" s="20"/>
      <c r="H676" s="23"/>
    </row>
    <row r="677" ht="15.75" customHeight="1">
      <c r="C677" s="20"/>
      <c r="H677" s="23"/>
    </row>
    <row r="678" ht="15.75" customHeight="1">
      <c r="C678" s="20"/>
      <c r="H678" s="23"/>
    </row>
    <row r="679" ht="15.75" customHeight="1">
      <c r="C679" s="20"/>
      <c r="H679" s="23"/>
    </row>
    <row r="680" ht="15.75" customHeight="1">
      <c r="C680" s="20"/>
      <c r="H680" s="23"/>
    </row>
    <row r="681" ht="15.75" customHeight="1">
      <c r="C681" s="20"/>
      <c r="H681" s="23"/>
    </row>
    <row r="682" ht="15.75" customHeight="1">
      <c r="C682" s="20"/>
      <c r="H682" s="23"/>
    </row>
    <row r="683" ht="15.75" customHeight="1">
      <c r="C683" s="20"/>
      <c r="H683" s="23"/>
    </row>
    <row r="684" ht="15.75" customHeight="1">
      <c r="C684" s="20"/>
      <c r="H684" s="23"/>
    </row>
    <row r="685" ht="15.75" customHeight="1">
      <c r="C685" s="20"/>
      <c r="H685" s="23"/>
    </row>
    <row r="686" ht="15.75" customHeight="1">
      <c r="C686" s="20"/>
      <c r="H686" s="23"/>
    </row>
    <row r="687" ht="15.75" customHeight="1">
      <c r="C687" s="20"/>
      <c r="H687" s="23"/>
    </row>
    <row r="688" ht="15.75" customHeight="1">
      <c r="C688" s="20"/>
      <c r="H688" s="23"/>
    </row>
    <row r="689" ht="15.75" customHeight="1">
      <c r="C689" s="20"/>
      <c r="H689" s="23"/>
    </row>
    <row r="690" ht="15.75" customHeight="1">
      <c r="C690" s="20"/>
      <c r="H690" s="23"/>
    </row>
    <row r="691" ht="15.75" customHeight="1">
      <c r="C691" s="20"/>
      <c r="H691" s="23"/>
    </row>
    <row r="692" ht="15.75" customHeight="1">
      <c r="C692" s="20"/>
      <c r="H692" s="23"/>
    </row>
    <row r="693" ht="15.75" customHeight="1">
      <c r="C693" s="20"/>
      <c r="H693" s="23"/>
    </row>
    <row r="694" ht="15.75" customHeight="1">
      <c r="C694" s="20"/>
      <c r="H694" s="23"/>
    </row>
    <row r="695" ht="15.75" customHeight="1">
      <c r="C695" s="20"/>
      <c r="H695" s="23"/>
    </row>
    <row r="696" ht="15.75" customHeight="1">
      <c r="C696" s="20"/>
      <c r="H696" s="23"/>
    </row>
    <row r="697" ht="15.75" customHeight="1">
      <c r="C697" s="20"/>
      <c r="H697" s="23"/>
    </row>
    <row r="698" ht="15.75" customHeight="1">
      <c r="C698" s="20"/>
      <c r="H698" s="23"/>
    </row>
    <row r="699" ht="15.75" customHeight="1">
      <c r="C699" s="20"/>
      <c r="H699" s="23"/>
    </row>
    <row r="700" ht="15.75" customHeight="1">
      <c r="C700" s="20"/>
      <c r="H700" s="23"/>
    </row>
    <row r="701" ht="15.75" customHeight="1">
      <c r="C701" s="20"/>
      <c r="H701" s="23"/>
    </row>
    <row r="702" ht="15.75" customHeight="1">
      <c r="C702" s="20"/>
      <c r="H702" s="23"/>
    </row>
    <row r="703" ht="15.75" customHeight="1">
      <c r="C703" s="20"/>
      <c r="H703" s="23"/>
    </row>
    <row r="704" ht="15.75" customHeight="1">
      <c r="C704" s="20"/>
      <c r="H704" s="23"/>
    </row>
    <row r="705" ht="15.75" customHeight="1">
      <c r="C705" s="20"/>
      <c r="H705" s="23"/>
    </row>
    <row r="706" ht="15.75" customHeight="1">
      <c r="C706" s="20"/>
      <c r="H706" s="23"/>
    </row>
    <row r="707" ht="15.75" customHeight="1">
      <c r="C707" s="20"/>
      <c r="H707" s="23"/>
    </row>
    <row r="708" ht="15.75" customHeight="1">
      <c r="C708" s="20"/>
      <c r="H708" s="23"/>
    </row>
    <row r="709" ht="15.75" customHeight="1">
      <c r="C709" s="20"/>
      <c r="H709" s="23"/>
    </row>
    <row r="710" ht="15.75" customHeight="1">
      <c r="C710" s="20"/>
      <c r="H710" s="23"/>
    </row>
    <row r="711" ht="15.75" customHeight="1">
      <c r="C711" s="20"/>
      <c r="H711" s="23"/>
    </row>
    <row r="712" ht="15.75" customHeight="1">
      <c r="C712" s="20"/>
      <c r="H712" s="23"/>
    </row>
    <row r="713" ht="15.75" customHeight="1">
      <c r="C713" s="20"/>
      <c r="H713" s="23"/>
    </row>
    <row r="714" ht="15.75" customHeight="1">
      <c r="C714" s="20"/>
      <c r="H714" s="23"/>
    </row>
    <row r="715" ht="15.75" customHeight="1">
      <c r="C715" s="20"/>
      <c r="H715" s="23"/>
    </row>
    <row r="716" ht="15.75" customHeight="1">
      <c r="C716" s="20"/>
      <c r="H716" s="23"/>
    </row>
    <row r="717" ht="15.75" customHeight="1">
      <c r="C717" s="20"/>
      <c r="H717" s="23"/>
    </row>
    <row r="718" ht="15.75" customHeight="1">
      <c r="C718" s="20"/>
      <c r="H718" s="23"/>
    </row>
    <row r="719" ht="15.75" customHeight="1">
      <c r="C719" s="20"/>
      <c r="H719" s="23"/>
    </row>
    <row r="720" ht="15.75" customHeight="1">
      <c r="C720" s="20"/>
      <c r="H720" s="23"/>
    </row>
    <row r="721" ht="15.75" customHeight="1">
      <c r="C721" s="20"/>
      <c r="H721" s="23"/>
    </row>
    <row r="722" ht="15.75" customHeight="1">
      <c r="C722" s="20"/>
      <c r="H722" s="23"/>
    </row>
    <row r="723" ht="15.75" customHeight="1">
      <c r="C723" s="20"/>
      <c r="H723" s="23"/>
    </row>
    <row r="724" ht="15.75" customHeight="1">
      <c r="C724" s="20"/>
      <c r="H724" s="23"/>
    </row>
    <row r="725" ht="15.75" customHeight="1">
      <c r="C725" s="20"/>
      <c r="H725" s="23"/>
    </row>
    <row r="726" ht="15.75" customHeight="1">
      <c r="C726" s="20"/>
      <c r="H726" s="23"/>
    </row>
    <row r="727" ht="15.75" customHeight="1">
      <c r="C727" s="20"/>
      <c r="H727" s="23"/>
    </row>
    <row r="728" ht="15.75" customHeight="1">
      <c r="C728" s="20"/>
      <c r="H728" s="23"/>
    </row>
    <row r="729" ht="15.75" customHeight="1">
      <c r="C729" s="20"/>
      <c r="H729" s="23"/>
    </row>
    <row r="730" ht="15.75" customHeight="1">
      <c r="C730" s="20"/>
      <c r="H730" s="23"/>
    </row>
    <row r="731" ht="15.75" customHeight="1">
      <c r="C731" s="20"/>
      <c r="H731" s="23"/>
    </row>
    <row r="732" ht="15.75" customHeight="1">
      <c r="C732" s="20"/>
      <c r="H732" s="23"/>
    </row>
    <row r="733" ht="15.75" customHeight="1">
      <c r="C733" s="20"/>
      <c r="H733" s="23"/>
    </row>
    <row r="734" ht="15.75" customHeight="1">
      <c r="C734" s="20"/>
      <c r="H734" s="23"/>
    </row>
    <row r="735" ht="15.75" customHeight="1">
      <c r="C735" s="20"/>
      <c r="H735" s="23"/>
    </row>
    <row r="736" ht="15.75" customHeight="1">
      <c r="C736" s="20"/>
      <c r="H736" s="23"/>
    </row>
    <row r="737" ht="15.75" customHeight="1">
      <c r="C737" s="20"/>
      <c r="H737" s="23"/>
    </row>
    <row r="738" ht="15.75" customHeight="1">
      <c r="C738" s="20"/>
      <c r="H738" s="23"/>
    </row>
    <row r="739" ht="15.75" customHeight="1">
      <c r="C739" s="20"/>
      <c r="H739" s="23"/>
    </row>
    <row r="740" ht="15.75" customHeight="1">
      <c r="C740" s="20"/>
      <c r="H740" s="23"/>
    </row>
    <row r="741" ht="15.75" customHeight="1">
      <c r="C741" s="20"/>
      <c r="H741" s="23"/>
    </row>
    <row r="742" ht="15.75" customHeight="1">
      <c r="C742" s="20"/>
      <c r="H742" s="23"/>
    </row>
    <row r="743" ht="15.75" customHeight="1">
      <c r="C743" s="20"/>
      <c r="H743" s="23"/>
    </row>
    <row r="744" ht="15.75" customHeight="1">
      <c r="C744" s="20"/>
      <c r="H744" s="23"/>
    </row>
    <row r="745" ht="15.75" customHeight="1">
      <c r="C745" s="20"/>
      <c r="H745" s="23"/>
    </row>
    <row r="746" ht="15.75" customHeight="1">
      <c r="C746" s="20"/>
      <c r="H746" s="23"/>
    </row>
    <row r="747" ht="15.75" customHeight="1">
      <c r="C747" s="20"/>
      <c r="H747" s="23"/>
    </row>
    <row r="748" ht="15.75" customHeight="1">
      <c r="C748" s="20"/>
      <c r="H748" s="23"/>
    </row>
    <row r="749" ht="15.75" customHeight="1">
      <c r="C749" s="20"/>
      <c r="H749" s="23"/>
    </row>
    <row r="750" ht="15.75" customHeight="1">
      <c r="C750" s="20"/>
      <c r="H750" s="23"/>
    </row>
    <row r="751" ht="15.75" customHeight="1">
      <c r="C751" s="20"/>
      <c r="H751" s="23"/>
    </row>
    <row r="752" ht="15.75" customHeight="1">
      <c r="C752" s="20"/>
      <c r="H752" s="23"/>
    </row>
    <row r="753" ht="15.75" customHeight="1">
      <c r="C753" s="20"/>
      <c r="H753" s="23"/>
    </row>
    <row r="754" ht="15.75" customHeight="1">
      <c r="C754" s="20"/>
      <c r="H754" s="23"/>
    </row>
    <row r="755" ht="15.75" customHeight="1">
      <c r="C755" s="20"/>
      <c r="H755" s="23"/>
    </row>
    <row r="756" ht="15.75" customHeight="1">
      <c r="C756" s="20"/>
      <c r="H756" s="23"/>
    </row>
    <row r="757" ht="15.75" customHeight="1">
      <c r="C757" s="20"/>
      <c r="H757" s="23"/>
    </row>
    <row r="758" ht="15.75" customHeight="1">
      <c r="C758" s="20"/>
      <c r="H758" s="23"/>
    </row>
    <row r="759" ht="15.75" customHeight="1">
      <c r="C759" s="20"/>
      <c r="H759" s="23"/>
    </row>
    <row r="760" ht="15.75" customHeight="1">
      <c r="C760" s="20"/>
      <c r="H760" s="23"/>
    </row>
    <row r="761" ht="15.75" customHeight="1">
      <c r="C761" s="20"/>
      <c r="H761" s="23"/>
    </row>
    <row r="762" ht="15.75" customHeight="1">
      <c r="C762" s="20"/>
      <c r="H762" s="23"/>
    </row>
    <row r="763" ht="15.75" customHeight="1">
      <c r="C763" s="20"/>
      <c r="H763" s="23"/>
    </row>
    <row r="764" ht="15.75" customHeight="1">
      <c r="C764" s="20"/>
      <c r="H764" s="23"/>
    </row>
    <row r="765" ht="15.75" customHeight="1">
      <c r="C765" s="20"/>
      <c r="H765" s="23"/>
    </row>
    <row r="766" ht="15.75" customHeight="1">
      <c r="C766" s="20"/>
      <c r="H766" s="23"/>
    </row>
    <row r="767" ht="15.75" customHeight="1">
      <c r="C767" s="20"/>
      <c r="H767" s="23"/>
    </row>
    <row r="768" ht="15.75" customHeight="1">
      <c r="C768" s="20"/>
      <c r="H768" s="23"/>
    </row>
    <row r="769" ht="15.75" customHeight="1">
      <c r="C769" s="20"/>
      <c r="H769" s="23"/>
    </row>
    <row r="770" ht="15.75" customHeight="1">
      <c r="C770" s="20"/>
      <c r="H770" s="23"/>
    </row>
    <row r="771" ht="15.75" customHeight="1">
      <c r="C771" s="20"/>
      <c r="H771" s="23"/>
    </row>
    <row r="772" ht="15.75" customHeight="1">
      <c r="C772" s="20"/>
      <c r="H772" s="23"/>
    </row>
    <row r="773" ht="15.75" customHeight="1">
      <c r="C773" s="20"/>
      <c r="H773" s="23"/>
    </row>
    <row r="774" ht="15.75" customHeight="1">
      <c r="C774" s="20"/>
      <c r="H774" s="23"/>
    </row>
    <row r="775" ht="15.75" customHeight="1">
      <c r="C775" s="20"/>
      <c r="H775" s="23"/>
    </row>
    <row r="776" ht="15.75" customHeight="1">
      <c r="C776" s="20"/>
      <c r="H776" s="23"/>
    </row>
    <row r="777" ht="15.75" customHeight="1">
      <c r="C777" s="20"/>
      <c r="H777" s="23"/>
    </row>
    <row r="778" ht="15.75" customHeight="1">
      <c r="C778" s="20"/>
      <c r="H778" s="23"/>
    </row>
    <row r="779" ht="15.75" customHeight="1">
      <c r="C779" s="20"/>
      <c r="H779" s="23"/>
    </row>
    <row r="780" ht="15.75" customHeight="1">
      <c r="C780" s="20"/>
      <c r="H780" s="23"/>
    </row>
    <row r="781" ht="15.75" customHeight="1">
      <c r="C781" s="20"/>
      <c r="H781" s="23"/>
    </row>
    <row r="782" ht="15.75" customHeight="1">
      <c r="C782" s="20"/>
      <c r="H782" s="23"/>
    </row>
    <row r="783" ht="15.75" customHeight="1">
      <c r="C783" s="20"/>
      <c r="H783" s="23"/>
    </row>
    <row r="784" ht="15.75" customHeight="1">
      <c r="C784" s="20"/>
      <c r="H784" s="23"/>
    </row>
    <row r="785" ht="15.75" customHeight="1">
      <c r="C785" s="20"/>
      <c r="H785" s="23"/>
    </row>
    <row r="786" ht="15.75" customHeight="1">
      <c r="C786" s="20"/>
      <c r="H786" s="23"/>
    </row>
    <row r="787" ht="15.75" customHeight="1">
      <c r="C787" s="20"/>
      <c r="H787" s="23"/>
    </row>
    <row r="788" ht="15.75" customHeight="1">
      <c r="C788" s="20"/>
      <c r="H788" s="23"/>
    </row>
    <row r="789" ht="15.75" customHeight="1">
      <c r="C789" s="20"/>
      <c r="H789" s="23"/>
    </row>
    <row r="790" ht="15.75" customHeight="1">
      <c r="C790" s="20"/>
      <c r="H790" s="23"/>
    </row>
    <row r="791" ht="15.75" customHeight="1">
      <c r="C791" s="20"/>
      <c r="H791" s="23"/>
    </row>
    <row r="792" ht="15.75" customHeight="1">
      <c r="C792" s="20"/>
      <c r="H792" s="23"/>
    </row>
    <row r="793" ht="15.75" customHeight="1">
      <c r="C793" s="20"/>
      <c r="H793" s="23"/>
    </row>
    <row r="794" ht="15.75" customHeight="1">
      <c r="C794" s="20"/>
      <c r="H794" s="23"/>
    </row>
    <row r="795" ht="15.75" customHeight="1">
      <c r="C795" s="20"/>
      <c r="H795" s="23"/>
    </row>
    <row r="796" ht="15.75" customHeight="1">
      <c r="C796" s="20"/>
      <c r="H796" s="23"/>
    </row>
    <row r="797" ht="15.75" customHeight="1">
      <c r="C797" s="20"/>
      <c r="H797" s="23"/>
    </row>
    <row r="798" ht="15.75" customHeight="1">
      <c r="C798" s="20"/>
      <c r="H798" s="23"/>
    </row>
    <row r="799" ht="15.75" customHeight="1">
      <c r="C799" s="20"/>
      <c r="H799" s="23"/>
    </row>
    <row r="800" ht="15.75" customHeight="1">
      <c r="C800" s="20"/>
      <c r="H800" s="23"/>
    </row>
    <row r="801" ht="15.75" customHeight="1">
      <c r="C801" s="20"/>
      <c r="H801" s="23"/>
    </row>
    <row r="802" ht="15.75" customHeight="1">
      <c r="C802" s="20"/>
      <c r="H802" s="23"/>
    </row>
    <row r="803" ht="15.75" customHeight="1">
      <c r="C803" s="20"/>
      <c r="H803" s="23"/>
    </row>
    <row r="804" ht="15.75" customHeight="1">
      <c r="C804" s="20"/>
      <c r="H804" s="23"/>
    </row>
    <row r="805" ht="15.75" customHeight="1">
      <c r="C805" s="20"/>
      <c r="H805" s="23"/>
    </row>
    <row r="806" ht="15.75" customHeight="1">
      <c r="C806" s="20"/>
      <c r="H806" s="23"/>
    </row>
    <row r="807" ht="15.75" customHeight="1">
      <c r="C807" s="20"/>
      <c r="H807" s="23"/>
    </row>
    <row r="808" ht="15.75" customHeight="1">
      <c r="C808" s="20"/>
      <c r="H808" s="23"/>
    </row>
    <row r="809" ht="15.75" customHeight="1">
      <c r="C809" s="20"/>
      <c r="H809" s="23"/>
    </row>
    <row r="810" ht="15.75" customHeight="1">
      <c r="C810" s="20"/>
      <c r="H810" s="23"/>
    </row>
    <row r="811" ht="15.75" customHeight="1">
      <c r="C811" s="20"/>
      <c r="H811" s="23"/>
    </row>
    <row r="812" ht="15.75" customHeight="1">
      <c r="C812" s="20"/>
      <c r="H812" s="23"/>
    </row>
    <row r="813" ht="15.75" customHeight="1">
      <c r="C813" s="20"/>
      <c r="H813" s="23"/>
    </row>
    <row r="814" ht="15.75" customHeight="1">
      <c r="C814" s="20"/>
      <c r="H814" s="23"/>
    </row>
    <row r="815" ht="15.75" customHeight="1">
      <c r="C815" s="20"/>
      <c r="H815" s="23"/>
    </row>
    <row r="816" ht="15.75" customHeight="1">
      <c r="C816" s="20"/>
      <c r="H816" s="23"/>
    </row>
    <row r="817" ht="15.75" customHeight="1">
      <c r="C817" s="20"/>
      <c r="H817" s="23"/>
    </row>
    <row r="818" ht="15.75" customHeight="1">
      <c r="C818" s="20"/>
      <c r="H818" s="23"/>
    </row>
    <row r="819" ht="15.75" customHeight="1">
      <c r="C819" s="20"/>
      <c r="H819" s="23"/>
    </row>
    <row r="820" ht="15.75" customHeight="1">
      <c r="C820" s="20"/>
      <c r="H820" s="23"/>
    </row>
    <row r="821" ht="15.75" customHeight="1">
      <c r="C821" s="20"/>
      <c r="H821" s="23"/>
    </row>
    <row r="822" ht="15.75" customHeight="1">
      <c r="C822" s="20"/>
      <c r="H822" s="23"/>
    </row>
    <row r="823" ht="15.75" customHeight="1">
      <c r="C823" s="20"/>
      <c r="H823" s="23"/>
    </row>
    <row r="824" ht="15.75" customHeight="1">
      <c r="C824" s="20"/>
      <c r="H824" s="23"/>
    </row>
    <row r="825" ht="15.75" customHeight="1">
      <c r="C825" s="20"/>
      <c r="H825" s="23"/>
    </row>
    <row r="826" ht="15.75" customHeight="1">
      <c r="C826" s="20"/>
      <c r="H826" s="23"/>
    </row>
    <row r="827" ht="15.75" customHeight="1">
      <c r="C827" s="20"/>
      <c r="H827" s="23"/>
    </row>
    <row r="828" ht="15.75" customHeight="1">
      <c r="C828" s="20"/>
      <c r="H828" s="23"/>
    </row>
    <row r="829" ht="15.75" customHeight="1">
      <c r="C829" s="20"/>
      <c r="H829" s="23"/>
    </row>
    <row r="830" ht="15.75" customHeight="1">
      <c r="C830" s="20"/>
      <c r="H830" s="23"/>
    </row>
    <row r="831" ht="15.75" customHeight="1">
      <c r="C831" s="20"/>
      <c r="H831" s="23"/>
    </row>
    <row r="832" ht="15.75" customHeight="1">
      <c r="C832" s="20"/>
      <c r="H832" s="23"/>
    </row>
    <row r="833" ht="15.75" customHeight="1">
      <c r="C833" s="20"/>
      <c r="H833" s="23"/>
    </row>
    <row r="834" ht="15.75" customHeight="1">
      <c r="C834" s="20"/>
      <c r="H834" s="23"/>
    </row>
    <row r="835" ht="15.75" customHeight="1">
      <c r="C835" s="20"/>
      <c r="H835" s="23"/>
    </row>
    <row r="836" ht="15.75" customHeight="1">
      <c r="C836" s="20"/>
      <c r="H836" s="23"/>
    </row>
    <row r="837" ht="15.75" customHeight="1">
      <c r="C837" s="20"/>
      <c r="H837" s="23"/>
    </row>
    <row r="838" ht="15.75" customHeight="1">
      <c r="C838" s="20"/>
      <c r="H838" s="23"/>
    </row>
    <row r="839" ht="15.75" customHeight="1">
      <c r="C839" s="20"/>
      <c r="H839" s="23"/>
    </row>
    <row r="840" ht="15.75" customHeight="1">
      <c r="C840" s="20"/>
      <c r="H840" s="23"/>
    </row>
    <row r="841" ht="15.75" customHeight="1">
      <c r="C841" s="20"/>
      <c r="H841" s="23"/>
    </row>
    <row r="842" ht="15.75" customHeight="1">
      <c r="C842" s="20"/>
      <c r="H842" s="23"/>
    </row>
    <row r="843" ht="15.75" customHeight="1">
      <c r="C843" s="20"/>
      <c r="H843" s="23"/>
    </row>
    <row r="844" ht="15.75" customHeight="1">
      <c r="C844" s="20"/>
      <c r="H844" s="23"/>
    </row>
    <row r="845" ht="15.75" customHeight="1">
      <c r="C845" s="20"/>
      <c r="H845" s="23"/>
    </row>
    <row r="846" ht="15.75" customHeight="1">
      <c r="C846" s="20"/>
      <c r="H846" s="23"/>
    </row>
    <row r="847" ht="15.75" customHeight="1">
      <c r="C847" s="20"/>
      <c r="H847" s="23"/>
    </row>
    <row r="848" ht="15.75" customHeight="1">
      <c r="C848" s="20"/>
      <c r="H848" s="23"/>
    </row>
    <row r="849" ht="15.75" customHeight="1">
      <c r="C849" s="20"/>
      <c r="H849" s="23"/>
    </row>
    <row r="850" ht="15.75" customHeight="1">
      <c r="C850" s="20"/>
      <c r="H850" s="23"/>
    </row>
    <row r="851" ht="15.75" customHeight="1">
      <c r="C851" s="20"/>
      <c r="H851" s="23"/>
    </row>
    <row r="852" ht="15.75" customHeight="1">
      <c r="C852" s="20"/>
      <c r="H852" s="23"/>
    </row>
    <row r="853" ht="15.75" customHeight="1">
      <c r="C853" s="20"/>
      <c r="H853" s="23"/>
    </row>
    <row r="854" ht="15.75" customHeight="1">
      <c r="C854" s="20"/>
      <c r="H854" s="23"/>
    </row>
    <row r="855" ht="15.75" customHeight="1">
      <c r="C855" s="20"/>
      <c r="H855" s="23"/>
    </row>
    <row r="856" ht="15.75" customHeight="1">
      <c r="C856" s="20"/>
      <c r="H856" s="23"/>
    </row>
    <row r="857" ht="15.75" customHeight="1">
      <c r="C857" s="20"/>
      <c r="H857" s="23"/>
    </row>
    <row r="858" ht="15.75" customHeight="1">
      <c r="C858" s="20"/>
      <c r="H858" s="23"/>
    </row>
    <row r="859" ht="15.75" customHeight="1">
      <c r="C859" s="20"/>
      <c r="H859" s="23"/>
    </row>
    <row r="860" ht="15.75" customHeight="1">
      <c r="C860" s="20"/>
      <c r="H860" s="23"/>
    </row>
    <row r="861" ht="15.75" customHeight="1">
      <c r="C861" s="20"/>
      <c r="H861" s="23"/>
    </row>
    <row r="862" ht="15.75" customHeight="1">
      <c r="C862" s="20"/>
      <c r="H862" s="23"/>
    </row>
    <row r="863" ht="15.75" customHeight="1">
      <c r="C863" s="20"/>
      <c r="H863" s="23"/>
    </row>
    <row r="864" ht="15.75" customHeight="1">
      <c r="C864" s="20"/>
      <c r="H864" s="23"/>
    </row>
    <row r="865" ht="15.75" customHeight="1">
      <c r="C865" s="20"/>
      <c r="H865" s="23"/>
    </row>
    <row r="866" ht="15.75" customHeight="1">
      <c r="C866" s="20"/>
      <c r="H866" s="23"/>
    </row>
    <row r="867" ht="15.75" customHeight="1">
      <c r="C867" s="20"/>
      <c r="H867" s="23"/>
    </row>
    <row r="868" ht="15.75" customHeight="1">
      <c r="C868" s="20"/>
      <c r="H868" s="23"/>
    </row>
    <row r="869" ht="15.75" customHeight="1">
      <c r="C869" s="20"/>
      <c r="H869" s="23"/>
    </row>
    <row r="870" ht="15.75" customHeight="1">
      <c r="C870" s="20"/>
      <c r="H870" s="23"/>
    </row>
    <row r="871" ht="15.75" customHeight="1">
      <c r="C871" s="20"/>
      <c r="H871" s="23"/>
    </row>
    <row r="872" ht="15.75" customHeight="1">
      <c r="C872" s="20"/>
      <c r="H872" s="23"/>
    </row>
    <row r="873" ht="15.75" customHeight="1">
      <c r="C873" s="20"/>
      <c r="H873" s="23"/>
    </row>
    <row r="874" ht="15.75" customHeight="1">
      <c r="C874" s="20"/>
      <c r="H874" s="23"/>
    </row>
    <row r="875" ht="15.75" customHeight="1">
      <c r="C875" s="20"/>
      <c r="H875" s="23"/>
    </row>
    <row r="876" ht="15.75" customHeight="1">
      <c r="C876" s="20"/>
      <c r="H876" s="23"/>
    </row>
    <row r="877" ht="15.75" customHeight="1">
      <c r="C877" s="20"/>
      <c r="H877" s="23"/>
    </row>
    <row r="878" ht="15.75" customHeight="1">
      <c r="C878" s="20"/>
      <c r="H878" s="23"/>
    </row>
    <row r="879" ht="15.75" customHeight="1">
      <c r="C879" s="20"/>
      <c r="H879" s="23"/>
    </row>
    <row r="880" ht="15.75" customHeight="1">
      <c r="C880" s="20"/>
      <c r="H880" s="23"/>
    </row>
    <row r="881" ht="15.75" customHeight="1">
      <c r="C881" s="20"/>
      <c r="H881" s="23"/>
    </row>
    <row r="882" ht="15.75" customHeight="1">
      <c r="C882" s="20"/>
      <c r="H882" s="23"/>
    </row>
    <row r="883" ht="15.75" customHeight="1">
      <c r="C883" s="20"/>
      <c r="H883" s="23"/>
    </row>
    <row r="884" ht="15.75" customHeight="1">
      <c r="C884" s="20"/>
      <c r="H884" s="23"/>
    </row>
    <row r="885" ht="15.75" customHeight="1">
      <c r="C885" s="20"/>
      <c r="H885" s="23"/>
    </row>
    <row r="886" ht="15.75" customHeight="1">
      <c r="C886" s="20"/>
      <c r="H886" s="23"/>
    </row>
    <row r="887" ht="15.75" customHeight="1">
      <c r="C887" s="20"/>
      <c r="H887" s="23"/>
    </row>
    <row r="888" ht="15.75" customHeight="1">
      <c r="C888" s="20"/>
      <c r="H888" s="23"/>
    </row>
    <row r="889" ht="15.75" customHeight="1">
      <c r="C889" s="20"/>
      <c r="H889" s="23"/>
    </row>
    <row r="890" ht="15.75" customHeight="1">
      <c r="C890" s="20"/>
      <c r="H890" s="23"/>
    </row>
    <row r="891" ht="15.75" customHeight="1">
      <c r="C891" s="20"/>
      <c r="H891" s="23"/>
    </row>
    <row r="892" ht="15.75" customHeight="1">
      <c r="C892" s="20"/>
      <c r="H892" s="23"/>
    </row>
    <row r="893" ht="15.75" customHeight="1">
      <c r="C893" s="20"/>
      <c r="H893" s="23"/>
    </row>
    <row r="894" ht="15.75" customHeight="1">
      <c r="C894" s="20"/>
      <c r="H894" s="23"/>
    </row>
    <row r="895" ht="15.75" customHeight="1">
      <c r="C895" s="20"/>
      <c r="H895" s="23"/>
    </row>
    <row r="896" ht="15.75" customHeight="1">
      <c r="C896" s="20"/>
      <c r="H896" s="23"/>
    </row>
    <row r="897" ht="15.75" customHeight="1">
      <c r="C897" s="20"/>
      <c r="H897" s="23"/>
    </row>
    <row r="898" ht="15.75" customHeight="1">
      <c r="C898" s="20"/>
      <c r="H898" s="23"/>
    </row>
    <row r="899" ht="15.75" customHeight="1">
      <c r="C899" s="20"/>
      <c r="H899" s="23"/>
    </row>
    <row r="900" ht="15.75" customHeight="1">
      <c r="C900" s="20"/>
      <c r="H900" s="23"/>
    </row>
    <row r="901" ht="15.75" customHeight="1">
      <c r="C901" s="20"/>
      <c r="H901" s="23"/>
    </row>
    <row r="902" ht="15.75" customHeight="1">
      <c r="C902" s="20"/>
      <c r="H902" s="23"/>
    </row>
    <row r="903" ht="15.75" customHeight="1">
      <c r="C903" s="20"/>
      <c r="H903" s="23"/>
    </row>
    <row r="904" ht="15.75" customHeight="1">
      <c r="C904" s="20"/>
      <c r="H904" s="23"/>
    </row>
    <row r="905" ht="15.75" customHeight="1">
      <c r="C905" s="20"/>
      <c r="H905" s="23"/>
    </row>
    <row r="906" ht="15.75" customHeight="1">
      <c r="C906" s="20"/>
      <c r="H906" s="23"/>
    </row>
    <row r="907" ht="15.75" customHeight="1">
      <c r="C907" s="20"/>
      <c r="H907" s="23"/>
    </row>
    <row r="908" ht="15.75" customHeight="1">
      <c r="C908" s="20"/>
      <c r="H908" s="23"/>
    </row>
    <row r="909" ht="15.75" customHeight="1">
      <c r="C909" s="20"/>
      <c r="H909" s="23"/>
    </row>
    <row r="910" ht="15.75" customHeight="1">
      <c r="C910" s="20"/>
      <c r="H910" s="23"/>
    </row>
    <row r="911" ht="15.75" customHeight="1">
      <c r="C911" s="20"/>
      <c r="H911" s="23"/>
    </row>
    <row r="912" ht="15.75" customHeight="1">
      <c r="C912" s="20"/>
      <c r="H912" s="23"/>
    </row>
    <row r="913" ht="15.75" customHeight="1">
      <c r="C913" s="20"/>
      <c r="H913" s="23"/>
    </row>
    <row r="914" ht="15.75" customHeight="1">
      <c r="C914" s="20"/>
      <c r="H914" s="23"/>
    </row>
    <row r="915" ht="15.75" customHeight="1">
      <c r="C915" s="20"/>
      <c r="H915" s="23"/>
    </row>
    <row r="916" ht="15.75" customHeight="1">
      <c r="C916" s="20"/>
      <c r="H916" s="23"/>
    </row>
    <row r="917" ht="15.75" customHeight="1">
      <c r="C917" s="20"/>
      <c r="H917" s="23"/>
    </row>
    <row r="918" ht="15.75" customHeight="1">
      <c r="C918" s="20"/>
      <c r="H918" s="23"/>
    </row>
    <row r="919" ht="15.75" customHeight="1">
      <c r="C919" s="20"/>
      <c r="H919" s="23"/>
    </row>
    <row r="920" ht="15.75" customHeight="1">
      <c r="C920" s="20"/>
      <c r="H920" s="23"/>
    </row>
    <row r="921" ht="15.75" customHeight="1">
      <c r="C921" s="20"/>
      <c r="H921" s="23"/>
    </row>
    <row r="922" ht="15.75" customHeight="1">
      <c r="C922" s="20"/>
      <c r="H922" s="23"/>
    </row>
    <row r="923" ht="15.75" customHeight="1">
      <c r="C923" s="20"/>
      <c r="H923" s="23"/>
    </row>
    <row r="924" ht="15.75" customHeight="1">
      <c r="C924" s="20"/>
      <c r="H924" s="23"/>
    </row>
    <row r="925" ht="15.75" customHeight="1">
      <c r="C925" s="20"/>
      <c r="H925" s="23"/>
    </row>
    <row r="926" ht="15.75" customHeight="1">
      <c r="C926" s="20"/>
      <c r="H926" s="23"/>
    </row>
    <row r="927" ht="15.75" customHeight="1">
      <c r="C927" s="20"/>
      <c r="H927" s="23"/>
    </row>
    <row r="928" ht="15.75" customHeight="1">
      <c r="C928" s="20"/>
      <c r="H928" s="23"/>
    </row>
    <row r="929" ht="15.75" customHeight="1">
      <c r="C929" s="20"/>
      <c r="H929" s="23"/>
    </row>
    <row r="930" ht="15.75" customHeight="1">
      <c r="C930" s="20"/>
      <c r="H930" s="23"/>
    </row>
    <row r="931" ht="15.75" customHeight="1">
      <c r="C931" s="20"/>
      <c r="H931" s="23"/>
    </row>
    <row r="932" ht="15.75" customHeight="1">
      <c r="C932" s="20"/>
      <c r="H932" s="23"/>
    </row>
    <row r="933" ht="15.75" customHeight="1">
      <c r="C933" s="20"/>
      <c r="H933" s="23"/>
    </row>
    <row r="934" ht="15.75" customHeight="1">
      <c r="C934" s="20"/>
      <c r="H934" s="23"/>
    </row>
    <row r="935" ht="15.75" customHeight="1">
      <c r="C935" s="20"/>
      <c r="H935" s="23"/>
    </row>
    <row r="936" ht="15.75" customHeight="1">
      <c r="C936" s="20"/>
      <c r="H936" s="23"/>
    </row>
    <row r="937" ht="15.75" customHeight="1">
      <c r="C937" s="20"/>
      <c r="H937" s="23"/>
    </row>
    <row r="938" ht="15.75" customHeight="1">
      <c r="C938" s="20"/>
      <c r="H938" s="23"/>
    </row>
    <row r="939" ht="15.75" customHeight="1">
      <c r="C939" s="20"/>
      <c r="H939" s="23"/>
    </row>
    <row r="940" ht="15.75" customHeight="1">
      <c r="C940" s="20"/>
      <c r="H940" s="23"/>
    </row>
    <row r="941" ht="15.75" customHeight="1">
      <c r="C941" s="20"/>
      <c r="H941" s="23"/>
    </row>
    <row r="942" ht="15.75" customHeight="1">
      <c r="C942" s="20"/>
      <c r="H942" s="23"/>
    </row>
    <row r="943" ht="15.75" customHeight="1">
      <c r="C943" s="20"/>
      <c r="H943" s="23"/>
    </row>
    <row r="944" ht="15.75" customHeight="1">
      <c r="C944" s="20"/>
      <c r="H944" s="23"/>
    </row>
    <row r="945" ht="15.75" customHeight="1">
      <c r="C945" s="20"/>
      <c r="H945" s="23"/>
    </row>
    <row r="946" ht="15.75" customHeight="1">
      <c r="C946" s="20"/>
      <c r="H946" s="23"/>
    </row>
    <row r="947" ht="15.75" customHeight="1">
      <c r="C947" s="20"/>
      <c r="H947" s="23"/>
    </row>
    <row r="948" ht="15.75" customHeight="1">
      <c r="C948" s="20"/>
      <c r="H948" s="23"/>
    </row>
    <row r="949" ht="15.75" customHeight="1">
      <c r="C949" s="20"/>
      <c r="H949" s="23"/>
    </row>
    <row r="950" ht="15.75" customHeight="1">
      <c r="C950" s="20"/>
      <c r="H950" s="23"/>
    </row>
    <row r="951" ht="15.75" customHeight="1">
      <c r="C951" s="20"/>
      <c r="H951" s="23"/>
    </row>
    <row r="952" ht="15.75" customHeight="1">
      <c r="C952" s="20"/>
      <c r="H952" s="23"/>
    </row>
    <row r="953" ht="15.75" customHeight="1">
      <c r="C953" s="20"/>
      <c r="H953" s="23"/>
    </row>
    <row r="954" ht="15.75" customHeight="1">
      <c r="C954" s="20"/>
      <c r="H954" s="23"/>
    </row>
    <row r="955" ht="15.75" customHeight="1">
      <c r="C955" s="20"/>
      <c r="H955" s="23"/>
    </row>
    <row r="956" ht="15.75" customHeight="1">
      <c r="C956" s="20"/>
      <c r="H956" s="23"/>
    </row>
    <row r="957" ht="15.75" customHeight="1">
      <c r="C957" s="20"/>
      <c r="H957" s="23"/>
    </row>
    <row r="958" ht="15.75" customHeight="1">
      <c r="C958" s="20"/>
      <c r="H958" s="23"/>
    </row>
    <row r="959" ht="15.75" customHeight="1">
      <c r="C959" s="20"/>
      <c r="H959" s="23"/>
    </row>
    <row r="960" ht="15.75" customHeight="1">
      <c r="C960" s="20"/>
      <c r="H960" s="23"/>
    </row>
    <row r="961" ht="15.75" customHeight="1">
      <c r="C961" s="20"/>
      <c r="H961" s="23"/>
    </row>
    <row r="962" ht="15.75" customHeight="1">
      <c r="C962" s="20"/>
      <c r="H962" s="23"/>
    </row>
    <row r="963" ht="15.75" customHeight="1">
      <c r="C963" s="20"/>
      <c r="H963" s="23"/>
    </row>
    <row r="964" ht="15.75" customHeight="1">
      <c r="C964" s="20"/>
      <c r="H964" s="23"/>
    </row>
    <row r="965" ht="15.75" customHeight="1">
      <c r="C965" s="20"/>
      <c r="H965" s="23"/>
    </row>
    <row r="966" ht="15.75" customHeight="1">
      <c r="C966" s="20"/>
      <c r="H966" s="23"/>
    </row>
    <row r="967" ht="15.75" customHeight="1">
      <c r="C967" s="20"/>
      <c r="H967" s="23"/>
    </row>
    <row r="968" ht="15.75" customHeight="1">
      <c r="C968" s="20"/>
      <c r="H968" s="23"/>
    </row>
    <row r="969" ht="15.75" customHeight="1">
      <c r="C969" s="20"/>
      <c r="H969" s="23"/>
    </row>
    <row r="970" ht="15.75" customHeight="1">
      <c r="C970" s="20"/>
      <c r="H970" s="23"/>
    </row>
    <row r="971" ht="15.75" customHeight="1">
      <c r="C971" s="20"/>
      <c r="H971" s="23"/>
    </row>
    <row r="972" ht="15.75" customHeight="1">
      <c r="C972" s="20"/>
      <c r="H972" s="23"/>
    </row>
    <row r="973" ht="15.75" customHeight="1">
      <c r="C973" s="20"/>
      <c r="H973" s="23"/>
    </row>
    <row r="974" ht="15.75" customHeight="1">
      <c r="C974" s="20"/>
      <c r="H974" s="23"/>
    </row>
    <row r="975" ht="15.75" customHeight="1">
      <c r="C975" s="20"/>
      <c r="H975" s="23"/>
    </row>
    <row r="976" ht="15.75" customHeight="1">
      <c r="C976" s="20"/>
      <c r="H976" s="23"/>
    </row>
    <row r="977" ht="15.75" customHeight="1">
      <c r="C977" s="20"/>
      <c r="H977" s="23"/>
    </row>
    <row r="978" ht="15.75" customHeight="1">
      <c r="C978" s="20"/>
      <c r="H978" s="23"/>
    </row>
    <row r="979" ht="15.75" customHeight="1">
      <c r="C979" s="20"/>
      <c r="H979" s="23"/>
    </row>
    <row r="980" ht="15.75" customHeight="1">
      <c r="C980" s="20"/>
      <c r="H980" s="23"/>
    </row>
    <row r="981" ht="15.75" customHeight="1">
      <c r="C981" s="20"/>
      <c r="H981" s="23"/>
    </row>
    <row r="982" ht="15.75" customHeight="1">
      <c r="C982" s="20"/>
      <c r="H982" s="23"/>
    </row>
    <row r="983" ht="15.75" customHeight="1">
      <c r="C983" s="20"/>
      <c r="H983" s="23"/>
    </row>
    <row r="984" ht="15.75" customHeight="1">
      <c r="C984" s="20"/>
      <c r="H984" s="23"/>
    </row>
    <row r="985" ht="15.75" customHeight="1">
      <c r="C985" s="20"/>
      <c r="H985" s="23"/>
    </row>
    <row r="986" ht="15.75" customHeight="1">
      <c r="C986" s="20"/>
      <c r="H986" s="23"/>
    </row>
    <row r="987" ht="15.75" customHeight="1">
      <c r="C987" s="20"/>
      <c r="H987" s="23"/>
    </row>
    <row r="988" ht="15.75" customHeight="1">
      <c r="C988" s="20"/>
      <c r="H988" s="23"/>
    </row>
    <row r="989" ht="15.75" customHeight="1">
      <c r="C989" s="20"/>
      <c r="H989" s="23"/>
    </row>
    <row r="990" ht="15.75" customHeight="1">
      <c r="C990" s="20"/>
      <c r="H990" s="23"/>
    </row>
    <row r="991" ht="15.75" customHeight="1">
      <c r="C991" s="20"/>
      <c r="H991" s="23"/>
    </row>
    <row r="992" ht="15.75" customHeight="1">
      <c r="C992" s="20"/>
      <c r="H992" s="23"/>
    </row>
    <row r="993" ht="15.75" customHeight="1">
      <c r="C993" s="20"/>
      <c r="H993" s="23"/>
    </row>
    <row r="994" ht="15.75" customHeight="1">
      <c r="C994" s="20"/>
      <c r="H994" s="23"/>
    </row>
    <row r="995" ht="15.75" customHeight="1">
      <c r="C995" s="20"/>
      <c r="H995" s="23"/>
    </row>
    <row r="996" ht="15.75" customHeight="1">
      <c r="C996" s="20"/>
      <c r="H996" s="23"/>
    </row>
    <row r="997" ht="15.75" customHeight="1">
      <c r="C997" s="20"/>
      <c r="H997" s="23"/>
    </row>
    <row r="998" ht="15.75" customHeight="1">
      <c r="C998" s="20"/>
      <c r="H998" s="23"/>
    </row>
    <row r="999" ht="15.75" customHeight="1">
      <c r="C999" s="20"/>
      <c r="H999" s="23"/>
    </row>
    <row r="1000" ht="15.75" customHeight="1">
      <c r="C1000" s="20"/>
      <c r="H1000" s="23"/>
    </row>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75"/>
    <col customWidth="1" min="2" max="4" width="14.88"/>
    <col customWidth="1" min="5" max="5" width="41.25"/>
    <col customWidth="1" min="6" max="26" width="8.63"/>
  </cols>
  <sheetData>
    <row r="1">
      <c r="A1" s="24" t="s">
        <v>783</v>
      </c>
      <c r="B1" s="24" t="s">
        <v>784</v>
      </c>
      <c r="C1" s="21"/>
      <c r="D1" s="21"/>
      <c r="E1" s="21"/>
      <c r="F1" s="21"/>
      <c r="G1" s="21"/>
      <c r="H1" s="21"/>
    </row>
    <row r="2">
      <c r="A2" s="19" t="s">
        <v>785</v>
      </c>
      <c r="B2" s="80">
        <v>9.0</v>
      </c>
      <c r="C2" s="21"/>
      <c r="D2" s="21"/>
      <c r="E2" s="21"/>
      <c r="F2" s="21"/>
      <c r="G2" s="21"/>
      <c r="H2" s="21"/>
    </row>
    <row r="3">
      <c r="A3" s="19" t="s">
        <v>30</v>
      </c>
      <c r="B3" s="23">
        <f>DATE(IF(MONTH(TODAY())&gt;=B2,YEAR(TODAY()),YEAR(TODAY())-1),B2,1)</f>
        <v>46266</v>
      </c>
      <c r="C3" s="21"/>
      <c r="D3" s="21"/>
      <c r="E3" s="21"/>
      <c r="F3" s="21"/>
      <c r="G3" s="21"/>
      <c r="H3" s="21"/>
    </row>
    <row r="4">
      <c r="A4" s="19" t="s">
        <v>35</v>
      </c>
      <c r="B4" s="51">
        <v>46307.91980549769</v>
      </c>
      <c r="C4" s="21"/>
      <c r="D4" s="21"/>
      <c r="E4" s="21"/>
      <c r="F4" s="21"/>
      <c r="G4" s="21"/>
      <c r="H4" s="21"/>
    </row>
    <row r="5">
      <c r="A5" s="19" t="s">
        <v>786</v>
      </c>
      <c r="B5" s="80">
        <v>8.0</v>
      </c>
      <c r="C5" s="21"/>
      <c r="D5" s="21"/>
      <c r="E5" s="21"/>
      <c r="F5" s="21"/>
      <c r="G5" s="21"/>
      <c r="H5" s="21"/>
    </row>
    <row r="6">
      <c r="A6" s="19" t="s">
        <v>787</v>
      </c>
      <c r="B6" s="80">
        <v>1.0</v>
      </c>
      <c r="C6" s="21"/>
      <c r="D6" s="21"/>
      <c r="E6" s="21"/>
      <c r="F6" s="21"/>
      <c r="G6" s="21"/>
      <c r="H6" s="21"/>
    </row>
    <row r="7">
      <c r="A7" s="19" t="s">
        <v>788</v>
      </c>
      <c r="B7" s="19" t="s">
        <v>789</v>
      </c>
      <c r="C7" s="21"/>
      <c r="D7" s="21"/>
      <c r="E7" s="21"/>
      <c r="F7" s="21"/>
      <c r="G7" s="21"/>
      <c r="H7" s="21"/>
    </row>
    <row r="8">
      <c r="A8" s="81" t="s">
        <v>790</v>
      </c>
      <c r="B8" s="21"/>
      <c r="C8" s="21"/>
      <c r="D8" s="21"/>
      <c r="E8" s="21"/>
      <c r="F8" s="21"/>
      <c r="G8" s="21"/>
      <c r="H8" s="21"/>
    </row>
    <row r="9">
      <c r="A9" s="24" t="s">
        <v>791</v>
      </c>
      <c r="B9" s="24" t="s">
        <v>51</v>
      </c>
      <c r="C9" s="24" t="s">
        <v>366</v>
      </c>
      <c r="D9" s="24" t="s">
        <v>792</v>
      </c>
      <c r="E9" s="24" t="s">
        <v>56</v>
      </c>
      <c r="F9" s="21"/>
      <c r="G9" s="21"/>
      <c r="H9" s="21"/>
    </row>
    <row r="10">
      <c r="A10" s="19" t="s">
        <v>41</v>
      </c>
      <c r="B10" s="19" t="s">
        <v>61</v>
      </c>
      <c r="C10" s="51">
        <v>46188.89133525463</v>
      </c>
      <c r="D10" s="23"/>
      <c r="E10" s="19" t="s">
        <v>793</v>
      </c>
      <c r="F10" s="21"/>
      <c r="G10" s="21"/>
      <c r="H10" s="21"/>
    </row>
    <row r="11">
      <c r="A11" s="19" t="s">
        <v>42</v>
      </c>
      <c r="B11" s="19" t="s">
        <v>61</v>
      </c>
      <c r="C11" s="51">
        <v>46188.89133525463</v>
      </c>
      <c r="D11" s="23"/>
      <c r="E11" s="19" t="s">
        <v>793</v>
      </c>
      <c r="F11" s="21"/>
      <c r="G11" s="21"/>
      <c r="H11" s="21"/>
    </row>
    <row r="12">
      <c r="A12" s="19" t="s">
        <v>43</v>
      </c>
      <c r="B12" s="19" t="s">
        <v>61</v>
      </c>
      <c r="C12" s="51">
        <v>46188.89133525463</v>
      </c>
      <c r="D12" s="23"/>
      <c r="E12" s="19" t="s">
        <v>793</v>
      </c>
      <c r="F12" s="21"/>
      <c r="G12" s="21"/>
      <c r="H12" s="21"/>
    </row>
    <row r="13">
      <c r="A13" s="19" t="s">
        <v>44</v>
      </c>
      <c r="B13" s="19" t="s">
        <v>61</v>
      </c>
      <c r="C13" s="51">
        <v>46188.89133525463</v>
      </c>
      <c r="D13" s="23"/>
      <c r="E13" s="19" t="s">
        <v>793</v>
      </c>
      <c r="F13" s="21"/>
      <c r="G13" s="21"/>
      <c r="H13" s="21"/>
    </row>
    <row r="14">
      <c r="A14" s="19" t="s">
        <v>794</v>
      </c>
      <c r="B14" s="19" t="s">
        <v>63</v>
      </c>
      <c r="C14" s="51">
        <v>46244.60672744213</v>
      </c>
      <c r="D14" s="51">
        <v>46244.958172303246</v>
      </c>
      <c r="E14" s="19" t="s">
        <v>795</v>
      </c>
      <c r="F14" s="21"/>
      <c r="G14" s="21"/>
      <c r="H14" s="21"/>
    </row>
    <row r="15">
      <c r="A15" s="19" t="s">
        <v>45</v>
      </c>
      <c r="B15" s="19" t="s">
        <v>61</v>
      </c>
      <c r="C15" s="51">
        <v>46188.89133525463</v>
      </c>
      <c r="D15" s="23"/>
      <c r="E15" s="19" t="s">
        <v>793</v>
      </c>
      <c r="F15" s="21"/>
      <c r="G15" s="21"/>
      <c r="H15" s="21"/>
    </row>
    <row r="16">
      <c r="A16" s="19" t="s">
        <v>796</v>
      </c>
      <c r="B16" s="19" t="s">
        <v>63</v>
      </c>
      <c r="C16" s="51">
        <v>46244.597799745374</v>
      </c>
      <c r="D16" s="51">
        <v>46244.59840592592</v>
      </c>
      <c r="E16" s="19" t="s">
        <v>795</v>
      </c>
      <c r="F16" s="21"/>
      <c r="G16" s="21"/>
      <c r="H16" s="21"/>
    </row>
    <row r="17">
      <c r="A17" s="19" t="s">
        <v>797</v>
      </c>
      <c r="B17" s="19" t="s">
        <v>63</v>
      </c>
      <c r="C17" s="51">
        <v>46244.53146388889</v>
      </c>
      <c r="D17" s="51">
        <v>46244.57717152778</v>
      </c>
      <c r="E17" s="19" t="s">
        <v>795</v>
      </c>
      <c r="F17" s="21"/>
      <c r="G17" s="21"/>
      <c r="H17" s="21"/>
    </row>
    <row r="18">
      <c r="A18" s="19" t="s">
        <v>798</v>
      </c>
      <c r="B18" s="19" t="s">
        <v>63</v>
      </c>
      <c r="C18" s="51">
        <v>46244.55334637732</v>
      </c>
      <c r="D18" s="51">
        <v>46244.577899641205</v>
      </c>
      <c r="E18" s="19" t="s">
        <v>795</v>
      </c>
      <c r="F18" s="21"/>
      <c r="G18" s="21"/>
      <c r="H18" s="21"/>
    </row>
    <row r="19">
      <c r="A19" s="19" t="s">
        <v>799</v>
      </c>
      <c r="B19" s="19" t="s">
        <v>63</v>
      </c>
      <c r="C19" s="51">
        <v>46244.57673407407</v>
      </c>
      <c r="D19" s="51">
        <v>46244.57864712963</v>
      </c>
      <c r="E19" s="19" t="s">
        <v>795</v>
      </c>
      <c r="F19" s="21"/>
      <c r="G19" s="21"/>
      <c r="H19" s="21"/>
    </row>
    <row r="20">
      <c r="A20" s="19" t="s">
        <v>800</v>
      </c>
      <c r="B20" s="19" t="s">
        <v>63</v>
      </c>
      <c r="C20" s="51">
        <v>46244.55922461806</v>
      </c>
      <c r="D20" s="51">
        <v>46244.57738113426</v>
      </c>
      <c r="E20" s="19" t="s">
        <v>795</v>
      </c>
      <c r="F20" s="21"/>
      <c r="G20" s="21"/>
      <c r="H20" s="21"/>
    </row>
    <row r="21" ht="15.75" customHeight="1">
      <c r="A21" s="21"/>
      <c r="B21" s="21"/>
      <c r="C21" s="21"/>
      <c r="D21" s="21"/>
      <c r="E21" s="21"/>
      <c r="F21" s="21"/>
      <c r="G21" s="21"/>
      <c r="H21" s="21"/>
    </row>
    <row r="22" ht="15.75" customHeight="1">
      <c r="A22" s="21"/>
      <c r="B22" s="21"/>
      <c r="C22" s="21"/>
      <c r="D22" s="21"/>
      <c r="E22" s="21"/>
      <c r="F22" s="21"/>
      <c r="G22" s="21"/>
      <c r="H22" s="21"/>
    </row>
    <row r="23" ht="15.75" customHeight="1">
      <c r="A23" s="21"/>
      <c r="B23" s="21"/>
      <c r="C23" s="21"/>
      <c r="D23" s="21"/>
      <c r="E23" s="21"/>
      <c r="F23" s="21"/>
      <c r="G23" s="21"/>
      <c r="H23" s="21"/>
    </row>
    <row r="24" ht="15.75" customHeight="1">
      <c r="A24" s="21"/>
      <c r="B24" s="21"/>
      <c r="C24" s="21"/>
      <c r="D24" s="21"/>
      <c r="E24" s="21"/>
      <c r="F24" s="21"/>
      <c r="G24" s="21"/>
      <c r="H24" s="21"/>
    </row>
    <row r="25" ht="15.75" customHeight="1">
      <c r="A25" s="21"/>
      <c r="B25" s="21"/>
      <c r="C25" s="21"/>
      <c r="D25" s="21"/>
      <c r="E25" s="21"/>
      <c r="F25" s="21"/>
      <c r="G25" s="21"/>
      <c r="H25" s="21"/>
    </row>
    <row r="26" ht="15.75" customHeight="1">
      <c r="A26" s="21"/>
      <c r="B26" s="21"/>
      <c r="C26" s="21"/>
      <c r="D26" s="21"/>
      <c r="E26" s="21"/>
      <c r="F26" s="21"/>
      <c r="G26" s="21"/>
      <c r="H26" s="21"/>
    </row>
    <row r="27" ht="15.75" customHeight="1">
      <c r="A27" s="21"/>
      <c r="B27" s="21"/>
      <c r="C27" s="21"/>
      <c r="D27" s="21"/>
      <c r="E27" s="21"/>
      <c r="F27" s="21"/>
      <c r="G27" s="21"/>
      <c r="H27" s="21"/>
    </row>
    <row r="28" ht="15.75" customHeight="1">
      <c r="A28" s="21"/>
      <c r="B28" s="21"/>
      <c r="C28" s="21"/>
      <c r="D28" s="21"/>
      <c r="E28" s="21"/>
      <c r="F28" s="21"/>
      <c r="G28" s="21"/>
      <c r="H28" s="21"/>
    </row>
    <row r="29" ht="15.75" customHeight="1">
      <c r="A29" s="21"/>
      <c r="B29" s="21"/>
      <c r="C29" s="21"/>
      <c r="D29" s="21"/>
      <c r="E29" s="21"/>
      <c r="F29" s="21"/>
      <c r="G29" s="21"/>
      <c r="H29" s="21"/>
    </row>
    <row r="30" ht="15.75" customHeight="1">
      <c r="A30" s="21"/>
      <c r="B30" s="21"/>
      <c r="C30" s="21"/>
      <c r="D30" s="21"/>
      <c r="E30" s="21"/>
      <c r="F30" s="21"/>
      <c r="G30" s="21"/>
      <c r="H30" s="21"/>
    </row>
    <row r="31" ht="15.75" customHeight="1">
      <c r="A31" s="21"/>
      <c r="B31" s="21"/>
      <c r="C31" s="21"/>
      <c r="D31" s="21"/>
      <c r="E31" s="21"/>
      <c r="F31" s="21"/>
      <c r="G31" s="21"/>
      <c r="H31" s="21"/>
    </row>
    <row r="32" ht="15.75" customHeight="1">
      <c r="A32" s="21"/>
      <c r="B32" s="21"/>
      <c r="C32" s="21"/>
      <c r="D32" s="21"/>
      <c r="E32" s="21"/>
      <c r="F32" s="21"/>
      <c r="G32" s="21"/>
      <c r="H32" s="21"/>
    </row>
    <row r="33" ht="15.75" customHeight="1">
      <c r="A33" s="21"/>
      <c r="B33" s="21"/>
      <c r="C33" s="21"/>
      <c r="D33" s="21"/>
      <c r="E33" s="21"/>
      <c r="F33" s="21"/>
      <c r="G33" s="21"/>
      <c r="H33" s="21"/>
    </row>
    <row r="34" ht="15.75" customHeight="1">
      <c r="A34" s="21"/>
      <c r="B34" s="21"/>
      <c r="C34" s="21"/>
      <c r="D34" s="21"/>
      <c r="E34" s="21"/>
      <c r="F34" s="21"/>
      <c r="G34" s="21"/>
      <c r="H34" s="21"/>
    </row>
    <row r="35" ht="15.75" customHeight="1">
      <c r="A35" s="21"/>
      <c r="B35" s="21"/>
      <c r="C35" s="21"/>
      <c r="D35" s="21"/>
      <c r="E35" s="21"/>
      <c r="F35" s="21"/>
      <c r="G35" s="21"/>
      <c r="H35" s="21"/>
    </row>
    <row r="36" ht="15.75" customHeight="1">
      <c r="A36" s="21"/>
      <c r="B36" s="21"/>
      <c r="C36" s="21"/>
      <c r="D36" s="21"/>
      <c r="E36" s="21"/>
      <c r="F36" s="21"/>
      <c r="G36" s="21"/>
      <c r="H36" s="21"/>
    </row>
    <row r="37" ht="15.75" customHeight="1">
      <c r="A37" s="21"/>
      <c r="B37" s="21"/>
      <c r="C37" s="21"/>
      <c r="D37" s="21"/>
      <c r="E37" s="21"/>
      <c r="F37" s="21"/>
      <c r="G37" s="21"/>
      <c r="H37" s="21"/>
    </row>
    <row r="38" ht="15.75" customHeight="1">
      <c r="A38" s="21"/>
      <c r="B38" s="21"/>
      <c r="C38" s="21"/>
      <c r="D38" s="21"/>
      <c r="E38" s="21"/>
      <c r="F38" s="21"/>
      <c r="G38" s="21"/>
      <c r="H38" s="21"/>
    </row>
    <row r="39" ht="15.75" customHeight="1">
      <c r="A39" s="21"/>
      <c r="B39" s="21"/>
      <c r="C39" s="21"/>
      <c r="D39" s="21"/>
      <c r="E39" s="21"/>
      <c r="F39" s="21"/>
      <c r="G39" s="21"/>
      <c r="H39" s="21"/>
    </row>
    <row r="40" ht="15.75" customHeight="1">
      <c r="A40" s="21"/>
      <c r="B40" s="21"/>
      <c r="C40" s="21"/>
      <c r="D40" s="21"/>
      <c r="E40" s="21"/>
      <c r="F40" s="21"/>
      <c r="G40" s="21"/>
      <c r="H40" s="21"/>
    </row>
    <row r="41" ht="15.75" customHeight="1">
      <c r="A41" s="21"/>
      <c r="B41" s="21"/>
      <c r="C41" s="21"/>
      <c r="D41" s="21"/>
      <c r="E41" s="21"/>
      <c r="F41" s="21"/>
      <c r="G41" s="21"/>
      <c r="H41" s="21"/>
    </row>
    <row r="42" ht="15.75" customHeight="1">
      <c r="A42" s="21"/>
      <c r="B42" s="21"/>
      <c r="C42" s="21"/>
      <c r="D42" s="21"/>
      <c r="E42" s="21"/>
      <c r="F42" s="21"/>
      <c r="G42" s="21"/>
      <c r="H42" s="21"/>
    </row>
    <row r="43" ht="15.75" customHeight="1">
      <c r="A43" s="21"/>
      <c r="B43" s="21"/>
      <c r="C43" s="21"/>
      <c r="D43" s="21"/>
      <c r="E43" s="21"/>
      <c r="F43" s="21"/>
      <c r="G43" s="21"/>
      <c r="H43" s="21"/>
    </row>
    <row r="44" ht="15.75" customHeight="1">
      <c r="A44" s="21"/>
      <c r="B44" s="21"/>
      <c r="C44" s="21"/>
      <c r="D44" s="21"/>
      <c r="E44" s="21"/>
      <c r="F44" s="21"/>
      <c r="G44" s="21"/>
      <c r="H44" s="21"/>
    </row>
    <row r="45" ht="15.75" customHeight="1">
      <c r="A45" s="21"/>
      <c r="B45" s="21"/>
      <c r="C45" s="21"/>
      <c r="D45" s="21"/>
      <c r="E45" s="21"/>
      <c r="F45" s="21"/>
      <c r="G45" s="21"/>
      <c r="H45" s="21"/>
    </row>
    <row r="46" ht="15.75" customHeight="1">
      <c r="A46" s="21"/>
      <c r="B46" s="21"/>
      <c r="C46" s="21"/>
      <c r="D46" s="21"/>
      <c r="E46" s="21"/>
      <c r="F46" s="21"/>
      <c r="G46" s="21"/>
      <c r="H46" s="21"/>
    </row>
    <row r="47" ht="15.75" customHeight="1">
      <c r="A47" s="21"/>
      <c r="B47" s="21"/>
      <c r="C47" s="21"/>
      <c r="D47" s="21"/>
      <c r="E47" s="21"/>
      <c r="F47" s="21"/>
      <c r="G47" s="21"/>
      <c r="H47" s="21"/>
    </row>
    <row r="48" ht="15.75" customHeight="1">
      <c r="A48" s="21"/>
      <c r="B48" s="21"/>
      <c r="C48" s="21"/>
      <c r="D48" s="21"/>
      <c r="E48" s="21"/>
      <c r="F48" s="21"/>
      <c r="G48" s="21"/>
      <c r="H48" s="21"/>
    </row>
    <row r="49" ht="15.75" customHeight="1">
      <c r="A49" s="21"/>
      <c r="B49" s="21"/>
      <c r="C49" s="21"/>
      <c r="D49" s="21"/>
      <c r="E49" s="21"/>
      <c r="F49" s="21"/>
      <c r="G49" s="21"/>
      <c r="H49" s="21"/>
    </row>
    <row r="50" ht="15.75" customHeight="1">
      <c r="A50" s="21"/>
      <c r="B50" s="21"/>
      <c r="C50" s="21"/>
      <c r="D50" s="21"/>
      <c r="E50" s="21"/>
      <c r="F50" s="21"/>
      <c r="G50" s="21"/>
      <c r="H50" s="21"/>
    </row>
    <row r="51" ht="15.75" customHeight="1">
      <c r="A51" s="21"/>
      <c r="B51" s="21"/>
      <c r="C51" s="21"/>
      <c r="D51" s="21"/>
      <c r="E51" s="21"/>
      <c r="F51" s="21"/>
      <c r="G51" s="21"/>
      <c r="H51" s="21"/>
    </row>
    <row r="52" ht="15.75" customHeight="1">
      <c r="A52" s="21"/>
      <c r="B52" s="21"/>
      <c r="C52" s="21"/>
      <c r="D52" s="21"/>
      <c r="E52" s="21"/>
      <c r="F52" s="21"/>
      <c r="G52" s="21"/>
      <c r="H52" s="21"/>
    </row>
    <row r="53" ht="15.75" customHeight="1">
      <c r="A53" s="21"/>
      <c r="B53" s="21"/>
      <c r="C53" s="21"/>
      <c r="D53" s="21"/>
      <c r="E53" s="21"/>
      <c r="F53" s="21"/>
      <c r="G53" s="21"/>
      <c r="H53" s="21"/>
    </row>
    <row r="54" ht="15.75" customHeight="1">
      <c r="A54" s="21"/>
      <c r="B54" s="21"/>
      <c r="C54" s="21"/>
      <c r="D54" s="21"/>
      <c r="E54" s="21"/>
      <c r="F54" s="21"/>
      <c r="G54" s="21"/>
      <c r="H54" s="21"/>
    </row>
    <row r="55" ht="15.75" customHeight="1">
      <c r="A55" s="21"/>
      <c r="B55" s="21"/>
      <c r="C55" s="21"/>
      <c r="D55" s="21"/>
      <c r="E55" s="21"/>
      <c r="F55" s="21"/>
      <c r="G55" s="21"/>
      <c r="H55" s="21"/>
    </row>
    <row r="56" ht="15.75" customHeight="1">
      <c r="A56" s="21"/>
      <c r="B56" s="21"/>
      <c r="C56" s="21"/>
      <c r="D56" s="21"/>
      <c r="E56" s="21"/>
      <c r="F56" s="21"/>
      <c r="G56" s="21"/>
      <c r="H56" s="21"/>
    </row>
    <row r="57" ht="15.75" customHeight="1">
      <c r="A57" s="21"/>
      <c r="B57" s="21"/>
      <c r="C57" s="21"/>
      <c r="D57" s="21"/>
      <c r="E57" s="21"/>
      <c r="F57" s="21"/>
      <c r="G57" s="21"/>
      <c r="H57" s="21"/>
    </row>
    <row r="58" ht="15.75" customHeight="1">
      <c r="A58" s="21"/>
      <c r="B58" s="21"/>
      <c r="C58" s="21"/>
      <c r="D58" s="21"/>
      <c r="E58" s="21"/>
      <c r="F58" s="21"/>
      <c r="G58" s="21"/>
      <c r="H58" s="21"/>
    </row>
    <row r="59" ht="15.75" customHeight="1">
      <c r="A59" s="21"/>
      <c r="B59" s="21"/>
      <c r="C59" s="21"/>
      <c r="D59" s="21"/>
      <c r="E59" s="21"/>
      <c r="F59" s="21"/>
      <c r="G59" s="21"/>
      <c r="H59" s="21"/>
    </row>
    <row r="60" ht="15.75" customHeight="1">
      <c r="A60" s="21"/>
      <c r="B60" s="21"/>
      <c r="C60" s="21"/>
      <c r="D60" s="21"/>
      <c r="E60" s="21"/>
      <c r="F60" s="21"/>
      <c r="G60" s="21"/>
      <c r="H60" s="21"/>
    </row>
    <row r="61" ht="15.75" customHeight="1">
      <c r="A61" s="21"/>
      <c r="B61" s="21"/>
      <c r="C61" s="21"/>
      <c r="D61" s="21"/>
      <c r="E61" s="21"/>
      <c r="F61" s="21"/>
      <c r="G61" s="21"/>
      <c r="H61" s="21"/>
    </row>
    <row r="62" ht="15.75" customHeight="1">
      <c r="A62" s="21"/>
      <c r="B62" s="21"/>
      <c r="C62" s="21"/>
      <c r="D62" s="21"/>
      <c r="E62" s="21"/>
      <c r="F62" s="21"/>
      <c r="G62" s="21"/>
      <c r="H62" s="21"/>
    </row>
    <row r="63" ht="15.75" customHeight="1">
      <c r="A63" s="21"/>
      <c r="B63" s="21"/>
      <c r="C63" s="21"/>
      <c r="D63" s="21"/>
      <c r="E63" s="21"/>
      <c r="F63" s="21"/>
      <c r="G63" s="21"/>
      <c r="H63" s="21"/>
    </row>
    <row r="64" ht="15.75" customHeight="1">
      <c r="A64" s="21"/>
      <c r="B64" s="21"/>
      <c r="C64" s="21"/>
      <c r="D64" s="21"/>
      <c r="E64" s="21"/>
      <c r="F64" s="21"/>
      <c r="G64" s="21"/>
      <c r="H64" s="21"/>
    </row>
    <row r="65" ht="15.75" customHeight="1">
      <c r="A65" s="21"/>
      <c r="B65" s="21"/>
      <c r="C65" s="21"/>
      <c r="D65" s="21"/>
      <c r="E65" s="21"/>
      <c r="F65" s="21"/>
      <c r="G65" s="21"/>
      <c r="H65" s="21"/>
    </row>
    <row r="66" ht="15.75" customHeight="1">
      <c r="A66" s="21"/>
      <c r="B66" s="21"/>
      <c r="C66" s="21"/>
      <c r="D66" s="21"/>
      <c r="E66" s="21"/>
      <c r="F66" s="21"/>
      <c r="G66" s="21"/>
      <c r="H66" s="21"/>
    </row>
    <row r="67" ht="15.75" customHeight="1">
      <c r="A67" s="21"/>
      <c r="B67" s="21"/>
      <c r="C67" s="21"/>
      <c r="D67" s="21"/>
      <c r="E67" s="21"/>
      <c r="F67" s="21"/>
      <c r="G67" s="21"/>
      <c r="H67" s="21"/>
    </row>
    <row r="68" ht="15.75" customHeight="1">
      <c r="A68" s="21"/>
      <c r="B68" s="21"/>
      <c r="C68" s="21"/>
      <c r="D68" s="21"/>
      <c r="E68" s="21"/>
      <c r="F68" s="21"/>
      <c r="G68" s="21"/>
      <c r="H68" s="21"/>
    </row>
    <row r="69" ht="15.75" customHeight="1">
      <c r="A69" s="21"/>
      <c r="B69" s="21"/>
      <c r="C69" s="21"/>
      <c r="D69" s="21"/>
      <c r="E69" s="21"/>
      <c r="F69" s="21"/>
      <c r="G69" s="21"/>
      <c r="H69" s="21"/>
    </row>
    <row r="70" ht="15.75" customHeight="1">
      <c r="A70" s="21"/>
      <c r="B70" s="21"/>
      <c r="C70" s="21"/>
      <c r="D70" s="21"/>
      <c r="E70" s="21"/>
      <c r="F70" s="21"/>
      <c r="G70" s="21"/>
      <c r="H70" s="21"/>
    </row>
    <row r="71" ht="15.75" customHeight="1">
      <c r="A71" s="21"/>
      <c r="B71" s="21"/>
      <c r="C71" s="21"/>
      <c r="D71" s="21"/>
      <c r="E71" s="21"/>
      <c r="F71" s="21"/>
      <c r="G71" s="21"/>
      <c r="H71" s="21"/>
    </row>
    <row r="72" ht="15.75" customHeight="1">
      <c r="A72" s="21"/>
      <c r="B72" s="21"/>
      <c r="C72" s="21"/>
      <c r="D72" s="21"/>
      <c r="E72" s="21"/>
      <c r="F72" s="21"/>
      <c r="G72" s="21"/>
      <c r="H72" s="21"/>
    </row>
    <row r="73" ht="15.75" customHeight="1">
      <c r="A73" s="21"/>
      <c r="B73" s="21"/>
      <c r="C73" s="21"/>
      <c r="D73" s="21"/>
      <c r="E73" s="21"/>
      <c r="F73" s="21"/>
      <c r="G73" s="21"/>
      <c r="H73" s="21"/>
    </row>
    <row r="74" ht="15.75" customHeight="1">
      <c r="A74" s="21"/>
      <c r="B74" s="21"/>
      <c r="C74" s="21"/>
      <c r="D74" s="21"/>
      <c r="E74" s="21"/>
      <c r="F74" s="21"/>
      <c r="G74" s="21"/>
      <c r="H74" s="21"/>
    </row>
    <row r="75" ht="15.75" customHeight="1">
      <c r="A75" s="21"/>
      <c r="B75" s="21"/>
      <c r="C75" s="21"/>
      <c r="D75" s="21"/>
      <c r="E75" s="21"/>
      <c r="F75" s="21"/>
      <c r="G75" s="21"/>
      <c r="H75" s="21"/>
    </row>
    <row r="76" ht="15.75" customHeight="1">
      <c r="A76" s="21"/>
      <c r="B76" s="21"/>
      <c r="C76" s="21"/>
      <c r="D76" s="21"/>
      <c r="E76" s="21"/>
      <c r="F76" s="21"/>
      <c r="G76" s="21"/>
      <c r="H76" s="21"/>
    </row>
    <row r="77" ht="15.75" customHeight="1">
      <c r="A77" s="21"/>
      <c r="B77" s="21"/>
      <c r="C77" s="21"/>
      <c r="D77" s="21"/>
      <c r="E77" s="21"/>
      <c r="F77" s="21"/>
      <c r="G77" s="21"/>
      <c r="H77" s="21"/>
    </row>
    <row r="78" ht="15.75" customHeight="1">
      <c r="A78" s="21"/>
      <c r="B78" s="21"/>
      <c r="C78" s="21"/>
      <c r="D78" s="21"/>
      <c r="E78" s="21"/>
      <c r="F78" s="21"/>
      <c r="G78" s="21"/>
      <c r="H78" s="21"/>
    </row>
    <row r="79" ht="15.75" customHeight="1">
      <c r="A79" s="21"/>
      <c r="B79" s="21"/>
      <c r="C79" s="21"/>
      <c r="D79" s="21"/>
      <c r="E79" s="21"/>
      <c r="F79" s="21"/>
      <c r="G79" s="21"/>
      <c r="H79" s="21"/>
    </row>
    <row r="80" ht="15.75" customHeight="1">
      <c r="A80" s="21"/>
      <c r="B80" s="21"/>
      <c r="C80" s="21"/>
      <c r="D80" s="21"/>
      <c r="E80" s="21"/>
      <c r="F80" s="21"/>
      <c r="G80" s="21"/>
      <c r="H80" s="21"/>
    </row>
    <row r="81" ht="15.75" customHeight="1">
      <c r="A81" s="21"/>
      <c r="B81" s="21"/>
      <c r="C81" s="21"/>
      <c r="D81" s="21"/>
      <c r="E81" s="21"/>
      <c r="F81" s="21"/>
      <c r="G81" s="21"/>
      <c r="H81" s="21"/>
    </row>
    <row r="82" ht="15.75" customHeight="1">
      <c r="A82" s="21"/>
      <c r="B82" s="21"/>
      <c r="C82" s="21"/>
      <c r="D82" s="21"/>
      <c r="E82" s="21"/>
      <c r="F82" s="21"/>
      <c r="G82" s="21"/>
      <c r="H82" s="21"/>
    </row>
    <row r="83" ht="15.75" customHeight="1">
      <c r="A83" s="21"/>
      <c r="B83" s="21"/>
      <c r="C83" s="21"/>
      <c r="D83" s="21"/>
      <c r="E83" s="21"/>
      <c r="F83" s="21"/>
      <c r="G83" s="21"/>
      <c r="H83" s="21"/>
    </row>
    <row r="84" ht="15.75" customHeight="1">
      <c r="A84" s="21"/>
      <c r="B84" s="21"/>
      <c r="C84" s="21"/>
      <c r="D84" s="21"/>
      <c r="E84" s="21"/>
      <c r="F84" s="21"/>
      <c r="G84" s="21"/>
      <c r="H84" s="21"/>
    </row>
    <row r="85" ht="15.75" customHeight="1">
      <c r="A85" s="21"/>
      <c r="B85" s="21"/>
      <c r="C85" s="21"/>
      <c r="D85" s="21"/>
      <c r="E85" s="21"/>
      <c r="F85" s="21"/>
      <c r="G85" s="21"/>
      <c r="H85" s="21"/>
    </row>
    <row r="86" ht="15.75" customHeight="1">
      <c r="A86" s="21"/>
      <c r="B86" s="21"/>
      <c r="C86" s="21"/>
      <c r="D86" s="21"/>
      <c r="E86" s="21"/>
      <c r="F86" s="21"/>
      <c r="G86" s="21"/>
      <c r="H86" s="21"/>
    </row>
    <row r="87" ht="15.75" customHeight="1">
      <c r="A87" s="21"/>
      <c r="B87" s="21"/>
      <c r="C87" s="21"/>
      <c r="D87" s="21"/>
      <c r="E87" s="21"/>
      <c r="F87" s="21"/>
      <c r="G87" s="21"/>
      <c r="H87" s="21"/>
    </row>
    <row r="88" ht="15.75" customHeight="1">
      <c r="A88" s="21"/>
      <c r="B88" s="21"/>
      <c r="C88" s="21"/>
      <c r="D88" s="21"/>
      <c r="E88" s="21"/>
      <c r="F88" s="21"/>
      <c r="G88" s="21"/>
      <c r="H88" s="21"/>
    </row>
    <row r="89" ht="15.75" customHeight="1">
      <c r="A89" s="21"/>
      <c r="B89" s="21"/>
      <c r="C89" s="21"/>
      <c r="D89" s="21"/>
      <c r="E89" s="21"/>
      <c r="F89" s="21"/>
      <c r="G89" s="21"/>
      <c r="H89" s="21"/>
    </row>
    <row r="90" ht="15.75" customHeight="1">
      <c r="A90" s="21"/>
      <c r="B90" s="21"/>
      <c r="C90" s="21"/>
      <c r="D90" s="21"/>
      <c r="E90" s="21"/>
      <c r="F90" s="21"/>
      <c r="G90" s="21"/>
      <c r="H90" s="21"/>
    </row>
    <row r="91" ht="15.75" customHeight="1">
      <c r="A91" s="21"/>
      <c r="B91" s="21"/>
      <c r="C91" s="21"/>
      <c r="D91" s="21"/>
      <c r="E91" s="21"/>
      <c r="F91" s="21"/>
      <c r="G91" s="21"/>
      <c r="H91" s="21"/>
    </row>
    <row r="92" ht="15.75" customHeight="1">
      <c r="A92" s="21"/>
      <c r="B92" s="21"/>
      <c r="C92" s="21"/>
      <c r="D92" s="21"/>
      <c r="E92" s="21"/>
      <c r="F92" s="21"/>
      <c r="G92" s="21"/>
      <c r="H92" s="21"/>
    </row>
    <row r="93" ht="15.75" customHeight="1">
      <c r="A93" s="21"/>
      <c r="B93" s="21"/>
      <c r="C93" s="21"/>
      <c r="D93" s="21"/>
      <c r="E93" s="21"/>
      <c r="F93" s="21"/>
      <c r="G93" s="21"/>
      <c r="H93" s="21"/>
    </row>
    <row r="94" ht="15.75" customHeight="1">
      <c r="A94" s="21"/>
      <c r="B94" s="21"/>
      <c r="C94" s="21"/>
      <c r="D94" s="21"/>
      <c r="E94" s="21"/>
      <c r="F94" s="21"/>
      <c r="G94" s="21"/>
      <c r="H94" s="21"/>
    </row>
    <row r="95" ht="15.75" customHeight="1">
      <c r="A95" s="21"/>
      <c r="B95" s="21"/>
      <c r="C95" s="21"/>
      <c r="D95" s="21"/>
      <c r="E95" s="21"/>
      <c r="F95" s="21"/>
      <c r="G95" s="21"/>
      <c r="H95" s="21"/>
    </row>
    <row r="96" ht="15.75" customHeight="1">
      <c r="A96" s="21"/>
      <c r="B96" s="21"/>
      <c r="C96" s="21"/>
      <c r="D96" s="21"/>
      <c r="E96" s="21"/>
      <c r="F96" s="21"/>
      <c r="G96" s="21"/>
      <c r="H96" s="21"/>
    </row>
    <row r="97" ht="15.75" customHeight="1">
      <c r="A97" s="21"/>
      <c r="B97" s="21"/>
      <c r="C97" s="21"/>
      <c r="D97" s="21"/>
      <c r="E97" s="21"/>
      <c r="F97" s="21"/>
      <c r="G97" s="21"/>
      <c r="H97" s="21"/>
    </row>
    <row r="98" ht="15.75" customHeight="1">
      <c r="A98" s="21"/>
      <c r="B98" s="21"/>
      <c r="C98" s="21"/>
      <c r="D98" s="21"/>
      <c r="E98" s="21"/>
      <c r="F98" s="21"/>
      <c r="G98" s="21"/>
      <c r="H98" s="21"/>
    </row>
    <row r="99" ht="15.75" customHeight="1">
      <c r="A99" s="21"/>
      <c r="B99" s="21"/>
      <c r="C99" s="21"/>
      <c r="D99" s="21"/>
      <c r="E99" s="21"/>
      <c r="F99" s="21"/>
      <c r="G99" s="21"/>
      <c r="H99" s="21"/>
    </row>
    <row r="100" ht="15.75" customHeight="1">
      <c r="A100" s="21"/>
      <c r="B100" s="21"/>
      <c r="C100" s="21"/>
      <c r="D100" s="21"/>
      <c r="E100" s="21"/>
      <c r="F100" s="21"/>
      <c r="G100" s="21"/>
      <c r="H100" s="21"/>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10:B20">
      <formula1>"Active,Inactive"</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24" t="s">
        <v>408</v>
      </c>
      <c r="B1" s="24" t="s">
        <v>364</v>
      </c>
      <c r="C1" s="31" t="s">
        <v>70</v>
      </c>
      <c r="D1" s="24" t="s">
        <v>69</v>
      </c>
      <c r="E1" s="24" t="s">
        <v>50</v>
      </c>
      <c r="F1" s="24" t="s">
        <v>36</v>
      </c>
      <c r="G1" s="24" t="s">
        <v>409</v>
      </c>
      <c r="H1" s="82" t="s">
        <v>410</v>
      </c>
    </row>
    <row r="2">
      <c r="A2" s="19" t="s">
        <v>801</v>
      </c>
      <c r="B2" s="19" t="s">
        <v>802</v>
      </c>
      <c r="C2" s="29">
        <v>46157.33333333333</v>
      </c>
      <c r="D2" s="19" t="s">
        <v>803</v>
      </c>
      <c r="E2" s="19" t="s">
        <v>59</v>
      </c>
      <c r="F2" s="19" t="s">
        <v>42</v>
      </c>
      <c r="G2" s="19" t="s">
        <v>804</v>
      </c>
      <c r="H2" s="51">
        <v>46244.02305668981</v>
      </c>
    </row>
    <row r="3">
      <c r="A3" s="19" t="s">
        <v>805</v>
      </c>
      <c r="B3" s="19" t="s">
        <v>806</v>
      </c>
      <c r="C3" s="29">
        <v>46198.33333333333</v>
      </c>
      <c r="D3" s="19" t="s">
        <v>807</v>
      </c>
      <c r="E3" s="19" t="s">
        <v>59</v>
      </c>
      <c r="F3" s="19" t="s">
        <v>42</v>
      </c>
      <c r="G3" s="19" t="s">
        <v>808</v>
      </c>
      <c r="H3" s="51">
        <v>46244.02305668981</v>
      </c>
    </row>
    <row r="4">
      <c r="C4" s="20"/>
      <c r="H4" s="23"/>
    </row>
    <row r="5">
      <c r="C5" s="20"/>
      <c r="H5" s="23"/>
    </row>
    <row r="6">
      <c r="C6" s="20"/>
      <c r="H6" s="23"/>
    </row>
    <row r="7">
      <c r="C7" s="20"/>
      <c r="H7" s="23"/>
    </row>
    <row r="8">
      <c r="C8" s="20"/>
      <c r="H8" s="23"/>
    </row>
    <row r="9">
      <c r="C9" s="20"/>
      <c r="H9" s="23"/>
    </row>
    <row r="10">
      <c r="C10" s="20"/>
      <c r="H10" s="23"/>
    </row>
    <row r="11">
      <c r="C11" s="20"/>
      <c r="H11" s="23"/>
    </row>
    <row r="12">
      <c r="C12" s="20"/>
      <c r="H12" s="23"/>
    </row>
    <row r="13">
      <c r="C13" s="20"/>
      <c r="H13" s="23"/>
    </row>
    <row r="14">
      <c r="C14" s="20"/>
      <c r="H14" s="23"/>
    </row>
    <row r="15">
      <c r="C15" s="20"/>
      <c r="H15" s="23"/>
    </row>
    <row r="16">
      <c r="C16" s="20"/>
      <c r="H16" s="23"/>
    </row>
    <row r="17">
      <c r="C17" s="20"/>
      <c r="H17" s="23"/>
    </row>
    <row r="18">
      <c r="C18" s="20"/>
      <c r="H18" s="23"/>
    </row>
    <row r="19">
      <c r="C19" s="20"/>
      <c r="H19" s="23"/>
    </row>
    <row r="20">
      <c r="C20" s="20"/>
      <c r="H20" s="23"/>
    </row>
    <row r="21">
      <c r="C21" s="20"/>
      <c r="H21" s="23"/>
    </row>
    <row r="22">
      <c r="C22" s="20"/>
      <c r="H22" s="23"/>
    </row>
    <row r="23">
      <c r="C23" s="20"/>
      <c r="H23" s="23"/>
    </row>
    <row r="24">
      <c r="C24" s="20"/>
      <c r="H24" s="23"/>
    </row>
    <row r="25">
      <c r="C25" s="20"/>
      <c r="H25" s="23"/>
    </row>
    <row r="26">
      <c r="C26" s="20"/>
      <c r="H26" s="23"/>
    </row>
    <row r="27">
      <c r="C27" s="20"/>
      <c r="H27" s="23"/>
    </row>
    <row r="28">
      <c r="C28" s="20"/>
      <c r="H28" s="23"/>
    </row>
    <row r="29">
      <c r="C29" s="20"/>
      <c r="H29" s="23"/>
    </row>
    <row r="30">
      <c r="C30" s="20"/>
      <c r="H30" s="23"/>
    </row>
    <row r="31">
      <c r="C31" s="20"/>
      <c r="H31" s="23"/>
    </row>
    <row r="32">
      <c r="C32" s="20"/>
      <c r="H32" s="23"/>
    </row>
    <row r="33">
      <c r="C33" s="20"/>
      <c r="H33" s="23"/>
    </row>
    <row r="34">
      <c r="C34" s="20"/>
      <c r="H34" s="23"/>
    </row>
    <row r="35">
      <c r="C35" s="20"/>
      <c r="H35" s="23"/>
    </row>
    <row r="36">
      <c r="C36" s="20"/>
      <c r="H36" s="23"/>
    </row>
    <row r="37">
      <c r="C37" s="20"/>
      <c r="H37" s="23"/>
    </row>
    <row r="38">
      <c r="C38" s="20"/>
      <c r="H38" s="23"/>
    </row>
    <row r="39">
      <c r="C39" s="20"/>
      <c r="H39" s="23"/>
    </row>
    <row r="40">
      <c r="C40" s="20"/>
      <c r="H40" s="23"/>
    </row>
    <row r="41">
      <c r="C41" s="20"/>
      <c r="H41" s="23"/>
    </row>
    <row r="42">
      <c r="C42" s="20"/>
      <c r="H42" s="23"/>
    </row>
    <row r="43">
      <c r="C43" s="20"/>
      <c r="H43" s="23"/>
    </row>
    <row r="44">
      <c r="C44" s="20"/>
      <c r="H44" s="23"/>
    </row>
    <row r="45">
      <c r="C45" s="20"/>
      <c r="H45" s="23"/>
    </row>
    <row r="46">
      <c r="C46" s="20"/>
      <c r="H46" s="23"/>
    </row>
    <row r="47">
      <c r="C47" s="20"/>
      <c r="H47" s="23"/>
    </row>
    <row r="48">
      <c r="C48" s="20"/>
      <c r="H48" s="23"/>
    </row>
    <row r="49">
      <c r="C49" s="20"/>
      <c r="H49" s="23"/>
    </row>
    <row r="50">
      <c r="C50" s="20"/>
      <c r="H50" s="23"/>
    </row>
    <row r="51">
      <c r="C51" s="20"/>
      <c r="H51" s="23"/>
    </row>
    <row r="52">
      <c r="C52" s="20"/>
      <c r="H52" s="23"/>
    </row>
    <row r="53">
      <c r="C53" s="20"/>
      <c r="H53" s="23"/>
    </row>
    <row r="54">
      <c r="C54" s="20"/>
      <c r="H54" s="23"/>
    </row>
    <row r="55">
      <c r="C55" s="20"/>
      <c r="H55" s="23"/>
    </row>
    <row r="56">
      <c r="C56" s="20"/>
      <c r="H56" s="23"/>
    </row>
    <row r="57">
      <c r="C57" s="20"/>
      <c r="H57" s="23"/>
    </row>
    <row r="58">
      <c r="C58" s="20"/>
      <c r="H58" s="23"/>
    </row>
    <row r="59">
      <c r="C59" s="20"/>
      <c r="H59" s="23"/>
    </row>
    <row r="60">
      <c r="C60" s="20"/>
      <c r="H60" s="23"/>
    </row>
    <row r="61">
      <c r="C61" s="20"/>
      <c r="H61" s="23"/>
    </row>
    <row r="62">
      <c r="C62" s="20"/>
      <c r="H62" s="23"/>
    </row>
    <row r="63">
      <c r="C63" s="20"/>
      <c r="H63" s="23"/>
    </row>
    <row r="64">
      <c r="C64" s="20"/>
      <c r="H64" s="23"/>
    </row>
    <row r="65">
      <c r="C65" s="20"/>
      <c r="H65" s="23"/>
    </row>
    <row r="66">
      <c r="C66" s="20"/>
      <c r="H66" s="23"/>
    </row>
    <row r="67">
      <c r="C67" s="20"/>
      <c r="H67" s="23"/>
    </row>
    <row r="68">
      <c r="C68" s="20"/>
      <c r="H68" s="23"/>
    </row>
    <row r="69">
      <c r="C69" s="20"/>
      <c r="H69" s="23"/>
    </row>
    <row r="70">
      <c r="C70" s="20"/>
      <c r="H70" s="23"/>
    </row>
    <row r="71">
      <c r="C71" s="20"/>
      <c r="H71" s="23"/>
    </row>
    <row r="72">
      <c r="C72" s="20"/>
      <c r="H72" s="23"/>
    </row>
    <row r="73">
      <c r="C73" s="20"/>
      <c r="H73" s="23"/>
    </row>
    <row r="74">
      <c r="C74" s="20"/>
      <c r="H74" s="23"/>
    </row>
    <row r="75">
      <c r="C75" s="20"/>
      <c r="H75" s="23"/>
    </row>
    <row r="76">
      <c r="C76" s="20"/>
      <c r="H76" s="23"/>
    </row>
    <row r="77">
      <c r="C77" s="20"/>
      <c r="H77" s="23"/>
    </row>
    <row r="78">
      <c r="C78" s="20"/>
      <c r="H78" s="23"/>
    </row>
    <row r="79">
      <c r="C79" s="20"/>
      <c r="H79" s="23"/>
    </row>
    <row r="80">
      <c r="C80" s="20"/>
      <c r="H80" s="23"/>
    </row>
    <row r="81">
      <c r="C81" s="20"/>
      <c r="H81" s="23"/>
    </row>
    <row r="82">
      <c r="C82" s="20"/>
      <c r="H82" s="23"/>
    </row>
    <row r="83">
      <c r="C83" s="20"/>
      <c r="H83" s="23"/>
    </row>
    <row r="84">
      <c r="C84" s="20"/>
      <c r="H84" s="23"/>
    </row>
    <row r="85">
      <c r="C85" s="20"/>
      <c r="H85" s="23"/>
    </row>
    <row r="86">
      <c r="C86" s="20"/>
      <c r="H86" s="23"/>
    </row>
    <row r="87">
      <c r="C87" s="20"/>
      <c r="H87" s="23"/>
    </row>
    <row r="88">
      <c r="C88" s="20"/>
      <c r="H88" s="23"/>
    </row>
    <row r="89">
      <c r="C89" s="20"/>
      <c r="H89" s="23"/>
    </row>
    <row r="90">
      <c r="C90" s="20"/>
      <c r="H90" s="23"/>
    </row>
    <row r="91">
      <c r="C91" s="20"/>
      <c r="H91" s="23"/>
    </row>
    <row r="92">
      <c r="C92" s="20"/>
      <c r="H92" s="23"/>
    </row>
    <row r="93">
      <c r="C93" s="20"/>
      <c r="H93" s="23"/>
    </row>
    <row r="94">
      <c r="C94" s="20"/>
      <c r="H94" s="23"/>
    </row>
    <row r="95">
      <c r="C95" s="20"/>
      <c r="H95" s="23"/>
    </row>
    <row r="96">
      <c r="C96" s="20"/>
      <c r="H96" s="23"/>
    </row>
    <row r="97">
      <c r="C97" s="20"/>
      <c r="H97" s="23"/>
    </row>
    <row r="98">
      <c r="C98" s="20"/>
      <c r="H98" s="23"/>
    </row>
    <row r="99">
      <c r="C99" s="20"/>
      <c r="H99" s="23"/>
    </row>
    <row r="100">
      <c r="C100" s="20"/>
      <c r="H100" s="23"/>
    </row>
    <row r="101">
      <c r="C101" s="20"/>
      <c r="H101" s="23"/>
    </row>
    <row r="102">
      <c r="C102" s="20"/>
      <c r="H102" s="23"/>
    </row>
    <row r="103">
      <c r="C103" s="20"/>
      <c r="H103" s="23"/>
    </row>
    <row r="104">
      <c r="C104" s="20"/>
      <c r="H104" s="23"/>
    </row>
    <row r="105">
      <c r="C105" s="20"/>
      <c r="H105" s="23"/>
    </row>
    <row r="106">
      <c r="C106" s="20"/>
      <c r="H106" s="23"/>
    </row>
    <row r="107">
      <c r="C107" s="20"/>
      <c r="H107" s="23"/>
    </row>
    <row r="108">
      <c r="C108" s="20"/>
      <c r="H108" s="23"/>
    </row>
    <row r="109">
      <c r="C109" s="20"/>
      <c r="H109" s="23"/>
    </row>
    <row r="110">
      <c r="C110" s="20"/>
      <c r="H110" s="23"/>
    </row>
    <row r="111">
      <c r="C111" s="20"/>
      <c r="H111" s="23"/>
    </row>
    <row r="112">
      <c r="C112" s="20"/>
      <c r="H112" s="23"/>
    </row>
    <row r="113">
      <c r="C113" s="20"/>
      <c r="H113" s="23"/>
    </row>
    <row r="114">
      <c r="C114" s="20"/>
      <c r="H114" s="23"/>
    </row>
    <row r="115">
      <c r="C115" s="20"/>
      <c r="H115" s="23"/>
    </row>
    <row r="116">
      <c r="C116" s="20"/>
      <c r="H116" s="23"/>
    </row>
    <row r="117">
      <c r="C117" s="20"/>
      <c r="H117" s="23"/>
    </row>
    <row r="118">
      <c r="C118" s="20"/>
      <c r="H118" s="23"/>
    </row>
    <row r="119">
      <c r="C119" s="20"/>
      <c r="H119" s="23"/>
    </row>
    <row r="120">
      <c r="C120" s="20"/>
      <c r="H120" s="23"/>
    </row>
    <row r="121">
      <c r="C121" s="20"/>
      <c r="H121" s="23"/>
    </row>
    <row r="122">
      <c r="C122" s="20"/>
      <c r="H122" s="23"/>
    </row>
    <row r="123">
      <c r="C123" s="20"/>
      <c r="H123" s="23"/>
    </row>
    <row r="124">
      <c r="C124" s="20"/>
      <c r="H124" s="23"/>
    </row>
    <row r="125">
      <c r="C125" s="20"/>
      <c r="H125" s="23"/>
    </row>
    <row r="126">
      <c r="C126" s="20"/>
      <c r="H126" s="23"/>
    </row>
    <row r="127">
      <c r="C127" s="20"/>
      <c r="H127" s="23"/>
    </row>
    <row r="128">
      <c r="C128" s="20"/>
      <c r="H128" s="23"/>
    </row>
    <row r="129">
      <c r="C129" s="20"/>
      <c r="H129" s="23"/>
    </row>
    <row r="130">
      <c r="C130" s="20"/>
      <c r="H130" s="23"/>
    </row>
    <row r="131">
      <c r="C131" s="20"/>
      <c r="H131" s="23"/>
    </row>
    <row r="132">
      <c r="C132" s="20"/>
      <c r="H132" s="23"/>
    </row>
    <row r="133">
      <c r="C133" s="20"/>
      <c r="H133" s="23"/>
    </row>
    <row r="134">
      <c r="C134" s="20"/>
      <c r="H134" s="23"/>
    </row>
    <row r="135">
      <c r="C135" s="20"/>
      <c r="H135" s="23"/>
    </row>
    <row r="136">
      <c r="C136" s="20"/>
      <c r="H136" s="23"/>
    </row>
    <row r="137">
      <c r="C137" s="20"/>
      <c r="H137" s="23"/>
    </row>
    <row r="138">
      <c r="C138" s="20"/>
      <c r="H138" s="23"/>
    </row>
    <row r="139">
      <c r="C139" s="20"/>
      <c r="H139" s="23"/>
    </row>
    <row r="140">
      <c r="C140" s="20"/>
      <c r="H140" s="23"/>
    </row>
    <row r="141">
      <c r="C141" s="20"/>
      <c r="H141" s="23"/>
    </row>
    <row r="142">
      <c r="C142" s="20"/>
      <c r="H142" s="23"/>
    </row>
    <row r="143">
      <c r="C143" s="20"/>
      <c r="H143" s="23"/>
    </row>
    <row r="144">
      <c r="C144" s="20"/>
      <c r="H144" s="23"/>
    </row>
    <row r="145">
      <c r="C145" s="20"/>
      <c r="H145" s="23"/>
    </row>
    <row r="146">
      <c r="C146" s="20"/>
      <c r="H146" s="23"/>
    </row>
    <row r="147">
      <c r="C147" s="20"/>
      <c r="H147" s="23"/>
    </row>
    <row r="148">
      <c r="C148" s="20"/>
      <c r="H148" s="23"/>
    </row>
    <row r="149">
      <c r="C149" s="20"/>
      <c r="H149" s="23"/>
    </row>
    <row r="150">
      <c r="C150" s="20"/>
      <c r="H150" s="23"/>
    </row>
    <row r="151">
      <c r="C151" s="20"/>
      <c r="H151" s="23"/>
    </row>
    <row r="152">
      <c r="C152" s="20"/>
      <c r="H152" s="23"/>
    </row>
    <row r="153">
      <c r="C153" s="20"/>
      <c r="H153" s="23"/>
    </row>
    <row r="154">
      <c r="C154" s="20"/>
      <c r="H154" s="23"/>
    </row>
    <row r="155">
      <c r="C155" s="20"/>
      <c r="H155" s="23"/>
    </row>
    <row r="156">
      <c r="C156" s="20"/>
      <c r="H156" s="23"/>
    </row>
    <row r="157">
      <c r="C157" s="20"/>
      <c r="H157" s="23"/>
    </row>
    <row r="158">
      <c r="C158" s="20"/>
      <c r="H158" s="23"/>
    </row>
    <row r="159">
      <c r="C159" s="20"/>
      <c r="H159" s="23"/>
    </row>
    <row r="160">
      <c r="C160" s="20"/>
      <c r="H160" s="23"/>
    </row>
    <row r="161">
      <c r="C161" s="20"/>
      <c r="H161" s="23"/>
    </row>
    <row r="162">
      <c r="C162" s="20"/>
      <c r="H162" s="23"/>
    </row>
    <row r="163">
      <c r="C163" s="20"/>
      <c r="H163" s="23"/>
    </row>
    <row r="164">
      <c r="C164" s="20"/>
      <c r="H164" s="23"/>
    </row>
    <row r="165">
      <c r="C165" s="20"/>
      <c r="H165" s="23"/>
    </row>
    <row r="166">
      <c r="C166" s="20"/>
      <c r="H166" s="23"/>
    </row>
    <row r="167">
      <c r="C167" s="20"/>
      <c r="H167" s="23"/>
    </row>
    <row r="168">
      <c r="C168" s="20"/>
      <c r="H168" s="23"/>
    </row>
    <row r="169">
      <c r="C169" s="20"/>
      <c r="H169" s="23"/>
    </row>
    <row r="170">
      <c r="C170" s="20"/>
      <c r="H170" s="23"/>
    </row>
    <row r="171">
      <c r="C171" s="20"/>
      <c r="H171" s="23"/>
    </row>
    <row r="172">
      <c r="C172" s="20"/>
      <c r="H172" s="23"/>
    </row>
    <row r="173">
      <c r="C173" s="20"/>
      <c r="H173" s="23"/>
    </row>
    <row r="174">
      <c r="C174" s="20"/>
      <c r="H174" s="23"/>
    </row>
    <row r="175">
      <c r="C175" s="20"/>
      <c r="H175" s="23"/>
    </row>
    <row r="176">
      <c r="C176" s="20"/>
      <c r="H176" s="23"/>
    </row>
    <row r="177">
      <c r="C177" s="20"/>
      <c r="H177" s="23"/>
    </row>
    <row r="178">
      <c r="C178" s="20"/>
      <c r="H178" s="23"/>
    </row>
    <row r="179">
      <c r="C179" s="20"/>
      <c r="H179" s="23"/>
    </row>
    <row r="180">
      <c r="C180" s="20"/>
      <c r="H180" s="23"/>
    </row>
    <row r="181">
      <c r="C181" s="20"/>
      <c r="H181" s="23"/>
    </row>
    <row r="182">
      <c r="C182" s="20"/>
      <c r="H182" s="23"/>
    </row>
    <row r="183">
      <c r="C183" s="20"/>
      <c r="H183" s="23"/>
    </row>
    <row r="184">
      <c r="C184" s="20"/>
      <c r="H184" s="23"/>
    </row>
    <row r="185">
      <c r="C185" s="20"/>
      <c r="H185" s="23"/>
    </row>
    <row r="186">
      <c r="C186" s="20"/>
      <c r="H186" s="23"/>
    </row>
    <row r="187">
      <c r="C187" s="20"/>
      <c r="H187" s="23"/>
    </row>
    <row r="188">
      <c r="C188" s="20"/>
      <c r="H188" s="23"/>
    </row>
    <row r="189">
      <c r="C189" s="20"/>
      <c r="H189" s="23"/>
    </row>
    <row r="190">
      <c r="C190" s="20"/>
      <c r="H190" s="23"/>
    </row>
    <row r="191">
      <c r="C191" s="20"/>
      <c r="H191" s="23"/>
    </row>
    <row r="192">
      <c r="C192" s="20"/>
      <c r="H192" s="23"/>
    </row>
    <row r="193">
      <c r="C193" s="20"/>
      <c r="H193" s="23"/>
    </row>
    <row r="194">
      <c r="C194" s="20"/>
      <c r="H194" s="23"/>
    </row>
    <row r="195">
      <c r="C195" s="20"/>
      <c r="H195" s="23"/>
    </row>
    <row r="196">
      <c r="C196" s="20"/>
      <c r="H196" s="23"/>
    </row>
    <row r="197">
      <c r="C197" s="20"/>
      <c r="H197" s="23"/>
    </row>
    <row r="198">
      <c r="C198" s="20"/>
      <c r="H198" s="23"/>
    </row>
    <row r="199">
      <c r="C199" s="20"/>
      <c r="H199" s="23"/>
    </row>
    <row r="200">
      <c r="C200" s="20"/>
      <c r="H200" s="23"/>
    </row>
    <row r="201">
      <c r="C201" s="20"/>
      <c r="H201" s="23"/>
    </row>
    <row r="202">
      <c r="C202" s="20"/>
      <c r="H202" s="23"/>
    </row>
    <row r="203">
      <c r="C203" s="20"/>
      <c r="H203" s="23"/>
    </row>
    <row r="204">
      <c r="C204" s="20"/>
      <c r="H204" s="23"/>
    </row>
    <row r="205">
      <c r="C205" s="20"/>
      <c r="H205" s="23"/>
    </row>
    <row r="206">
      <c r="C206" s="20"/>
      <c r="H206" s="23"/>
    </row>
    <row r="207">
      <c r="C207" s="20"/>
      <c r="H207" s="23"/>
    </row>
    <row r="208">
      <c r="C208" s="20"/>
      <c r="H208" s="23"/>
    </row>
    <row r="209">
      <c r="C209" s="20"/>
      <c r="H209" s="23"/>
    </row>
    <row r="210">
      <c r="C210" s="20"/>
      <c r="H210" s="23"/>
    </row>
    <row r="211">
      <c r="C211" s="20"/>
      <c r="H211" s="23"/>
    </row>
    <row r="212">
      <c r="C212" s="20"/>
      <c r="H212" s="23"/>
    </row>
    <row r="213">
      <c r="C213" s="20"/>
      <c r="H213" s="23"/>
    </row>
    <row r="214">
      <c r="C214" s="20"/>
      <c r="H214" s="23"/>
    </row>
    <row r="215">
      <c r="C215" s="20"/>
      <c r="H215" s="23"/>
    </row>
    <row r="216">
      <c r="C216" s="20"/>
      <c r="H216" s="23"/>
    </row>
    <row r="217">
      <c r="C217" s="20"/>
      <c r="H217" s="23"/>
    </row>
    <row r="218">
      <c r="C218" s="20"/>
      <c r="H218" s="23"/>
    </row>
    <row r="219">
      <c r="C219" s="20"/>
      <c r="H219" s="23"/>
    </row>
    <row r="220">
      <c r="C220" s="20"/>
      <c r="H220" s="23"/>
    </row>
    <row r="221">
      <c r="C221" s="20"/>
      <c r="H221" s="23"/>
    </row>
    <row r="222">
      <c r="C222" s="20"/>
      <c r="H222" s="23"/>
    </row>
    <row r="223">
      <c r="C223" s="20"/>
      <c r="H223" s="23"/>
    </row>
    <row r="224">
      <c r="C224" s="20"/>
      <c r="H224" s="23"/>
    </row>
    <row r="225">
      <c r="C225" s="20"/>
      <c r="H225" s="23"/>
    </row>
    <row r="226">
      <c r="C226" s="20"/>
      <c r="H226" s="23"/>
    </row>
    <row r="227">
      <c r="C227" s="20"/>
      <c r="H227" s="23"/>
    </row>
    <row r="228">
      <c r="C228" s="20"/>
      <c r="H228" s="23"/>
    </row>
    <row r="229">
      <c r="C229" s="20"/>
      <c r="H229" s="23"/>
    </row>
    <row r="230">
      <c r="C230" s="20"/>
      <c r="H230" s="23"/>
    </row>
    <row r="231">
      <c r="C231" s="20"/>
      <c r="H231" s="23"/>
    </row>
    <row r="232">
      <c r="C232" s="20"/>
      <c r="H232" s="23"/>
    </row>
    <row r="233">
      <c r="C233" s="20"/>
      <c r="H233" s="23"/>
    </row>
    <row r="234">
      <c r="C234" s="20"/>
      <c r="H234" s="23"/>
    </row>
    <row r="235">
      <c r="C235" s="20"/>
      <c r="H235" s="23"/>
    </row>
    <row r="236">
      <c r="C236" s="20"/>
      <c r="H236" s="23"/>
    </row>
    <row r="237">
      <c r="C237" s="20"/>
      <c r="H237" s="23"/>
    </row>
    <row r="238">
      <c r="C238" s="20"/>
      <c r="H238" s="23"/>
    </row>
    <row r="239">
      <c r="C239" s="20"/>
      <c r="H239" s="23"/>
    </row>
    <row r="240">
      <c r="C240" s="20"/>
      <c r="H240" s="23"/>
    </row>
    <row r="241">
      <c r="C241" s="20"/>
      <c r="H241" s="23"/>
    </row>
    <row r="242">
      <c r="C242" s="20"/>
      <c r="H242" s="23"/>
    </row>
    <row r="243">
      <c r="C243" s="20"/>
      <c r="H243" s="23"/>
    </row>
    <row r="244">
      <c r="C244" s="20"/>
      <c r="H244" s="23"/>
    </row>
    <row r="245">
      <c r="C245" s="20"/>
      <c r="H245" s="23"/>
    </row>
    <row r="246">
      <c r="C246" s="20"/>
      <c r="H246" s="23"/>
    </row>
    <row r="247">
      <c r="C247" s="20"/>
      <c r="H247" s="23"/>
    </row>
    <row r="248">
      <c r="C248" s="20"/>
      <c r="H248" s="23"/>
    </row>
    <row r="249">
      <c r="C249" s="20"/>
      <c r="H249" s="23"/>
    </row>
    <row r="250">
      <c r="C250" s="20"/>
      <c r="H250" s="23"/>
    </row>
    <row r="251">
      <c r="C251" s="20"/>
      <c r="H251" s="23"/>
    </row>
    <row r="252">
      <c r="C252" s="20"/>
      <c r="H252" s="23"/>
    </row>
    <row r="253">
      <c r="C253" s="20"/>
      <c r="H253" s="23"/>
    </row>
    <row r="254">
      <c r="C254" s="20"/>
      <c r="H254" s="23"/>
    </row>
    <row r="255">
      <c r="C255" s="20"/>
      <c r="H255" s="23"/>
    </row>
    <row r="256">
      <c r="C256" s="20"/>
      <c r="H256" s="23"/>
    </row>
    <row r="257">
      <c r="C257" s="20"/>
      <c r="H257" s="23"/>
    </row>
    <row r="258">
      <c r="C258" s="20"/>
      <c r="H258" s="23"/>
    </row>
    <row r="259">
      <c r="C259" s="20"/>
      <c r="H259" s="23"/>
    </row>
    <row r="260">
      <c r="C260" s="20"/>
      <c r="H260" s="23"/>
    </row>
    <row r="261">
      <c r="C261" s="20"/>
      <c r="H261" s="23"/>
    </row>
    <row r="262">
      <c r="C262" s="20"/>
      <c r="H262" s="23"/>
    </row>
    <row r="263">
      <c r="C263" s="20"/>
      <c r="H263" s="23"/>
    </row>
    <row r="264">
      <c r="C264" s="20"/>
      <c r="H264" s="23"/>
    </row>
    <row r="265">
      <c r="C265" s="20"/>
      <c r="H265" s="23"/>
    </row>
    <row r="266">
      <c r="C266" s="20"/>
      <c r="H266" s="23"/>
    </row>
    <row r="267">
      <c r="C267" s="20"/>
      <c r="H267" s="23"/>
    </row>
    <row r="268">
      <c r="C268" s="20"/>
      <c r="H268" s="23"/>
    </row>
    <row r="269">
      <c r="C269" s="20"/>
      <c r="H269" s="23"/>
    </row>
    <row r="270">
      <c r="C270" s="20"/>
      <c r="H270" s="23"/>
    </row>
    <row r="271">
      <c r="C271" s="20"/>
      <c r="H271" s="23"/>
    </row>
    <row r="272">
      <c r="C272" s="20"/>
      <c r="H272" s="23"/>
    </row>
    <row r="273">
      <c r="C273" s="20"/>
      <c r="H273" s="23"/>
    </row>
    <row r="274">
      <c r="C274" s="20"/>
      <c r="H274" s="23"/>
    </row>
    <row r="275">
      <c r="C275" s="20"/>
      <c r="H275" s="23"/>
    </row>
    <row r="276">
      <c r="C276" s="20"/>
      <c r="H276" s="23"/>
    </row>
    <row r="277">
      <c r="C277" s="20"/>
      <c r="H277" s="23"/>
    </row>
    <row r="278">
      <c r="C278" s="20"/>
      <c r="H278" s="23"/>
    </row>
    <row r="279">
      <c r="C279" s="20"/>
      <c r="H279" s="23"/>
    </row>
    <row r="280">
      <c r="C280" s="20"/>
      <c r="H280" s="23"/>
    </row>
    <row r="281">
      <c r="C281" s="20"/>
      <c r="H281" s="23"/>
    </row>
    <row r="282">
      <c r="C282" s="20"/>
      <c r="H282" s="23"/>
    </row>
    <row r="283">
      <c r="C283" s="20"/>
      <c r="H283" s="23"/>
    </row>
    <row r="284">
      <c r="C284" s="20"/>
      <c r="H284" s="23"/>
    </row>
    <row r="285">
      <c r="C285" s="20"/>
      <c r="H285" s="23"/>
    </row>
    <row r="286">
      <c r="C286" s="20"/>
      <c r="H286" s="23"/>
    </row>
    <row r="287">
      <c r="C287" s="20"/>
      <c r="H287" s="23"/>
    </row>
    <row r="288">
      <c r="C288" s="20"/>
      <c r="H288" s="23"/>
    </row>
    <row r="289">
      <c r="C289" s="20"/>
      <c r="H289" s="23"/>
    </row>
    <row r="290">
      <c r="C290" s="20"/>
      <c r="H290" s="23"/>
    </row>
    <row r="291">
      <c r="C291" s="20"/>
      <c r="H291" s="23"/>
    </row>
    <row r="292">
      <c r="C292" s="20"/>
      <c r="H292" s="23"/>
    </row>
    <row r="293">
      <c r="C293" s="20"/>
      <c r="H293" s="23"/>
    </row>
    <row r="294">
      <c r="C294" s="20"/>
      <c r="H294" s="23"/>
    </row>
    <row r="295">
      <c r="C295" s="20"/>
      <c r="H295" s="23"/>
    </row>
    <row r="296">
      <c r="C296" s="20"/>
      <c r="H296" s="23"/>
    </row>
    <row r="297">
      <c r="C297" s="20"/>
      <c r="H297" s="23"/>
    </row>
    <row r="298">
      <c r="C298" s="20"/>
      <c r="H298" s="23"/>
    </row>
    <row r="299">
      <c r="C299" s="20"/>
      <c r="H299" s="23"/>
    </row>
    <row r="300">
      <c r="C300" s="20"/>
      <c r="H300" s="23"/>
    </row>
    <row r="301">
      <c r="C301" s="20"/>
      <c r="H301" s="23"/>
    </row>
    <row r="302">
      <c r="C302" s="20"/>
      <c r="H302" s="23"/>
    </row>
    <row r="303">
      <c r="C303" s="20"/>
      <c r="H303" s="23"/>
    </row>
    <row r="304">
      <c r="C304" s="20"/>
      <c r="H304" s="23"/>
    </row>
    <row r="305">
      <c r="C305" s="20"/>
      <c r="H305" s="23"/>
    </row>
    <row r="306">
      <c r="C306" s="20"/>
      <c r="H306" s="23"/>
    </row>
    <row r="307">
      <c r="C307" s="20"/>
      <c r="H307" s="23"/>
    </row>
    <row r="308">
      <c r="C308" s="20"/>
      <c r="H308" s="23"/>
    </row>
    <row r="309">
      <c r="C309" s="20"/>
      <c r="H309" s="23"/>
    </row>
    <row r="310">
      <c r="C310" s="20"/>
      <c r="H310" s="23"/>
    </row>
    <row r="311">
      <c r="C311" s="20"/>
      <c r="H311" s="23"/>
    </row>
    <row r="312">
      <c r="C312" s="20"/>
      <c r="H312" s="23"/>
    </row>
    <row r="313">
      <c r="C313" s="20"/>
      <c r="H313" s="23"/>
    </row>
    <row r="314">
      <c r="C314" s="20"/>
      <c r="H314" s="23"/>
    </row>
    <row r="315">
      <c r="C315" s="20"/>
      <c r="H315" s="23"/>
    </row>
    <row r="316">
      <c r="C316" s="20"/>
      <c r="H316" s="23"/>
    </row>
    <row r="317">
      <c r="C317" s="20"/>
      <c r="H317" s="23"/>
    </row>
    <row r="318">
      <c r="C318" s="20"/>
      <c r="H318" s="23"/>
    </row>
    <row r="319">
      <c r="C319" s="20"/>
      <c r="H319" s="23"/>
    </row>
    <row r="320">
      <c r="C320" s="20"/>
      <c r="H320" s="23"/>
    </row>
    <row r="321">
      <c r="C321" s="20"/>
      <c r="H321" s="23"/>
    </row>
    <row r="322">
      <c r="C322" s="20"/>
      <c r="H322" s="23"/>
    </row>
    <row r="323">
      <c r="C323" s="20"/>
      <c r="H323" s="23"/>
    </row>
    <row r="324">
      <c r="C324" s="20"/>
      <c r="H324" s="23"/>
    </row>
    <row r="325">
      <c r="C325" s="20"/>
      <c r="H325" s="23"/>
    </row>
    <row r="326">
      <c r="C326" s="20"/>
      <c r="H326" s="23"/>
    </row>
    <row r="327">
      <c r="C327" s="20"/>
      <c r="H327" s="23"/>
    </row>
    <row r="328">
      <c r="C328" s="20"/>
      <c r="H328" s="23"/>
    </row>
    <row r="329">
      <c r="C329" s="20"/>
      <c r="H329" s="23"/>
    </row>
    <row r="330">
      <c r="C330" s="20"/>
      <c r="H330" s="23"/>
    </row>
    <row r="331">
      <c r="C331" s="20"/>
      <c r="H331" s="23"/>
    </row>
    <row r="332">
      <c r="C332" s="20"/>
      <c r="H332" s="23"/>
    </row>
    <row r="333">
      <c r="C333" s="20"/>
      <c r="H333" s="23"/>
    </row>
    <row r="334">
      <c r="C334" s="20"/>
      <c r="H334" s="23"/>
    </row>
    <row r="335">
      <c r="C335" s="20"/>
      <c r="H335" s="23"/>
    </row>
    <row r="336">
      <c r="C336" s="20"/>
      <c r="H336" s="23"/>
    </row>
    <row r="337">
      <c r="C337" s="20"/>
      <c r="H337" s="23"/>
    </row>
    <row r="338">
      <c r="C338" s="20"/>
      <c r="H338" s="23"/>
    </row>
    <row r="339">
      <c r="C339" s="20"/>
      <c r="H339" s="23"/>
    </row>
    <row r="340">
      <c r="C340" s="20"/>
      <c r="H340" s="23"/>
    </row>
    <row r="341">
      <c r="C341" s="20"/>
      <c r="H341" s="23"/>
    </row>
    <row r="342">
      <c r="C342" s="20"/>
      <c r="H342" s="23"/>
    </row>
    <row r="343">
      <c r="C343" s="20"/>
      <c r="H343" s="23"/>
    </row>
    <row r="344">
      <c r="C344" s="20"/>
      <c r="H344" s="23"/>
    </row>
    <row r="345">
      <c r="C345" s="20"/>
      <c r="H345" s="23"/>
    </row>
    <row r="346">
      <c r="C346" s="20"/>
      <c r="H346" s="23"/>
    </row>
    <row r="347">
      <c r="C347" s="20"/>
      <c r="H347" s="23"/>
    </row>
    <row r="348">
      <c r="C348" s="20"/>
      <c r="H348" s="23"/>
    </row>
    <row r="349">
      <c r="C349" s="20"/>
      <c r="H349" s="23"/>
    </row>
    <row r="350">
      <c r="C350" s="20"/>
      <c r="H350" s="23"/>
    </row>
    <row r="351">
      <c r="C351" s="20"/>
      <c r="H351" s="23"/>
    </row>
    <row r="352">
      <c r="C352" s="20"/>
      <c r="H352" s="23"/>
    </row>
    <row r="353">
      <c r="C353" s="20"/>
      <c r="H353" s="23"/>
    </row>
    <row r="354">
      <c r="C354" s="20"/>
      <c r="H354" s="23"/>
    </row>
    <row r="355">
      <c r="C355" s="20"/>
      <c r="H355" s="23"/>
    </row>
    <row r="356">
      <c r="C356" s="20"/>
      <c r="H356" s="23"/>
    </row>
    <row r="357">
      <c r="C357" s="20"/>
      <c r="H357" s="23"/>
    </row>
    <row r="358">
      <c r="C358" s="20"/>
      <c r="H358" s="23"/>
    </row>
    <row r="359">
      <c r="C359" s="20"/>
      <c r="H359" s="23"/>
    </row>
    <row r="360">
      <c r="C360" s="20"/>
      <c r="H360" s="23"/>
    </row>
    <row r="361">
      <c r="C361" s="20"/>
      <c r="H361" s="23"/>
    </row>
    <row r="362">
      <c r="C362" s="20"/>
      <c r="H362" s="23"/>
    </row>
    <row r="363">
      <c r="C363" s="20"/>
      <c r="H363" s="23"/>
    </row>
    <row r="364">
      <c r="C364" s="20"/>
      <c r="H364" s="23"/>
    </row>
    <row r="365">
      <c r="C365" s="20"/>
      <c r="H365" s="23"/>
    </row>
    <row r="366">
      <c r="C366" s="20"/>
      <c r="H366" s="23"/>
    </row>
    <row r="367">
      <c r="C367" s="20"/>
      <c r="H367" s="23"/>
    </row>
    <row r="368">
      <c r="C368" s="20"/>
      <c r="H368" s="23"/>
    </row>
    <row r="369">
      <c r="C369" s="20"/>
      <c r="H369" s="23"/>
    </row>
    <row r="370">
      <c r="C370" s="20"/>
      <c r="H370" s="23"/>
    </row>
    <row r="371">
      <c r="C371" s="20"/>
      <c r="H371" s="23"/>
    </row>
    <row r="372">
      <c r="C372" s="20"/>
      <c r="H372" s="23"/>
    </row>
    <row r="373">
      <c r="C373" s="20"/>
      <c r="H373" s="23"/>
    </row>
    <row r="374">
      <c r="C374" s="20"/>
      <c r="H374" s="23"/>
    </row>
    <row r="375">
      <c r="C375" s="20"/>
      <c r="H375" s="23"/>
    </row>
    <row r="376">
      <c r="C376" s="20"/>
      <c r="H376" s="23"/>
    </row>
    <row r="377">
      <c r="C377" s="20"/>
      <c r="H377" s="23"/>
    </row>
    <row r="378">
      <c r="C378" s="20"/>
      <c r="H378" s="23"/>
    </row>
    <row r="379">
      <c r="C379" s="20"/>
      <c r="H379" s="23"/>
    </row>
    <row r="380">
      <c r="C380" s="20"/>
      <c r="H380" s="23"/>
    </row>
    <row r="381">
      <c r="C381" s="20"/>
      <c r="H381" s="23"/>
    </row>
    <row r="382">
      <c r="C382" s="20"/>
      <c r="H382" s="23"/>
    </row>
    <row r="383">
      <c r="C383" s="20"/>
      <c r="H383" s="23"/>
    </row>
    <row r="384">
      <c r="C384" s="20"/>
      <c r="H384" s="23"/>
    </row>
    <row r="385">
      <c r="C385" s="20"/>
      <c r="H385" s="23"/>
    </row>
    <row r="386">
      <c r="C386" s="20"/>
      <c r="H386" s="23"/>
    </row>
    <row r="387">
      <c r="C387" s="20"/>
      <c r="H387" s="23"/>
    </row>
    <row r="388">
      <c r="C388" s="20"/>
      <c r="H388" s="23"/>
    </row>
    <row r="389">
      <c r="C389" s="20"/>
      <c r="H389" s="23"/>
    </row>
    <row r="390">
      <c r="C390" s="20"/>
      <c r="H390" s="23"/>
    </row>
    <row r="391">
      <c r="C391" s="20"/>
      <c r="H391" s="23"/>
    </row>
    <row r="392">
      <c r="C392" s="20"/>
      <c r="H392" s="23"/>
    </row>
    <row r="393">
      <c r="C393" s="20"/>
      <c r="H393" s="23"/>
    </row>
    <row r="394">
      <c r="C394" s="20"/>
      <c r="H394" s="23"/>
    </row>
    <row r="395">
      <c r="C395" s="20"/>
      <c r="H395" s="23"/>
    </row>
    <row r="396">
      <c r="C396" s="20"/>
      <c r="H396" s="23"/>
    </row>
    <row r="397">
      <c r="C397" s="20"/>
      <c r="H397" s="23"/>
    </row>
    <row r="398">
      <c r="C398" s="20"/>
      <c r="H398" s="23"/>
    </row>
    <row r="399">
      <c r="C399" s="20"/>
      <c r="H399" s="23"/>
    </row>
    <row r="400">
      <c r="C400" s="20"/>
      <c r="H400" s="23"/>
    </row>
    <row r="401">
      <c r="C401" s="20"/>
      <c r="H401" s="23"/>
    </row>
    <row r="402">
      <c r="C402" s="20"/>
      <c r="H402" s="23"/>
    </row>
    <row r="403">
      <c r="C403" s="20"/>
      <c r="H403" s="23"/>
    </row>
    <row r="404">
      <c r="C404" s="20"/>
      <c r="H404" s="23"/>
    </row>
    <row r="405">
      <c r="C405" s="20"/>
      <c r="H405" s="23"/>
    </row>
    <row r="406">
      <c r="C406" s="20"/>
      <c r="H406" s="23"/>
    </row>
    <row r="407">
      <c r="C407" s="20"/>
      <c r="H407" s="23"/>
    </row>
    <row r="408">
      <c r="C408" s="20"/>
      <c r="H408" s="23"/>
    </row>
    <row r="409">
      <c r="C409" s="20"/>
      <c r="H409" s="23"/>
    </row>
    <row r="410">
      <c r="C410" s="20"/>
      <c r="H410" s="23"/>
    </row>
    <row r="411">
      <c r="C411" s="20"/>
      <c r="H411" s="23"/>
    </row>
    <row r="412">
      <c r="C412" s="20"/>
      <c r="H412" s="23"/>
    </row>
    <row r="413">
      <c r="C413" s="20"/>
      <c r="H413" s="23"/>
    </row>
    <row r="414">
      <c r="C414" s="20"/>
      <c r="H414" s="23"/>
    </row>
    <row r="415">
      <c r="C415" s="20"/>
      <c r="H415" s="23"/>
    </row>
    <row r="416">
      <c r="C416" s="20"/>
      <c r="H416" s="23"/>
    </row>
    <row r="417">
      <c r="C417" s="20"/>
      <c r="H417" s="23"/>
    </row>
    <row r="418">
      <c r="C418" s="20"/>
      <c r="H418" s="23"/>
    </row>
    <row r="419">
      <c r="C419" s="20"/>
      <c r="H419" s="23"/>
    </row>
    <row r="420">
      <c r="C420" s="20"/>
      <c r="H420" s="23"/>
    </row>
    <row r="421">
      <c r="C421" s="20"/>
      <c r="H421" s="23"/>
    </row>
    <row r="422">
      <c r="C422" s="20"/>
      <c r="H422" s="23"/>
    </row>
    <row r="423">
      <c r="C423" s="20"/>
      <c r="H423" s="23"/>
    </row>
    <row r="424">
      <c r="C424" s="20"/>
      <c r="H424" s="23"/>
    </row>
    <row r="425">
      <c r="C425" s="20"/>
      <c r="H425" s="23"/>
    </row>
    <row r="426">
      <c r="C426" s="20"/>
      <c r="H426" s="23"/>
    </row>
    <row r="427">
      <c r="C427" s="20"/>
      <c r="H427" s="23"/>
    </row>
    <row r="428">
      <c r="C428" s="20"/>
      <c r="H428" s="23"/>
    </row>
    <row r="429">
      <c r="C429" s="20"/>
      <c r="H429" s="23"/>
    </row>
    <row r="430">
      <c r="C430" s="20"/>
      <c r="H430" s="23"/>
    </row>
    <row r="431">
      <c r="C431" s="20"/>
      <c r="H431" s="23"/>
    </row>
    <row r="432">
      <c r="C432" s="20"/>
      <c r="H432" s="23"/>
    </row>
    <row r="433">
      <c r="C433" s="20"/>
      <c r="H433" s="23"/>
    </row>
    <row r="434">
      <c r="C434" s="20"/>
      <c r="H434" s="23"/>
    </row>
    <row r="435">
      <c r="C435" s="20"/>
      <c r="H435" s="23"/>
    </row>
    <row r="436">
      <c r="C436" s="20"/>
      <c r="H436" s="23"/>
    </row>
    <row r="437">
      <c r="C437" s="20"/>
      <c r="H437" s="23"/>
    </row>
    <row r="438">
      <c r="C438" s="20"/>
      <c r="H438" s="23"/>
    </row>
    <row r="439">
      <c r="C439" s="20"/>
      <c r="H439" s="23"/>
    </row>
    <row r="440">
      <c r="C440" s="20"/>
      <c r="H440" s="23"/>
    </row>
    <row r="441">
      <c r="C441" s="20"/>
      <c r="H441" s="23"/>
    </row>
    <row r="442">
      <c r="C442" s="20"/>
      <c r="H442" s="23"/>
    </row>
    <row r="443">
      <c r="C443" s="20"/>
      <c r="H443" s="23"/>
    </row>
    <row r="444">
      <c r="C444" s="20"/>
      <c r="H444" s="23"/>
    </row>
    <row r="445">
      <c r="C445" s="20"/>
      <c r="H445" s="23"/>
    </row>
    <row r="446">
      <c r="C446" s="20"/>
      <c r="H446" s="23"/>
    </row>
    <row r="447">
      <c r="C447" s="20"/>
      <c r="H447" s="23"/>
    </row>
    <row r="448">
      <c r="C448" s="20"/>
      <c r="H448" s="23"/>
    </row>
    <row r="449">
      <c r="C449" s="20"/>
      <c r="H449" s="23"/>
    </row>
    <row r="450">
      <c r="C450" s="20"/>
      <c r="H450" s="23"/>
    </row>
    <row r="451">
      <c r="C451" s="20"/>
      <c r="H451" s="23"/>
    </row>
    <row r="452">
      <c r="C452" s="20"/>
      <c r="H452" s="23"/>
    </row>
    <row r="453">
      <c r="C453" s="20"/>
      <c r="H453" s="23"/>
    </row>
    <row r="454">
      <c r="C454" s="20"/>
      <c r="H454" s="23"/>
    </row>
    <row r="455">
      <c r="C455" s="20"/>
      <c r="H455" s="23"/>
    </row>
    <row r="456">
      <c r="C456" s="20"/>
      <c r="H456" s="23"/>
    </row>
    <row r="457">
      <c r="C457" s="20"/>
      <c r="H457" s="23"/>
    </row>
    <row r="458">
      <c r="C458" s="20"/>
      <c r="H458" s="23"/>
    </row>
    <row r="459">
      <c r="C459" s="20"/>
      <c r="H459" s="23"/>
    </row>
    <row r="460">
      <c r="C460" s="20"/>
      <c r="H460" s="23"/>
    </row>
    <row r="461">
      <c r="C461" s="20"/>
      <c r="H461" s="23"/>
    </row>
    <row r="462">
      <c r="C462" s="20"/>
      <c r="H462" s="23"/>
    </row>
    <row r="463">
      <c r="C463" s="20"/>
      <c r="H463" s="23"/>
    </row>
    <row r="464">
      <c r="C464" s="20"/>
      <c r="H464" s="23"/>
    </row>
    <row r="465">
      <c r="C465" s="20"/>
      <c r="H465" s="23"/>
    </row>
    <row r="466">
      <c r="C466" s="20"/>
      <c r="H466" s="23"/>
    </row>
    <row r="467">
      <c r="C467" s="20"/>
      <c r="H467" s="23"/>
    </row>
    <row r="468">
      <c r="C468" s="20"/>
      <c r="H468" s="23"/>
    </row>
    <row r="469">
      <c r="C469" s="20"/>
      <c r="H469" s="23"/>
    </row>
    <row r="470">
      <c r="C470" s="20"/>
      <c r="H470" s="23"/>
    </row>
    <row r="471">
      <c r="C471" s="20"/>
      <c r="H471" s="23"/>
    </row>
    <row r="472">
      <c r="C472" s="20"/>
      <c r="H472" s="23"/>
    </row>
    <row r="473">
      <c r="C473" s="20"/>
      <c r="H473" s="23"/>
    </row>
    <row r="474">
      <c r="C474" s="20"/>
      <c r="H474" s="23"/>
    </row>
    <row r="475">
      <c r="C475" s="20"/>
      <c r="H475" s="23"/>
    </row>
    <row r="476">
      <c r="C476" s="20"/>
      <c r="H476" s="23"/>
    </row>
    <row r="477">
      <c r="C477" s="20"/>
      <c r="H477" s="23"/>
    </row>
    <row r="478">
      <c r="C478" s="20"/>
      <c r="H478" s="23"/>
    </row>
    <row r="479">
      <c r="C479" s="20"/>
      <c r="H479" s="23"/>
    </row>
    <row r="480">
      <c r="C480" s="20"/>
      <c r="H480" s="23"/>
    </row>
    <row r="481">
      <c r="C481" s="20"/>
      <c r="H481" s="23"/>
    </row>
    <row r="482">
      <c r="C482" s="20"/>
      <c r="H482" s="23"/>
    </row>
    <row r="483">
      <c r="C483" s="20"/>
      <c r="H483" s="23"/>
    </row>
    <row r="484">
      <c r="C484" s="20"/>
      <c r="H484" s="23"/>
    </row>
    <row r="485">
      <c r="C485" s="20"/>
      <c r="H485" s="23"/>
    </row>
    <row r="486">
      <c r="C486" s="20"/>
      <c r="H486" s="23"/>
    </row>
    <row r="487">
      <c r="C487" s="20"/>
      <c r="H487" s="23"/>
    </row>
    <row r="488">
      <c r="C488" s="20"/>
      <c r="H488" s="23"/>
    </row>
    <row r="489">
      <c r="C489" s="20"/>
      <c r="H489" s="23"/>
    </row>
    <row r="490">
      <c r="C490" s="20"/>
      <c r="H490" s="23"/>
    </row>
    <row r="491">
      <c r="C491" s="20"/>
      <c r="H491" s="23"/>
    </row>
    <row r="492">
      <c r="C492" s="20"/>
      <c r="H492" s="23"/>
    </row>
    <row r="493">
      <c r="C493" s="20"/>
      <c r="H493" s="23"/>
    </row>
    <row r="494">
      <c r="C494" s="20"/>
      <c r="H494" s="23"/>
    </row>
    <row r="495">
      <c r="C495" s="20"/>
      <c r="H495" s="23"/>
    </row>
    <row r="496">
      <c r="C496" s="20"/>
      <c r="H496" s="23"/>
    </row>
    <row r="497">
      <c r="C497" s="20"/>
      <c r="H497" s="23"/>
    </row>
    <row r="498">
      <c r="C498" s="20"/>
      <c r="H498" s="23"/>
    </row>
    <row r="499">
      <c r="C499" s="20"/>
      <c r="H499" s="23"/>
    </row>
    <row r="500">
      <c r="C500" s="20"/>
      <c r="H500" s="23"/>
    </row>
    <row r="501">
      <c r="C501" s="20"/>
      <c r="H501" s="23"/>
    </row>
    <row r="502">
      <c r="C502" s="20"/>
      <c r="H502" s="23"/>
    </row>
    <row r="503">
      <c r="C503" s="20"/>
      <c r="H503" s="23"/>
    </row>
    <row r="504">
      <c r="C504" s="20"/>
      <c r="H504" s="23"/>
    </row>
    <row r="505">
      <c r="C505" s="20"/>
      <c r="H505" s="23"/>
    </row>
    <row r="506">
      <c r="C506" s="20"/>
      <c r="H506" s="23"/>
    </row>
    <row r="507">
      <c r="C507" s="20"/>
      <c r="H507" s="23"/>
    </row>
    <row r="508">
      <c r="C508" s="20"/>
      <c r="H508" s="23"/>
    </row>
    <row r="509">
      <c r="C509" s="20"/>
      <c r="H509" s="23"/>
    </row>
    <row r="510">
      <c r="C510" s="20"/>
      <c r="H510" s="23"/>
    </row>
    <row r="511">
      <c r="C511" s="20"/>
      <c r="H511" s="23"/>
    </row>
    <row r="512">
      <c r="C512" s="20"/>
      <c r="H512" s="23"/>
    </row>
    <row r="513">
      <c r="C513" s="20"/>
      <c r="H513" s="23"/>
    </row>
    <row r="514">
      <c r="C514" s="20"/>
      <c r="H514" s="23"/>
    </row>
    <row r="515">
      <c r="C515" s="20"/>
      <c r="H515" s="23"/>
    </row>
    <row r="516">
      <c r="C516" s="20"/>
      <c r="H516" s="23"/>
    </row>
    <row r="517">
      <c r="C517" s="20"/>
      <c r="H517" s="23"/>
    </row>
    <row r="518">
      <c r="C518" s="20"/>
      <c r="H518" s="23"/>
    </row>
    <row r="519">
      <c r="C519" s="20"/>
      <c r="H519" s="23"/>
    </row>
    <row r="520">
      <c r="C520" s="20"/>
      <c r="H520" s="23"/>
    </row>
    <row r="521">
      <c r="C521" s="20"/>
      <c r="H521" s="23"/>
    </row>
    <row r="522">
      <c r="C522" s="20"/>
      <c r="H522" s="23"/>
    </row>
    <row r="523">
      <c r="C523" s="20"/>
      <c r="H523" s="23"/>
    </row>
    <row r="524">
      <c r="C524" s="20"/>
      <c r="H524" s="23"/>
    </row>
    <row r="525">
      <c r="C525" s="20"/>
      <c r="H525" s="23"/>
    </row>
    <row r="526">
      <c r="C526" s="20"/>
      <c r="H526" s="23"/>
    </row>
    <row r="527">
      <c r="C527" s="20"/>
      <c r="H527" s="23"/>
    </row>
    <row r="528">
      <c r="C528" s="20"/>
      <c r="H528" s="23"/>
    </row>
    <row r="529">
      <c r="C529" s="20"/>
      <c r="H529" s="23"/>
    </row>
    <row r="530">
      <c r="C530" s="20"/>
      <c r="H530" s="23"/>
    </row>
    <row r="531">
      <c r="C531" s="20"/>
      <c r="H531" s="23"/>
    </row>
    <row r="532">
      <c r="C532" s="20"/>
      <c r="H532" s="23"/>
    </row>
    <row r="533">
      <c r="C533" s="20"/>
      <c r="H533" s="23"/>
    </row>
    <row r="534">
      <c r="C534" s="20"/>
      <c r="H534" s="23"/>
    </row>
    <row r="535">
      <c r="C535" s="20"/>
      <c r="H535" s="23"/>
    </row>
    <row r="536">
      <c r="C536" s="20"/>
      <c r="H536" s="23"/>
    </row>
    <row r="537">
      <c r="C537" s="20"/>
      <c r="H537" s="23"/>
    </row>
    <row r="538">
      <c r="C538" s="20"/>
      <c r="H538" s="23"/>
    </row>
    <row r="539">
      <c r="C539" s="20"/>
      <c r="H539" s="23"/>
    </row>
    <row r="540">
      <c r="C540" s="20"/>
      <c r="H540" s="23"/>
    </row>
    <row r="541">
      <c r="C541" s="20"/>
      <c r="H541" s="23"/>
    </row>
    <row r="542">
      <c r="C542" s="20"/>
      <c r="H542" s="23"/>
    </row>
    <row r="543">
      <c r="C543" s="20"/>
      <c r="H543" s="23"/>
    </row>
    <row r="544">
      <c r="C544" s="20"/>
      <c r="H544" s="23"/>
    </row>
    <row r="545">
      <c r="C545" s="20"/>
      <c r="H545" s="23"/>
    </row>
    <row r="546">
      <c r="C546" s="20"/>
      <c r="H546" s="23"/>
    </row>
    <row r="547">
      <c r="C547" s="20"/>
      <c r="H547" s="23"/>
    </row>
    <row r="548">
      <c r="C548" s="20"/>
      <c r="H548" s="23"/>
    </row>
    <row r="549">
      <c r="C549" s="20"/>
      <c r="H549" s="23"/>
    </row>
    <row r="550">
      <c r="C550" s="20"/>
      <c r="H550" s="23"/>
    </row>
    <row r="551">
      <c r="C551" s="20"/>
      <c r="H551" s="23"/>
    </row>
    <row r="552">
      <c r="C552" s="20"/>
      <c r="H552" s="23"/>
    </row>
    <row r="553">
      <c r="C553" s="20"/>
      <c r="H553" s="23"/>
    </row>
    <row r="554">
      <c r="C554" s="20"/>
      <c r="H554" s="23"/>
    </row>
    <row r="555">
      <c r="C555" s="20"/>
      <c r="H555" s="23"/>
    </row>
    <row r="556">
      <c r="C556" s="20"/>
      <c r="H556" s="23"/>
    </row>
    <row r="557">
      <c r="C557" s="20"/>
      <c r="H557" s="23"/>
    </row>
    <row r="558">
      <c r="C558" s="20"/>
      <c r="H558" s="23"/>
    </row>
    <row r="559">
      <c r="C559" s="20"/>
      <c r="H559" s="23"/>
    </row>
    <row r="560">
      <c r="C560" s="20"/>
      <c r="H560" s="23"/>
    </row>
    <row r="561">
      <c r="C561" s="20"/>
      <c r="H561" s="23"/>
    </row>
    <row r="562">
      <c r="C562" s="20"/>
      <c r="H562" s="23"/>
    </row>
    <row r="563">
      <c r="C563" s="20"/>
      <c r="H563" s="23"/>
    </row>
    <row r="564">
      <c r="C564" s="20"/>
      <c r="H564" s="23"/>
    </row>
    <row r="565">
      <c r="C565" s="20"/>
      <c r="H565" s="23"/>
    </row>
    <row r="566">
      <c r="C566" s="20"/>
      <c r="H566" s="23"/>
    </row>
    <row r="567">
      <c r="C567" s="20"/>
      <c r="H567" s="23"/>
    </row>
    <row r="568">
      <c r="C568" s="20"/>
      <c r="H568" s="23"/>
    </row>
    <row r="569">
      <c r="C569" s="20"/>
      <c r="H569" s="23"/>
    </row>
    <row r="570">
      <c r="C570" s="20"/>
      <c r="H570" s="23"/>
    </row>
    <row r="571">
      <c r="C571" s="20"/>
      <c r="H571" s="23"/>
    </row>
    <row r="572">
      <c r="C572" s="20"/>
      <c r="H572" s="23"/>
    </row>
    <row r="573">
      <c r="C573" s="20"/>
      <c r="H573" s="23"/>
    </row>
    <row r="574">
      <c r="C574" s="20"/>
      <c r="H574" s="23"/>
    </row>
    <row r="575">
      <c r="C575" s="20"/>
      <c r="H575" s="23"/>
    </row>
    <row r="576">
      <c r="C576" s="20"/>
      <c r="H576" s="23"/>
    </row>
    <row r="577">
      <c r="C577" s="20"/>
      <c r="H577" s="23"/>
    </row>
    <row r="578">
      <c r="C578" s="20"/>
      <c r="H578" s="23"/>
    </row>
    <row r="579">
      <c r="C579" s="20"/>
      <c r="H579" s="23"/>
    </row>
    <row r="580">
      <c r="C580" s="20"/>
      <c r="H580" s="23"/>
    </row>
    <row r="581">
      <c r="C581" s="20"/>
      <c r="H581" s="23"/>
    </row>
    <row r="582">
      <c r="C582" s="20"/>
      <c r="H582" s="23"/>
    </row>
    <row r="583">
      <c r="C583" s="20"/>
      <c r="H583" s="23"/>
    </row>
    <row r="584">
      <c r="C584" s="20"/>
      <c r="H584" s="23"/>
    </row>
    <row r="585">
      <c r="C585" s="20"/>
      <c r="H585" s="23"/>
    </row>
    <row r="586">
      <c r="C586" s="20"/>
      <c r="H586" s="23"/>
    </row>
    <row r="587">
      <c r="C587" s="20"/>
      <c r="H587" s="23"/>
    </row>
    <row r="588">
      <c r="C588" s="20"/>
      <c r="H588" s="23"/>
    </row>
    <row r="589">
      <c r="C589" s="20"/>
      <c r="H589" s="23"/>
    </row>
    <row r="590">
      <c r="C590" s="20"/>
      <c r="H590" s="23"/>
    </row>
    <row r="591">
      <c r="C591" s="20"/>
      <c r="H591" s="23"/>
    </row>
    <row r="592">
      <c r="C592" s="20"/>
      <c r="H592" s="23"/>
    </row>
    <row r="593">
      <c r="C593" s="20"/>
      <c r="H593" s="23"/>
    </row>
    <row r="594">
      <c r="C594" s="20"/>
      <c r="H594" s="23"/>
    </row>
    <row r="595">
      <c r="C595" s="20"/>
      <c r="H595" s="23"/>
    </row>
    <row r="596">
      <c r="C596" s="20"/>
      <c r="H596" s="23"/>
    </row>
    <row r="597">
      <c r="C597" s="20"/>
      <c r="H597" s="23"/>
    </row>
    <row r="598">
      <c r="C598" s="20"/>
      <c r="H598" s="23"/>
    </row>
    <row r="599">
      <c r="C599" s="20"/>
      <c r="H599" s="23"/>
    </row>
    <row r="600">
      <c r="C600" s="20"/>
      <c r="H600" s="23"/>
    </row>
    <row r="601">
      <c r="C601" s="20"/>
      <c r="H601" s="23"/>
    </row>
    <row r="602">
      <c r="C602" s="20"/>
      <c r="H602" s="23"/>
    </row>
    <row r="603">
      <c r="C603" s="20"/>
      <c r="H603" s="23"/>
    </row>
    <row r="604">
      <c r="C604" s="20"/>
      <c r="H604" s="23"/>
    </row>
    <row r="605">
      <c r="C605" s="20"/>
      <c r="H605" s="23"/>
    </row>
    <row r="606">
      <c r="C606" s="20"/>
      <c r="H606" s="23"/>
    </row>
    <row r="607">
      <c r="C607" s="20"/>
      <c r="H607" s="23"/>
    </row>
    <row r="608">
      <c r="C608" s="20"/>
      <c r="H608" s="23"/>
    </row>
    <row r="609">
      <c r="C609" s="20"/>
      <c r="H609" s="23"/>
    </row>
    <row r="610">
      <c r="C610" s="20"/>
      <c r="H610" s="23"/>
    </row>
    <row r="611">
      <c r="C611" s="20"/>
      <c r="H611" s="23"/>
    </row>
    <row r="612">
      <c r="C612" s="20"/>
      <c r="H612" s="23"/>
    </row>
    <row r="613">
      <c r="C613" s="20"/>
      <c r="H613" s="23"/>
    </row>
    <row r="614">
      <c r="C614" s="20"/>
      <c r="H614" s="23"/>
    </row>
    <row r="615">
      <c r="C615" s="20"/>
      <c r="H615" s="23"/>
    </row>
    <row r="616">
      <c r="C616" s="20"/>
      <c r="H616" s="23"/>
    </row>
    <row r="617">
      <c r="C617" s="20"/>
      <c r="H617" s="23"/>
    </row>
    <row r="618">
      <c r="C618" s="20"/>
      <c r="H618" s="23"/>
    </row>
    <row r="619">
      <c r="C619" s="20"/>
      <c r="H619" s="23"/>
    </row>
    <row r="620">
      <c r="C620" s="20"/>
      <c r="H620" s="23"/>
    </row>
    <row r="621">
      <c r="C621" s="20"/>
      <c r="H621" s="23"/>
    </row>
    <row r="622">
      <c r="C622" s="20"/>
      <c r="H622" s="23"/>
    </row>
    <row r="623">
      <c r="C623" s="20"/>
      <c r="H623" s="23"/>
    </row>
    <row r="624">
      <c r="C624" s="20"/>
      <c r="H624" s="23"/>
    </row>
    <row r="625">
      <c r="C625" s="20"/>
      <c r="H625" s="23"/>
    </row>
    <row r="626">
      <c r="C626" s="20"/>
      <c r="H626" s="23"/>
    </row>
    <row r="627">
      <c r="C627" s="20"/>
      <c r="H627" s="23"/>
    </row>
    <row r="628">
      <c r="C628" s="20"/>
      <c r="H628" s="23"/>
    </row>
    <row r="629">
      <c r="C629" s="20"/>
      <c r="H629" s="23"/>
    </row>
    <row r="630">
      <c r="C630" s="20"/>
      <c r="H630" s="23"/>
    </row>
    <row r="631">
      <c r="C631" s="20"/>
      <c r="H631" s="23"/>
    </row>
    <row r="632">
      <c r="C632" s="20"/>
      <c r="H632" s="23"/>
    </row>
    <row r="633">
      <c r="C633" s="20"/>
      <c r="H633" s="23"/>
    </row>
    <row r="634">
      <c r="C634" s="20"/>
      <c r="H634" s="23"/>
    </row>
    <row r="635">
      <c r="C635" s="20"/>
      <c r="H635" s="23"/>
    </row>
    <row r="636">
      <c r="C636" s="20"/>
      <c r="H636" s="23"/>
    </row>
    <row r="637">
      <c r="C637" s="20"/>
      <c r="H637" s="23"/>
    </row>
    <row r="638">
      <c r="C638" s="20"/>
      <c r="H638" s="23"/>
    </row>
    <row r="639">
      <c r="C639" s="20"/>
      <c r="H639" s="23"/>
    </row>
    <row r="640">
      <c r="C640" s="20"/>
      <c r="H640" s="23"/>
    </row>
    <row r="641">
      <c r="C641" s="20"/>
      <c r="H641" s="23"/>
    </row>
    <row r="642">
      <c r="C642" s="20"/>
      <c r="H642" s="23"/>
    </row>
    <row r="643">
      <c r="C643" s="20"/>
      <c r="H643" s="23"/>
    </row>
    <row r="644">
      <c r="C644" s="20"/>
      <c r="H644" s="23"/>
    </row>
    <row r="645">
      <c r="C645" s="20"/>
      <c r="H645" s="23"/>
    </row>
    <row r="646">
      <c r="C646" s="20"/>
      <c r="H646" s="23"/>
    </row>
    <row r="647">
      <c r="C647" s="20"/>
      <c r="H647" s="23"/>
    </row>
    <row r="648">
      <c r="C648" s="20"/>
      <c r="H648" s="23"/>
    </row>
    <row r="649">
      <c r="C649" s="20"/>
      <c r="H649" s="23"/>
    </row>
    <row r="650">
      <c r="C650" s="20"/>
      <c r="H650" s="23"/>
    </row>
    <row r="651">
      <c r="C651" s="20"/>
      <c r="H651" s="23"/>
    </row>
    <row r="652">
      <c r="C652" s="20"/>
      <c r="H652" s="23"/>
    </row>
    <row r="653">
      <c r="C653" s="20"/>
      <c r="H653" s="23"/>
    </row>
    <row r="654">
      <c r="C654" s="20"/>
      <c r="H654" s="23"/>
    </row>
    <row r="655">
      <c r="C655" s="20"/>
      <c r="H655" s="23"/>
    </row>
    <row r="656">
      <c r="C656" s="20"/>
      <c r="H656" s="23"/>
    </row>
    <row r="657">
      <c r="C657" s="20"/>
      <c r="H657" s="23"/>
    </row>
    <row r="658">
      <c r="C658" s="20"/>
      <c r="H658" s="23"/>
    </row>
    <row r="659">
      <c r="C659" s="20"/>
      <c r="H659" s="23"/>
    </row>
    <row r="660">
      <c r="C660" s="20"/>
      <c r="H660" s="23"/>
    </row>
    <row r="661">
      <c r="C661" s="20"/>
      <c r="H661" s="23"/>
    </row>
    <row r="662">
      <c r="C662" s="20"/>
      <c r="H662" s="23"/>
    </row>
    <row r="663">
      <c r="C663" s="20"/>
      <c r="H663" s="23"/>
    </row>
    <row r="664">
      <c r="C664" s="20"/>
      <c r="H664" s="23"/>
    </row>
    <row r="665">
      <c r="C665" s="20"/>
      <c r="H665" s="23"/>
    </row>
    <row r="666">
      <c r="C666" s="20"/>
      <c r="H666" s="23"/>
    </row>
    <row r="667">
      <c r="C667" s="20"/>
      <c r="H667" s="23"/>
    </row>
    <row r="668">
      <c r="C668" s="20"/>
      <c r="H668" s="23"/>
    </row>
    <row r="669">
      <c r="C669" s="20"/>
      <c r="H669" s="23"/>
    </row>
    <row r="670">
      <c r="C670" s="20"/>
      <c r="H670" s="23"/>
    </row>
    <row r="671">
      <c r="C671" s="20"/>
      <c r="H671" s="23"/>
    </row>
    <row r="672">
      <c r="C672" s="20"/>
      <c r="H672" s="23"/>
    </row>
    <row r="673">
      <c r="C673" s="20"/>
      <c r="H673" s="23"/>
    </row>
    <row r="674">
      <c r="C674" s="20"/>
      <c r="H674" s="23"/>
    </row>
    <row r="675">
      <c r="C675" s="20"/>
      <c r="H675" s="23"/>
    </row>
    <row r="676">
      <c r="C676" s="20"/>
      <c r="H676" s="23"/>
    </row>
    <row r="677">
      <c r="C677" s="20"/>
      <c r="H677" s="23"/>
    </row>
    <row r="678">
      <c r="C678" s="20"/>
      <c r="H678" s="23"/>
    </row>
    <row r="679">
      <c r="C679" s="20"/>
      <c r="H679" s="23"/>
    </row>
    <row r="680">
      <c r="C680" s="20"/>
      <c r="H680" s="23"/>
    </row>
    <row r="681">
      <c r="C681" s="20"/>
      <c r="H681" s="23"/>
    </row>
    <row r="682">
      <c r="C682" s="20"/>
      <c r="H682" s="23"/>
    </row>
    <row r="683">
      <c r="C683" s="20"/>
      <c r="H683" s="23"/>
    </row>
    <row r="684">
      <c r="C684" s="20"/>
      <c r="H684" s="23"/>
    </row>
    <row r="685">
      <c r="C685" s="20"/>
      <c r="H685" s="23"/>
    </row>
    <row r="686">
      <c r="C686" s="20"/>
      <c r="H686" s="23"/>
    </row>
    <row r="687">
      <c r="C687" s="20"/>
      <c r="H687" s="23"/>
    </row>
    <row r="688">
      <c r="C688" s="20"/>
      <c r="H688" s="23"/>
    </row>
    <row r="689">
      <c r="C689" s="20"/>
      <c r="H689" s="23"/>
    </row>
    <row r="690">
      <c r="C690" s="20"/>
      <c r="H690" s="23"/>
    </row>
    <row r="691">
      <c r="C691" s="20"/>
      <c r="H691" s="23"/>
    </row>
    <row r="692">
      <c r="C692" s="20"/>
      <c r="H692" s="23"/>
    </row>
    <row r="693">
      <c r="C693" s="20"/>
      <c r="H693" s="23"/>
    </row>
    <row r="694">
      <c r="C694" s="20"/>
      <c r="H694" s="23"/>
    </row>
    <row r="695">
      <c r="C695" s="20"/>
      <c r="H695" s="23"/>
    </row>
    <row r="696">
      <c r="C696" s="20"/>
      <c r="H696" s="23"/>
    </row>
    <row r="697">
      <c r="C697" s="20"/>
      <c r="H697" s="23"/>
    </row>
    <row r="698">
      <c r="C698" s="20"/>
      <c r="H698" s="23"/>
    </row>
    <row r="699">
      <c r="C699" s="20"/>
      <c r="H699" s="23"/>
    </row>
    <row r="700">
      <c r="C700" s="20"/>
      <c r="H700" s="23"/>
    </row>
    <row r="701">
      <c r="C701" s="20"/>
      <c r="H701" s="23"/>
    </row>
    <row r="702">
      <c r="C702" s="20"/>
      <c r="H702" s="23"/>
    </row>
    <row r="703">
      <c r="C703" s="20"/>
      <c r="H703" s="23"/>
    </row>
    <row r="704">
      <c r="C704" s="20"/>
      <c r="H704" s="23"/>
    </row>
    <row r="705">
      <c r="C705" s="20"/>
      <c r="H705" s="23"/>
    </row>
    <row r="706">
      <c r="C706" s="20"/>
      <c r="H706" s="23"/>
    </row>
    <row r="707">
      <c r="C707" s="20"/>
      <c r="H707" s="23"/>
    </row>
    <row r="708">
      <c r="C708" s="20"/>
      <c r="H708" s="23"/>
    </row>
    <row r="709">
      <c r="C709" s="20"/>
      <c r="H709" s="23"/>
    </row>
    <row r="710">
      <c r="C710" s="20"/>
      <c r="H710" s="23"/>
    </row>
    <row r="711">
      <c r="C711" s="20"/>
      <c r="H711" s="23"/>
    </row>
    <row r="712">
      <c r="C712" s="20"/>
      <c r="H712" s="23"/>
    </row>
    <row r="713">
      <c r="C713" s="20"/>
      <c r="H713" s="23"/>
    </row>
    <row r="714">
      <c r="C714" s="20"/>
      <c r="H714" s="23"/>
    </row>
    <row r="715">
      <c r="C715" s="20"/>
      <c r="H715" s="23"/>
    </row>
    <row r="716">
      <c r="C716" s="20"/>
      <c r="H716" s="23"/>
    </row>
    <row r="717">
      <c r="C717" s="20"/>
      <c r="H717" s="23"/>
    </row>
    <row r="718">
      <c r="C718" s="20"/>
      <c r="H718" s="23"/>
    </row>
    <row r="719">
      <c r="C719" s="20"/>
      <c r="H719" s="23"/>
    </row>
    <row r="720">
      <c r="C720" s="20"/>
      <c r="H720" s="23"/>
    </row>
    <row r="721">
      <c r="C721" s="20"/>
      <c r="H721" s="23"/>
    </row>
    <row r="722">
      <c r="C722" s="20"/>
      <c r="H722" s="23"/>
    </row>
    <row r="723">
      <c r="C723" s="20"/>
      <c r="H723" s="23"/>
    </row>
    <row r="724">
      <c r="C724" s="20"/>
      <c r="H724" s="23"/>
    </row>
    <row r="725">
      <c r="C725" s="20"/>
      <c r="H725" s="23"/>
    </row>
    <row r="726">
      <c r="C726" s="20"/>
      <c r="H726" s="23"/>
    </row>
    <row r="727">
      <c r="C727" s="20"/>
      <c r="H727" s="23"/>
    </row>
    <row r="728">
      <c r="C728" s="20"/>
      <c r="H728" s="23"/>
    </row>
    <row r="729">
      <c r="C729" s="20"/>
      <c r="H729" s="23"/>
    </row>
    <row r="730">
      <c r="C730" s="20"/>
      <c r="H730" s="23"/>
    </row>
    <row r="731">
      <c r="C731" s="20"/>
      <c r="H731" s="23"/>
    </row>
    <row r="732">
      <c r="C732" s="20"/>
      <c r="H732" s="23"/>
    </row>
    <row r="733">
      <c r="C733" s="20"/>
      <c r="H733" s="23"/>
    </row>
    <row r="734">
      <c r="C734" s="20"/>
      <c r="H734" s="23"/>
    </row>
    <row r="735">
      <c r="C735" s="20"/>
      <c r="H735" s="23"/>
    </row>
    <row r="736">
      <c r="C736" s="20"/>
      <c r="H736" s="23"/>
    </row>
    <row r="737">
      <c r="C737" s="20"/>
      <c r="H737" s="23"/>
    </row>
    <row r="738">
      <c r="C738" s="20"/>
      <c r="H738" s="23"/>
    </row>
    <row r="739">
      <c r="C739" s="20"/>
      <c r="H739" s="23"/>
    </row>
    <row r="740">
      <c r="C740" s="20"/>
      <c r="H740" s="23"/>
    </row>
    <row r="741">
      <c r="C741" s="20"/>
      <c r="H741" s="23"/>
    </row>
    <row r="742">
      <c r="C742" s="20"/>
      <c r="H742" s="23"/>
    </row>
    <row r="743">
      <c r="C743" s="20"/>
      <c r="H743" s="23"/>
    </row>
    <row r="744">
      <c r="C744" s="20"/>
      <c r="H744" s="23"/>
    </row>
    <row r="745">
      <c r="C745" s="20"/>
      <c r="H745" s="23"/>
    </row>
    <row r="746">
      <c r="C746" s="20"/>
      <c r="H746" s="23"/>
    </row>
    <row r="747">
      <c r="C747" s="20"/>
      <c r="H747" s="23"/>
    </row>
    <row r="748">
      <c r="C748" s="20"/>
      <c r="H748" s="23"/>
    </row>
    <row r="749">
      <c r="C749" s="20"/>
      <c r="H749" s="23"/>
    </row>
    <row r="750">
      <c r="C750" s="20"/>
      <c r="H750" s="23"/>
    </row>
    <row r="751">
      <c r="C751" s="20"/>
      <c r="H751" s="23"/>
    </row>
    <row r="752">
      <c r="C752" s="20"/>
      <c r="H752" s="23"/>
    </row>
    <row r="753">
      <c r="C753" s="20"/>
      <c r="H753" s="23"/>
    </row>
    <row r="754">
      <c r="C754" s="20"/>
      <c r="H754" s="23"/>
    </row>
    <row r="755">
      <c r="C755" s="20"/>
      <c r="H755" s="23"/>
    </row>
    <row r="756">
      <c r="C756" s="20"/>
      <c r="H756" s="23"/>
    </row>
    <row r="757">
      <c r="C757" s="20"/>
      <c r="H757" s="23"/>
    </row>
    <row r="758">
      <c r="C758" s="20"/>
      <c r="H758" s="23"/>
    </row>
    <row r="759">
      <c r="C759" s="20"/>
      <c r="H759" s="23"/>
    </row>
    <row r="760">
      <c r="C760" s="20"/>
      <c r="H760" s="23"/>
    </row>
    <row r="761">
      <c r="C761" s="20"/>
      <c r="H761" s="23"/>
    </row>
    <row r="762">
      <c r="C762" s="20"/>
      <c r="H762" s="23"/>
    </row>
    <row r="763">
      <c r="C763" s="20"/>
      <c r="H763" s="23"/>
    </row>
    <row r="764">
      <c r="C764" s="20"/>
      <c r="H764" s="23"/>
    </row>
    <row r="765">
      <c r="C765" s="20"/>
      <c r="H765" s="23"/>
    </row>
    <row r="766">
      <c r="C766" s="20"/>
      <c r="H766" s="23"/>
    </row>
    <row r="767">
      <c r="C767" s="20"/>
      <c r="H767" s="23"/>
    </row>
    <row r="768">
      <c r="C768" s="20"/>
      <c r="H768" s="23"/>
    </row>
    <row r="769">
      <c r="C769" s="20"/>
      <c r="H769" s="23"/>
    </row>
    <row r="770">
      <c r="C770" s="20"/>
      <c r="H770" s="23"/>
    </row>
    <row r="771">
      <c r="C771" s="20"/>
      <c r="H771" s="23"/>
    </row>
    <row r="772">
      <c r="C772" s="20"/>
      <c r="H772" s="23"/>
    </row>
    <row r="773">
      <c r="C773" s="20"/>
      <c r="H773" s="23"/>
    </row>
    <row r="774">
      <c r="C774" s="20"/>
      <c r="H774" s="23"/>
    </row>
    <row r="775">
      <c r="C775" s="20"/>
      <c r="H775" s="23"/>
    </row>
    <row r="776">
      <c r="C776" s="20"/>
      <c r="H776" s="23"/>
    </row>
    <row r="777">
      <c r="C777" s="20"/>
      <c r="H777" s="23"/>
    </row>
    <row r="778">
      <c r="C778" s="20"/>
      <c r="H778" s="23"/>
    </row>
    <row r="779">
      <c r="C779" s="20"/>
      <c r="H779" s="23"/>
    </row>
    <row r="780">
      <c r="C780" s="20"/>
      <c r="H780" s="23"/>
    </row>
    <row r="781">
      <c r="C781" s="20"/>
      <c r="H781" s="23"/>
    </row>
    <row r="782">
      <c r="C782" s="20"/>
      <c r="H782" s="23"/>
    </row>
    <row r="783">
      <c r="C783" s="20"/>
      <c r="H783" s="23"/>
    </row>
    <row r="784">
      <c r="C784" s="20"/>
      <c r="H784" s="23"/>
    </row>
    <row r="785">
      <c r="C785" s="20"/>
      <c r="H785" s="23"/>
    </row>
    <row r="786">
      <c r="C786" s="20"/>
      <c r="H786" s="23"/>
    </row>
    <row r="787">
      <c r="C787" s="20"/>
      <c r="H787" s="23"/>
    </row>
    <row r="788">
      <c r="C788" s="20"/>
      <c r="H788" s="23"/>
    </row>
    <row r="789">
      <c r="C789" s="20"/>
      <c r="H789" s="23"/>
    </row>
    <row r="790">
      <c r="C790" s="20"/>
      <c r="H790" s="23"/>
    </row>
    <row r="791">
      <c r="C791" s="20"/>
      <c r="H791" s="23"/>
    </row>
    <row r="792">
      <c r="C792" s="20"/>
      <c r="H792" s="23"/>
    </row>
    <row r="793">
      <c r="C793" s="20"/>
      <c r="H793" s="23"/>
    </row>
    <row r="794">
      <c r="C794" s="20"/>
      <c r="H794" s="23"/>
    </row>
    <row r="795">
      <c r="C795" s="20"/>
      <c r="H795" s="23"/>
    </row>
    <row r="796">
      <c r="C796" s="20"/>
      <c r="H796" s="23"/>
    </row>
    <row r="797">
      <c r="C797" s="20"/>
      <c r="H797" s="23"/>
    </row>
    <row r="798">
      <c r="C798" s="20"/>
      <c r="H798" s="23"/>
    </row>
    <row r="799">
      <c r="C799" s="20"/>
      <c r="H799" s="23"/>
    </row>
    <row r="800">
      <c r="C800" s="20"/>
      <c r="H800" s="23"/>
    </row>
    <row r="801">
      <c r="C801" s="20"/>
      <c r="H801" s="23"/>
    </row>
    <row r="802">
      <c r="C802" s="20"/>
      <c r="H802" s="23"/>
    </row>
    <row r="803">
      <c r="C803" s="20"/>
      <c r="H803" s="23"/>
    </row>
    <row r="804">
      <c r="C804" s="20"/>
      <c r="H804" s="23"/>
    </row>
    <row r="805">
      <c r="C805" s="20"/>
      <c r="H805" s="23"/>
    </row>
    <row r="806">
      <c r="C806" s="20"/>
      <c r="H806" s="23"/>
    </row>
    <row r="807">
      <c r="C807" s="20"/>
      <c r="H807" s="23"/>
    </row>
    <row r="808">
      <c r="C808" s="20"/>
      <c r="H808" s="23"/>
    </row>
    <row r="809">
      <c r="C809" s="20"/>
      <c r="H809" s="23"/>
    </row>
    <row r="810">
      <c r="C810" s="20"/>
      <c r="H810" s="23"/>
    </row>
    <row r="811">
      <c r="C811" s="20"/>
      <c r="H811" s="23"/>
    </row>
    <row r="812">
      <c r="C812" s="20"/>
      <c r="H812" s="23"/>
    </row>
    <row r="813">
      <c r="C813" s="20"/>
      <c r="H813" s="23"/>
    </row>
    <row r="814">
      <c r="C814" s="20"/>
      <c r="H814" s="23"/>
    </row>
    <row r="815">
      <c r="C815" s="20"/>
      <c r="H815" s="23"/>
    </row>
    <row r="816">
      <c r="C816" s="20"/>
      <c r="H816" s="23"/>
    </row>
    <row r="817">
      <c r="C817" s="20"/>
      <c r="H817" s="23"/>
    </row>
    <row r="818">
      <c r="C818" s="20"/>
      <c r="H818" s="23"/>
    </row>
    <row r="819">
      <c r="C819" s="20"/>
      <c r="H819" s="23"/>
    </row>
    <row r="820">
      <c r="C820" s="20"/>
      <c r="H820" s="23"/>
    </row>
    <row r="821">
      <c r="C821" s="20"/>
      <c r="H821" s="23"/>
    </row>
    <row r="822">
      <c r="C822" s="20"/>
      <c r="H822" s="23"/>
    </row>
    <row r="823">
      <c r="C823" s="20"/>
      <c r="H823" s="23"/>
    </row>
    <row r="824">
      <c r="C824" s="20"/>
      <c r="H824" s="23"/>
    </row>
    <row r="825">
      <c r="C825" s="20"/>
      <c r="H825" s="23"/>
    </row>
    <row r="826">
      <c r="C826" s="20"/>
      <c r="H826" s="23"/>
    </row>
    <row r="827">
      <c r="C827" s="20"/>
      <c r="H827" s="23"/>
    </row>
    <row r="828">
      <c r="C828" s="20"/>
      <c r="H828" s="23"/>
    </row>
    <row r="829">
      <c r="C829" s="20"/>
      <c r="H829" s="23"/>
    </row>
    <row r="830">
      <c r="C830" s="20"/>
      <c r="H830" s="23"/>
    </row>
    <row r="831">
      <c r="C831" s="20"/>
      <c r="H831" s="23"/>
    </row>
    <row r="832">
      <c r="C832" s="20"/>
      <c r="H832" s="23"/>
    </row>
    <row r="833">
      <c r="C833" s="20"/>
      <c r="H833" s="23"/>
    </row>
    <row r="834">
      <c r="C834" s="20"/>
      <c r="H834" s="23"/>
    </row>
    <row r="835">
      <c r="C835" s="20"/>
      <c r="H835" s="23"/>
    </row>
    <row r="836">
      <c r="C836" s="20"/>
      <c r="H836" s="23"/>
    </row>
    <row r="837">
      <c r="C837" s="20"/>
      <c r="H837" s="23"/>
    </row>
    <row r="838">
      <c r="C838" s="20"/>
      <c r="H838" s="23"/>
    </row>
    <row r="839">
      <c r="C839" s="20"/>
      <c r="H839" s="23"/>
    </row>
    <row r="840">
      <c r="C840" s="20"/>
      <c r="H840" s="23"/>
    </row>
    <row r="841">
      <c r="C841" s="20"/>
      <c r="H841" s="23"/>
    </row>
    <row r="842">
      <c r="C842" s="20"/>
      <c r="H842" s="23"/>
    </row>
    <row r="843">
      <c r="C843" s="20"/>
      <c r="H843" s="23"/>
    </row>
    <row r="844">
      <c r="C844" s="20"/>
      <c r="H844" s="23"/>
    </row>
    <row r="845">
      <c r="C845" s="20"/>
      <c r="H845" s="23"/>
    </row>
    <row r="846">
      <c r="C846" s="20"/>
      <c r="H846" s="23"/>
    </row>
    <row r="847">
      <c r="C847" s="20"/>
      <c r="H847" s="23"/>
    </row>
    <row r="848">
      <c r="C848" s="20"/>
      <c r="H848" s="23"/>
    </row>
    <row r="849">
      <c r="C849" s="20"/>
      <c r="H849" s="23"/>
    </row>
    <row r="850">
      <c r="C850" s="20"/>
      <c r="H850" s="23"/>
    </row>
    <row r="851">
      <c r="C851" s="20"/>
      <c r="H851" s="23"/>
    </row>
    <row r="852">
      <c r="C852" s="20"/>
      <c r="H852" s="23"/>
    </row>
    <row r="853">
      <c r="C853" s="20"/>
      <c r="H853" s="23"/>
    </row>
    <row r="854">
      <c r="C854" s="20"/>
      <c r="H854" s="23"/>
    </row>
    <row r="855">
      <c r="C855" s="20"/>
      <c r="H855" s="23"/>
    </row>
    <row r="856">
      <c r="C856" s="20"/>
      <c r="H856" s="23"/>
    </row>
    <row r="857">
      <c r="C857" s="20"/>
      <c r="H857" s="23"/>
    </row>
    <row r="858">
      <c r="C858" s="20"/>
      <c r="H858" s="23"/>
    </row>
    <row r="859">
      <c r="C859" s="20"/>
      <c r="H859" s="23"/>
    </row>
    <row r="860">
      <c r="C860" s="20"/>
      <c r="H860" s="23"/>
    </row>
    <row r="861">
      <c r="C861" s="20"/>
      <c r="H861" s="23"/>
    </row>
    <row r="862">
      <c r="C862" s="20"/>
      <c r="H862" s="23"/>
    </row>
    <row r="863">
      <c r="C863" s="20"/>
      <c r="H863" s="23"/>
    </row>
    <row r="864">
      <c r="C864" s="20"/>
      <c r="H864" s="23"/>
    </row>
    <row r="865">
      <c r="C865" s="20"/>
      <c r="H865" s="23"/>
    </row>
    <row r="866">
      <c r="C866" s="20"/>
      <c r="H866" s="23"/>
    </row>
    <row r="867">
      <c r="C867" s="20"/>
      <c r="H867" s="23"/>
    </row>
    <row r="868">
      <c r="C868" s="20"/>
      <c r="H868" s="23"/>
    </row>
    <row r="869">
      <c r="C869" s="20"/>
      <c r="H869" s="23"/>
    </row>
    <row r="870">
      <c r="C870" s="20"/>
      <c r="H870" s="23"/>
    </row>
    <row r="871">
      <c r="C871" s="20"/>
      <c r="H871" s="23"/>
    </row>
    <row r="872">
      <c r="C872" s="20"/>
      <c r="H872" s="23"/>
    </row>
    <row r="873">
      <c r="C873" s="20"/>
      <c r="H873" s="23"/>
    </row>
    <row r="874">
      <c r="C874" s="20"/>
      <c r="H874" s="23"/>
    </row>
    <row r="875">
      <c r="C875" s="20"/>
      <c r="H875" s="23"/>
    </row>
    <row r="876">
      <c r="C876" s="20"/>
      <c r="H876" s="23"/>
    </row>
    <row r="877">
      <c r="C877" s="20"/>
      <c r="H877" s="23"/>
    </row>
    <row r="878">
      <c r="C878" s="20"/>
      <c r="H878" s="23"/>
    </row>
    <row r="879">
      <c r="C879" s="20"/>
      <c r="H879" s="23"/>
    </row>
    <row r="880">
      <c r="C880" s="20"/>
      <c r="H880" s="23"/>
    </row>
    <row r="881">
      <c r="C881" s="20"/>
      <c r="H881" s="23"/>
    </row>
    <row r="882">
      <c r="C882" s="20"/>
      <c r="H882" s="23"/>
    </row>
    <row r="883">
      <c r="C883" s="20"/>
      <c r="H883" s="23"/>
    </row>
    <row r="884">
      <c r="C884" s="20"/>
      <c r="H884" s="23"/>
    </row>
    <row r="885">
      <c r="C885" s="20"/>
      <c r="H885" s="23"/>
    </row>
    <row r="886">
      <c r="C886" s="20"/>
      <c r="H886" s="23"/>
    </row>
    <row r="887">
      <c r="C887" s="20"/>
      <c r="H887" s="23"/>
    </row>
    <row r="888">
      <c r="C888" s="20"/>
      <c r="H888" s="23"/>
    </row>
    <row r="889">
      <c r="C889" s="20"/>
      <c r="H889" s="23"/>
    </row>
    <row r="890">
      <c r="C890" s="20"/>
      <c r="H890" s="23"/>
    </row>
    <row r="891">
      <c r="C891" s="20"/>
      <c r="H891" s="23"/>
    </row>
    <row r="892">
      <c r="C892" s="20"/>
      <c r="H892" s="23"/>
    </row>
    <row r="893">
      <c r="C893" s="20"/>
      <c r="H893" s="23"/>
    </row>
    <row r="894">
      <c r="C894" s="20"/>
      <c r="H894" s="23"/>
    </row>
    <row r="895">
      <c r="C895" s="20"/>
      <c r="H895" s="23"/>
    </row>
    <row r="896">
      <c r="C896" s="20"/>
      <c r="H896" s="23"/>
    </row>
    <row r="897">
      <c r="C897" s="20"/>
      <c r="H897" s="23"/>
    </row>
    <row r="898">
      <c r="C898" s="20"/>
      <c r="H898" s="23"/>
    </row>
    <row r="899">
      <c r="C899" s="20"/>
      <c r="H899" s="23"/>
    </row>
    <row r="900">
      <c r="C900" s="20"/>
      <c r="H900" s="23"/>
    </row>
    <row r="901">
      <c r="C901" s="20"/>
      <c r="H901" s="23"/>
    </row>
    <row r="902">
      <c r="C902" s="20"/>
      <c r="H902" s="23"/>
    </row>
    <row r="903">
      <c r="C903" s="20"/>
      <c r="H903" s="23"/>
    </row>
    <row r="904">
      <c r="C904" s="20"/>
      <c r="H904" s="23"/>
    </row>
    <row r="905">
      <c r="C905" s="20"/>
      <c r="H905" s="23"/>
    </row>
    <row r="906">
      <c r="C906" s="20"/>
      <c r="H906" s="23"/>
    </row>
    <row r="907">
      <c r="C907" s="20"/>
      <c r="H907" s="23"/>
    </row>
    <row r="908">
      <c r="C908" s="20"/>
      <c r="H908" s="23"/>
    </row>
    <row r="909">
      <c r="C909" s="20"/>
      <c r="H909" s="23"/>
    </row>
    <row r="910">
      <c r="C910" s="20"/>
      <c r="H910" s="23"/>
    </row>
    <row r="911">
      <c r="C911" s="20"/>
      <c r="H911" s="23"/>
    </row>
    <row r="912">
      <c r="C912" s="20"/>
      <c r="H912" s="23"/>
    </row>
    <row r="913">
      <c r="C913" s="20"/>
      <c r="H913" s="23"/>
    </row>
    <row r="914">
      <c r="C914" s="20"/>
      <c r="H914" s="23"/>
    </row>
    <row r="915">
      <c r="C915" s="20"/>
      <c r="H915" s="23"/>
    </row>
    <row r="916">
      <c r="C916" s="20"/>
      <c r="H916" s="23"/>
    </row>
    <row r="917">
      <c r="C917" s="20"/>
      <c r="H917" s="23"/>
    </row>
    <row r="918">
      <c r="C918" s="20"/>
      <c r="H918" s="23"/>
    </row>
    <row r="919">
      <c r="C919" s="20"/>
      <c r="H919" s="23"/>
    </row>
    <row r="920">
      <c r="C920" s="20"/>
      <c r="H920" s="23"/>
    </row>
    <row r="921">
      <c r="C921" s="20"/>
      <c r="H921" s="23"/>
    </row>
    <row r="922">
      <c r="C922" s="20"/>
      <c r="H922" s="23"/>
    </row>
    <row r="923">
      <c r="C923" s="20"/>
      <c r="H923" s="23"/>
    </row>
    <row r="924">
      <c r="C924" s="20"/>
      <c r="H924" s="23"/>
    </row>
    <row r="925">
      <c r="C925" s="20"/>
      <c r="H925" s="23"/>
    </row>
    <row r="926">
      <c r="C926" s="20"/>
      <c r="H926" s="23"/>
    </row>
    <row r="927">
      <c r="C927" s="20"/>
      <c r="H927" s="23"/>
    </row>
    <row r="928">
      <c r="C928" s="20"/>
      <c r="H928" s="23"/>
    </row>
    <row r="929">
      <c r="C929" s="20"/>
      <c r="H929" s="23"/>
    </row>
    <row r="930">
      <c r="C930" s="20"/>
      <c r="H930" s="23"/>
    </row>
    <row r="931">
      <c r="C931" s="20"/>
      <c r="H931" s="23"/>
    </row>
    <row r="932">
      <c r="C932" s="20"/>
      <c r="H932" s="23"/>
    </row>
    <row r="933">
      <c r="C933" s="20"/>
      <c r="H933" s="23"/>
    </row>
    <row r="934">
      <c r="C934" s="20"/>
      <c r="H934" s="23"/>
    </row>
    <row r="935">
      <c r="C935" s="20"/>
      <c r="H935" s="23"/>
    </row>
    <row r="936">
      <c r="C936" s="20"/>
      <c r="H936" s="23"/>
    </row>
    <row r="937">
      <c r="C937" s="20"/>
      <c r="H937" s="23"/>
    </row>
    <row r="938">
      <c r="C938" s="20"/>
      <c r="H938" s="23"/>
    </row>
    <row r="939">
      <c r="C939" s="20"/>
      <c r="H939" s="23"/>
    </row>
    <row r="940">
      <c r="C940" s="20"/>
      <c r="H940" s="23"/>
    </row>
    <row r="941">
      <c r="C941" s="20"/>
      <c r="H941" s="23"/>
    </row>
    <row r="942">
      <c r="C942" s="20"/>
      <c r="H942" s="23"/>
    </row>
    <row r="943">
      <c r="C943" s="20"/>
      <c r="H943" s="23"/>
    </row>
    <row r="944">
      <c r="C944" s="20"/>
      <c r="H944" s="23"/>
    </row>
    <row r="945">
      <c r="C945" s="20"/>
      <c r="H945" s="23"/>
    </row>
    <row r="946">
      <c r="C946" s="20"/>
      <c r="H946" s="23"/>
    </row>
    <row r="947">
      <c r="C947" s="20"/>
      <c r="H947" s="23"/>
    </row>
    <row r="948">
      <c r="C948" s="20"/>
      <c r="H948" s="23"/>
    </row>
    <row r="949">
      <c r="C949" s="20"/>
      <c r="H949" s="23"/>
    </row>
    <row r="950">
      <c r="C950" s="20"/>
      <c r="H950" s="23"/>
    </row>
    <row r="951">
      <c r="C951" s="20"/>
      <c r="H951" s="23"/>
    </row>
    <row r="952">
      <c r="C952" s="20"/>
      <c r="H952" s="23"/>
    </row>
    <row r="953">
      <c r="C953" s="20"/>
      <c r="H953" s="23"/>
    </row>
    <row r="954">
      <c r="C954" s="20"/>
      <c r="H954" s="23"/>
    </row>
    <row r="955">
      <c r="C955" s="20"/>
      <c r="H955" s="23"/>
    </row>
    <row r="956">
      <c r="C956" s="20"/>
      <c r="H956" s="23"/>
    </row>
    <row r="957">
      <c r="C957" s="20"/>
      <c r="H957" s="23"/>
    </row>
    <row r="958">
      <c r="C958" s="20"/>
      <c r="H958" s="23"/>
    </row>
    <row r="959">
      <c r="C959" s="20"/>
      <c r="H959" s="23"/>
    </row>
    <row r="960">
      <c r="C960" s="20"/>
      <c r="H960" s="23"/>
    </row>
    <row r="961">
      <c r="C961" s="20"/>
      <c r="H961" s="23"/>
    </row>
    <row r="962">
      <c r="C962" s="20"/>
      <c r="H962" s="23"/>
    </row>
    <row r="963">
      <c r="C963" s="20"/>
      <c r="H963" s="23"/>
    </row>
    <row r="964">
      <c r="C964" s="20"/>
      <c r="H964" s="23"/>
    </row>
    <row r="965">
      <c r="C965" s="20"/>
      <c r="H965" s="23"/>
    </row>
    <row r="966">
      <c r="C966" s="20"/>
      <c r="H966" s="23"/>
    </row>
    <row r="967">
      <c r="C967" s="20"/>
      <c r="H967" s="23"/>
    </row>
    <row r="968">
      <c r="C968" s="20"/>
      <c r="H968" s="23"/>
    </row>
    <row r="969">
      <c r="C969" s="20"/>
      <c r="H969" s="23"/>
    </row>
    <row r="970">
      <c r="C970" s="20"/>
      <c r="H970" s="23"/>
    </row>
    <row r="971">
      <c r="C971" s="20"/>
      <c r="H971" s="23"/>
    </row>
    <row r="972">
      <c r="C972" s="20"/>
      <c r="H972" s="23"/>
    </row>
    <row r="973">
      <c r="C973" s="20"/>
      <c r="H973" s="23"/>
    </row>
    <row r="974">
      <c r="C974" s="20"/>
      <c r="H974" s="23"/>
    </row>
    <row r="975">
      <c r="C975" s="20"/>
      <c r="H975" s="23"/>
    </row>
    <row r="976">
      <c r="C976" s="20"/>
      <c r="H976" s="23"/>
    </row>
    <row r="977">
      <c r="C977" s="20"/>
      <c r="H977" s="23"/>
    </row>
    <row r="978">
      <c r="C978" s="20"/>
      <c r="H978" s="23"/>
    </row>
    <row r="979">
      <c r="C979" s="20"/>
      <c r="H979" s="23"/>
    </row>
    <row r="980">
      <c r="C980" s="20"/>
      <c r="H980" s="23"/>
    </row>
    <row r="981">
      <c r="C981" s="20"/>
      <c r="H981" s="23"/>
    </row>
    <row r="982">
      <c r="C982" s="20"/>
      <c r="H982" s="23"/>
    </row>
    <row r="983">
      <c r="C983" s="20"/>
      <c r="H983" s="23"/>
    </row>
    <row r="984">
      <c r="C984" s="20"/>
      <c r="H984" s="23"/>
    </row>
    <row r="985">
      <c r="C985" s="20"/>
      <c r="H985" s="23"/>
    </row>
    <row r="986">
      <c r="C986" s="20"/>
      <c r="H986" s="23"/>
    </row>
    <row r="987">
      <c r="C987" s="20"/>
      <c r="H987" s="23"/>
    </row>
    <row r="988">
      <c r="C988" s="20"/>
      <c r="H988" s="23"/>
    </row>
    <row r="989">
      <c r="C989" s="20"/>
      <c r="H989" s="23"/>
    </row>
    <row r="990">
      <c r="C990" s="20"/>
      <c r="H990" s="23"/>
    </row>
    <row r="991">
      <c r="C991" s="20"/>
      <c r="H991" s="23"/>
    </row>
    <row r="992">
      <c r="C992" s="20"/>
      <c r="H992" s="23"/>
    </row>
    <row r="993">
      <c r="C993" s="20"/>
      <c r="H993" s="23"/>
    </row>
    <row r="994">
      <c r="C994" s="20"/>
      <c r="H994" s="23"/>
    </row>
    <row r="995">
      <c r="C995" s="20"/>
      <c r="H995" s="23"/>
    </row>
    <row r="996">
      <c r="C996" s="20"/>
      <c r="H996" s="23"/>
    </row>
    <row r="997">
      <c r="C997" s="20"/>
      <c r="H997" s="23"/>
    </row>
    <row r="998">
      <c r="C998" s="20"/>
      <c r="H998" s="23"/>
    </row>
    <row r="999">
      <c r="C999" s="20"/>
      <c r="H999" s="23"/>
    </row>
    <row r="1000">
      <c r="C1000" s="20"/>
      <c r="H1000" s="23"/>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4" width="17.63"/>
    <col customWidth="1" min="5" max="5" width="22.13"/>
    <col customWidth="1" min="6" max="25" width="8.63"/>
  </cols>
  <sheetData>
    <row r="1" ht="27.75" customHeight="1">
      <c r="A1" s="17" t="s">
        <v>400</v>
      </c>
      <c r="F1" s="21"/>
      <c r="G1" s="21"/>
    </row>
    <row r="2">
      <c r="A2" s="21"/>
      <c r="B2" s="21"/>
      <c r="C2" s="21"/>
      <c r="D2" s="21"/>
      <c r="E2" s="21"/>
      <c r="F2" s="21"/>
      <c r="G2" s="21"/>
    </row>
    <row r="3">
      <c r="A3" s="37" t="s">
        <v>364</v>
      </c>
      <c r="B3" s="47" t="s">
        <v>378</v>
      </c>
      <c r="C3" s="21"/>
      <c r="D3" s="37" t="s">
        <v>71</v>
      </c>
      <c r="E3" s="47" t="s">
        <v>809</v>
      </c>
      <c r="F3" s="21"/>
      <c r="G3" s="21"/>
    </row>
    <row r="4">
      <c r="A4" s="37" t="s">
        <v>70</v>
      </c>
      <c r="B4" s="83">
        <v>46283.6875</v>
      </c>
      <c r="C4" s="21"/>
      <c r="D4" s="37" t="s">
        <v>401</v>
      </c>
      <c r="E4" s="47">
        <v>60.0</v>
      </c>
      <c r="F4" s="21"/>
      <c r="G4" s="21"/>
    </row>
    <row r="5">
      <c r="A5" s="37" t="s">
        <v>69</v>
      </c>
      <c r="B5" s="47" t="s">
        <v>379</v>
      </c>
      <c r="C5" s="21"/>
      <c r="D5" s="37" t="s">
        <v>402</v>
      </c>
      <c r="E5" s="47">
        <v>33.0</v>
      </c>
      <c r="F5" s="21"/>
      <c r="G5" s="21"/>
    </row>
    <row r="6">
      <c r="A6" s="21"/>
      <c r="B6" s="21"/>
      <c r="C6" s="21"/>
      <c r="D6" s="37" t="s">
        <v>403</v>
      </c>
      <c r="E6" s="47" t="s">
        <v>45</v>
      </c>
      <c r="F6" s="21"/>
      <c r="G6" s="21"/>
    </row>
    <row r="7">
      <c r="A7" s="24" t="s">
        <v>50</v>
      </c>
      <c r="B7" s="24" t="s">
        <v>404</v>
      </c>
      <c r="C7" s="24" t="s">
        <v>405</v>
      </c>
      <c r="D7" s="24" t="s">
        <v>406</v>
      </c>
      <c r="E7" s="24" t="s">
        <v>407</v>
      </c>
      <c r="F7" s="21"/>
      <c r="G7" s="21"/>
    </row>
    <row r="8" ht="17.25" customHeight="1">
      <c r="A8" s="47" t="s">
        <v>810</v>
      </c>
      <c r="B8" s="19" t="s">
        <v>811</v>
      </c>
      <c r="C8" s="76" t="str">
        <f>IF($A8="","",IFERROR(VLOOKUP($A8,StudentRegistry!$A:$D,3,FALSE),"Not found"))</f>
        <v>Not found</v>
      </c>
      <c r="D8" s="76" t="str">
        <f>IF($A8="","",IFERROR(IF(VLOOKUP($A8,StudentRegistry!$A:$D,4,FALSE)="Active","Yes","Inactive"),"No"))</f>
        <v>No</v>
      </c>
      <c r="E8" s="21"/>
      <c r="F8" s="21"/>
      <c r="G8" s="21"/>
    </row>
    <row r="9">
      <c r="A9" s="47" t="s">
        <v>812</v>
      </c>
      <c r="B9" s="19" t="s">
        <v>811</v>
      </c>
      <c r="C9" s="76" t="str">
        <f>IF($A9="","",IFERROR(VLOOKUP($A9,StudentRegistry!$A:$D,3,FALSE),"Not found"))</f>
        <v>Not found</v>
      </c>
      <c r="D9" s="76" t="str">
        <f>IF($A9="","",IFERROR(IF(VLOOKUP($A9,StudentRegistry!$A:$D,4,FALSE)="Active","Yes","Inactive"),"No"))</f>
        <v>No</v>
      </c>
      <c r="E9" s="21"/>
      <c r="F9" s="21"/>
      <c r="G9" s="21"/>
    </row>
    <row r="10">
      <c r="A10" s="47" t="s">
        <v>813</v>
      </c>
      <c r="B10" s="19" t="s">
        <v>811</v>
      </c>
      <c r="C10" s="76" t="str">
        <f>IF($A10="","",IFERROR(VLOOKUP($A10,StudentRegistry!$A:$D,3,FALSE),"Not found"))</f>
        <v>Not found</v>
      </c>
      <c r="D10" s="76" t="str">
        <f>IF($A10="","",IFERROR(IF(VLOOKUP($A10,StudentRegistry!$A:$D,4,FALSE)="Active","Yes","Inactive"),"No"))</f>
        <v>No</v>
      </c>
      <c r="E10" s="21"/>
      <c r="F10" s="21"/>
      <c r="G10" s="21"/>
    </row>
    <row r="11">
      <c r="A11" s="47" t="s">
        <v>309</v>
      </c>
      <c r="C11" s="76" t="str">
        <f>IF($A11="","",IFERROR(VLOOKUP($A11,StudentRegistry!$A:$D,3,FALSE),"Not found"))</f>
        <v>Meikokan</v>
      </c>
      <c r="D11" s="76" t="str">
        <f>IF($A11="","",IFERROR(IF(VLOOKUP($A11,StudentRegistry!$A:$D,4,FALSE)="Active","Yes","Inactive"),"No"))</f>
        <v>Yes</v>
      </c>
      <c r="E11" s="21"/>
      <c r="F11" s="21"/>
      <c r="G11" s="21"/>
    </row>
    <row r="12">
      <c r="A12" s="47" t="s">
        <v>310</v>
      </c>
      <c r="C12" s="76" t="str">
        <f>IF($A12="","",IFERROR(VLOOKUP($A12,StudentRegistry!$A:$D,3,FALSE),"Not found"))</f>
        <v>Meikokan</v>
      </c>
      <c r="D12" s="76" t="str">
        <f>IF($A12="","",IFERROR(IF(VLOOKUP($A12,StudentRegistry!$A:$D,4,FALSE)="Active","Yes","Inactive"),"No"))</f>
        <v>Yes</v>
      </c>
      <c r="E12" s="21"/>
      <c r="F12" s="21"/>
      <c r="G12" s="21"/>
    </row>
    <row r="13">
      <c r="A13" s="47" t="s">
        <v>311</v>
      </c>
      <c r="C13" s="76" t="str">
        <f>IF($A13="","",IFERROR(VLOOKUP($A13,StudentRegistry!$A:$D,3,FALSE),"Not found"))</f>
        <v>Meikokan</v>
      </c>
      <c r="D13" s="76" t="str">
        <f>IF($A13="","",IFERROR(IF(VLOOKUP($A13,StudentRegistry!$A:$D,4,FALSE)="Active","Yes","Inactive"),"No"))</f>
        <v>Yes</v>
      </c>
      <c r="E13" s="21"/>
      <c r="F13" s="21"/>
      <c r="G13" s="21"/>
    </row>
    <row r="14">
      <c r="A14" s="47" t="s">
        <v>312</v>
      </c>
      <c r="C14" s="76" t="str">
        <f>IF($A14="","",IFERROR(VLOOKUP($A14,StudentRegistry!$A:$D,3,FALSE),"Not found"))</f>
        <v>Meikokan</v>
      </c>
      <c r="D14" s="76" t="str">
        <f>IF($A14="","",IFERROR(IF(VLOOKUP($A14,StudentRegistry!$A:$D,4,FALSE)="Active","Yes","Inactive"),"No"))</f>
        <v>Yes</v>
      </c>
      <c r="E14" s="21"/>
      <c r="F14" s="21"/>
      <c r="G14" s="21"/>
    </row>
    <row r="15">
      <c r="A15" s="47" t="s">
        <v>814</v>
      </c>
      <c r="B15" s="19" t="s">
        <v>811</v>
      </c>
      <c r="C15" s="76" t="str">
        <f>IF($A15="","",IFERROR(VLOOKUP($A15,StudentRegistry!$A:$D,3,FALSE),"Not found"))</f>
        <v>Not found</v>
      </c>
      <c r="D15" s="76" t="str">
        <f>IF($A15="","",IFERROR(IF(VLOOKUP($A15,StudentRegistry!$A:$D,4,FALSE)="Active","Yes","Inactive"),"No"))</f>
        <v>No</v>
      </c>
      <c r="E15" s="21"/>
      <c r="F15" s="21"/>
      <c r="G15" s="21"/>
    </row>
    <row r="16">
      <c r="A16" s="47" t="s">
        <v>313</v>
      </c>
      <c r="C16" s="76" t="str">
        <f>IF($A16="","",IFERROR(VLOOKUP($A16,StudentRegistry!$A:$D,3,FALSE),"Not found"))</f>
        <v>Meikokan</v>
      </c>
      <c r="D16" s="76" t="str">
        <f>IF($A16="","",IFERROR(IF(VLOOKUP($A16,StudentRegistry!$A:$D,4,FALSE)="Active","Yes","Inactive"),"No"))</f>
        <v>Yes</v>
      </c>
      <c r="E16" s="21"/>
      <c r="F16" s="21"/>
      <c r="G16" s="21"/>
    </row>
    <row r="17">
      <c r="A17" s="47" t="s">
        <v>815</v>
      </c>
      <c r="B17" s="19" t="s">
        <v>811</v>
      </c>
      <c r="C17" s="76" t="str">
        <f>IF($A17="","",IFERROR(VLOOKUP($A17,StudentRegistry!$A:$D,3,FALSE),"Not found"))</f>
        <v>Not found</v>
      </c>
      <c r="D17" s="76" t="str">
        <f>IF($A17="","",IFERROR(IF(VLOOKUP($A17,StudentRegistry!$A:$D,4,FALSE)="Active","Yes","Inactive"),"No"))</f>
        <v>No</v>
      </c>
      <c r="E17" s="21"/>
      <c r="F17" s="21"/>
      <c r="G17" s="21"/>
    </row>
    <row r="18">
      <c r="A18" s="47" t="s">
        <v>816</v>
      </c>
      <c r="B18" s="19" t="s">
        <v>811</v>
      </c>
      <c r="C18" s="76" t="str">
        <f>IF($A18="","",IFERROR(VLOOKUP($A18,StudentRegistry!$A:$D,3,FALSE),"Not found"))</f>
        <v>Not found</v>
      </c>
      <c r="D18" s="76" t="str">
        <f>IF($A18="","",IFERROR(IF(VLOOKUP($A18,StudentRegistry!$A:$D,4,FALSE)="Active","Yes","Inactive"),"No"))</f>
        <v>No</v>
      </c>
      <c r="E18" s="21"/>
      <c r="F18" s="21"/>
      <c r="G18" s="21"/>
    </row>
    <row r="19">
      <c r="A19" s="47" t="s">
        <v>314</v>
      </c>
      <c r="C19" s="76" t="str">
        <f>IF($A19="","",IFERROR(VLOOKUP($A19,StudentRegistry!$A:$D,3,FALSE),"Not found"))</f>
        <v>Meikokan</v>
      </c>
      <c r="D19" s="76" t="str">
        <f>IF($A19="","",IFERROR(IF(VLOOKUP($A19,StudentRegistry!$A:$D,4,FALSE)="Active","Yes","Inactive"),"No"))</f>
        <v>Yes</v>
      </c>
      <c r="E19" s="21"/>
      <c r="F19" s="21"/>
      <c r="G19" s="21"/>
    </row>
    <row r="20">
      <c r="A20" s="47" t="s">
        <v>817</v>
      </c>
      <c r="B20" s="19" t="s">
        <v>811</v>
      </c>
      <c r="C20" s="76" t="str">
        <f>IF($A20="","",IFERROR(VLOOKUP($A20,StudentRegistry!$A:$D,3,FALSE),"Not found"))</f>
        <v>Not found</v>
      </c>
      <c r="D20" s="76" t="str">
        <f>IF($A20="","",IFERROR(IF(VLOOKUP($A20,StudentRegistry!$A:$D,4,FALSE)="Active","Yes","Inactive"),"No"))</f>
        <v>No</v>
      </c>
      <c r="E20" s="21"/>
      <c r="F20" s="21"/>
      <c r="G20" s="21"/>
    </row>
    <row r="21" ht="15.75" customHeight="1">
      <c r="A21" s="47" t="s">
        <v>818</v>
      </c>
      <c r="B21" s="19" t="s">
        <v>811</v>
      </c>
      <c r="C21" s="76" t="str">
        <f>IF($A21="","",IFERROR(VLOOKUP($A21,StudentRegistry!$A:$D,3,FALSE),"Not found"))</f>
        <v>Not found</v>
      </c>
      <c r="D21" s="76" t="str">
        <f>IF($A21="","",IFERROR(IF(VLOOKUP($A21,StudentRegistry!$A:$D,4,FALSE)="Active","Yes","Inactive"),"No"))</f>
        <v>No</v>
      </c>
      <c r="E21" s="21"/>
      <c r="F21" s="21"/>
      <c r="G21" s="21"/>
    </row>
    <row r="22" ht="15.75" customHeight="1">
      <c r="A22" s="47" t="s">
        <v>315</v>
      </c>
      <c r="B22" s="21"/>
      <c r="C22" s="76" t="str">
        <f>IF($A22="","",IFERROR(VLOOKUP($A22,StudentRegistry!$A:$D,3,FALSE),"Not found"))</f>
        <v>Meikokan</v>
      </c>
      <c r="D22" s="76" t="str">
        <f>IF($A22="","",IFERROR(IF(VLOOKUP($A22,StudentRegistry!$A:$D,4,FALSE)="Active","Yes","Inactive"),"No"))</f>
        <v>Yes</v>
      </c>
      <c r="E22" s="21"/>
      <c r="F22" s="21"/>
      <c r="G22" s="21"/>
    </row>
    <row r="23" ht="15.75" customHeight="1">
      <c r="A23" s="47" t="s">
        <v>316</v>
      </c>
      <c r="B23" s="21"/>
      <c r="C23" s="76" t="str">
        <f>IF($A23="","",IFERROR(VLOOKUP($A23,StudentRegistry!$A:$D,3,FALSE),"Not found"))</f>
        <v>Meikokan</v>
      </c>
      <c r="D23" s="76" t="str">
        <f>IF($A23="","",IFERROR(IF(VLOOKUP($A23,StudentRegistry!$A:$D,4,FALSE)="Active","Yes","Inactive"),"No"))</f>
        <v>Yes</v>
      </c>
      <c r="E23" s="21"/>
      <c r="F23" s="21"/>
      <c r="G23" s="21"/>
    </row>
    <row r="24" ht="15.75" customHeight="1">
      <c r="A24" s="47" t="s">
        <v>317</v>
      </c>
      <c r="B24" s="21"/>
      <c r="C24" s="76" t="str">
        <f>IF($A24="","",IFERROR(VLOOKUP($A24,StudentRegistry!$A:$D,3,FALSE),"Not found"))</f>
        <v>Meikokan</v>
      </c>
      <c r="D24" s="76" t="str">
        <f>IF($A24="","",IFERROR(IF(VLOOKUP($A24,StudentRegistry!$A:$D,4,FALSE)="Active","Yes","Inactive"),"No"))</f>
        <v>Yes</v>
      </c>
      <c r="E24" s="21"/>
      <c r="F24" s="21"/>
      <c r="G24" s="21"/>
    </row>
    <row r="25" ht="15.75" customHeight="1">
      <c r="A25" s="47" t="s">
        <v>819</v>
      </c>
      <c r="B25" s="21"/>
      <c r="C25" s="76" t="str">
        <f>IF($A25="","",IFERROR(VLOOKUP($A25,StudentRegistry!$A:$D,3,FALSE),"Not found"))</f>
        <v>Not found</v>
      </c>
      <c r="D25" s="76" t="str">
        <f>IF($A25="","",IFERROR(IF(VLOOKUP($A25,StudentRegistry!$A:$D,4,FALSE)="Active","Yes","Inactive"),"No"))</f>
        <v>No</v>
      </c>
      <c r="E25" s="21"/>
      <c r="F25" s="21"/>
      <c r="G25" s="21"/>
    </row>
    <row r="26" ht="15.75" customHeight="1">
      <c r="A26" s="47" t="s">
        <v>820</v>
      </c>
      <c r="B26" s="19" t="s">
        <v>811</v>
      </c>
      <c r="C26" s="76" t="str">
        <f>IF($A26="","",IFERROR(VLOOKUP($A26,StudentRegistry!$A:$D,3,FALSE),"Not found"))</f>
        <v>Not found</v>
      </c>
      <c r="D26" s="76" t="str">
        <f>IF($A26="","",IFERROR(IF(VLOOKUP($A26,StudentRegistry!$A:$D,4,FALSE)="Active","Yes","Inactive"),"No"))</f>
        <v>No</v>
      </c>
      <c r="E26" s="21"/>
      <c r="F26" s="21"/>
      <c r="G26" s="21"/>
    </row>
    <row r="27" ht="15.75" customHeight="1">
      <c r="A27" s="47" t="s">
        <v>320</v>
      </c>
      <c r="C27" s="76" t="str">
        <f>IF($A27="","",IFERROR(VLOOKUP($A27,StudentRegistry!$A:$D,3,FALSE),"Not found"))</f>
        <v>Meikokan</v>
      </c>
      <c r="D27" s="76" t="str">
        <f>IF($A27="","",IFERROR(IF(VLOOKUP($A27,StudentRegistry!$A:$D,4,FALSE)="Active","Yes","Inactive"),"No"))</f>
        <v>Yes</v>
      </c>
      <c r="E27" s="21"/>
      <c r="F27" s="21"/>
      <c r="G27" s="21"/>
    </row>
    <row r="28" ht="15.75" customHeight="1">
      <c r="A28" s="47" t="s">
        <v>321</v>
      </c>
      <c r="C28" s="76" t="str">
        <f>IF($A28="","",IFERROR(VLOOKUP($A28,StudentRegistry!$A:$D,3,FALSE),"Not found"))</f>
        <v>Meikokan</v>
      </c>
      <c r="D28" s="76" t="str">
        <f>IF($A28="","",IFERROR(IF(VLOOKUP($A28,StudentRegistry!$A:$D,4,FALSE)="Active","Yes","Inactive"),"No"))</f>
        <v>Yes</v>
      </c>
      <c r="E28" s="21"/>
      <c r="F28" s="21"/>
      <c r="G28" s="21"/>
    </row>
    <row r="29" ht="15.75" customHeight="1">
      <c r="A29" s="47" t="s">
        <v>821</v>
      </c>
      <c r="B29" s="19" t="s">
        <v>811</v>
      </c>
      <c r="C29" s="76" t="str">
        <f>IF($A29="","",IFERROR(VLOOKUP($A29,StudentRegistry!$A:$D,3,FALSE),"Not found"))</f>
        <v>Not found</v>
      </c>
      <c r="D29" s="76" t="str">
        <f>IF($A29="","",IFERROR(IF(VLOOKUP($A29,StudentRegistry!$A:$D,4,FALSE)="Active","Yes","Inactive"),"No"))</f>
        <v>No</v>
      </c>
      <c r="E29" s="21"/>
      <c r="F29" s="21"/>
      <c r="G29" s="21"/>
    </row>
    <row r="30" ht="15.75" customHeight="1">
      <c r="A30" s="47" t="s">
        <v>322</v>
      </c>
      <c r="C30" s="76" t="str">
        <f>IF($A30="","",IFERROR(VLOOKUP($A30,StudentRegistry!$A:$D,3,FALSE),"Not found"))</f>
        <v>Meikokan</v>
      </c>
      <c r="D30" s="76" t="str">
        <f>IF($A30="","",IFERROR(IF(VLOOKUP($A30,StudentRegistry!$A:$D,4,FALSE)="Active","Yes","Inactive"),"No"))</f>
        <v>Yes</v>
      </c>
      <c r="E30" s="21"/>
      <c r="F30" s="21"/>
      <c r="G30" s="21"/>
    </row>
    <row r="31" ht="15.75" customHeight="1">
      <c r="A31" s="47" t="s">
        <v>323</v>
      </c>
      <c r="C31" s="76" t="str">
        <f>IF($A31="","",IFERROR(VLOOKUP($A31,StudentRegistry!$A:$D,3,FALSE),"Not found"))</f>
        <v>Meikokan</v>
      </c>
      <c r="D31" s="76" t="str">
        <f>IF($A31="","",IFERROR(IF(VLOOKUP($A31,StudentRegistry!$A:$D,4,FALSE)="Active","Yes","Inactive"),"No"))</f>
        <v>Yes</v>
      </c>
      <c r="E31" s="21"/>
      <c r="F31" s="21"/>
      <c r="G31" s="21"/>
    </row>
    <row r="32" ht="15.75" customHeight="1">
      <c r="A32" s="47" t="s">
        <v>325</v>
      </c>
      <c r="B32" s="21"/>
      <c r="C32" s="76" t="str">
        <f>IF($A32="","",IFERROR(VLOOKUP($A32,StudentRegistry!$A:$D,3,FALSE),"Not found"))</f>
        <v>Meikokan</v>
      </c>
      <c r="D32" s="76" t="str">
        <f>IF($A32="","",IFERROR(IF(VLOOKUP($A32,StudentRegistry!$A:$D,4,FALSE)="Active","Yes","Inactive"),"No"))</f>
        <v>Yes</v>
      </c>
      <c r="E32" s="21"/>
      <c r="F32" s="21"/>
      <c r="G32" s="21"/>
    </row>
    <row r="33" ht="15.75" customHeight="1">
      <c r="A33" s="47" t="s">
        <v>822</v>
      </c>
      <c r="B33" s="19" t="s">
        <v>811</v>
      </c>
      <c r="C33" s="76" t="str">
        <f>IF($A33="","",IFERROR(VLOOKUP($A33,StudentRegistry!$A:$D,3,FALSE),"Not found"))</f>
        <v>Not found</v>
      </c>
      <c r="D33" s="76" t="str">
        <f>IF($A33="","",IFERROR(IF(VLOOKUP($A33,StudentRegistry!$A:$D,4,FALSE)="Active","Yes","Inactive"),"No"))</f>
        <v>No</v>
      </c>
      <c r="E33" s="21"/>
      <c r="F33" s="21"/>
      <c r="G33" s="21"/>
    </row>
    <row r="34" ht="15.75" customHeight="1">
      <c r="A34" s="47" t="s">
        <v>327</v>
      </c>
      <c r="B34" s="21"/>
      <c r="C34" s="76" t="str">
        <f>IF($A34="","",IFERROR(VLOOKUP($A34,StudentRegistry!$A:$D,3,FALSE),"Not found"))</f>
        <v>Meikokan</v>
      </c>
      <c r="D34" s="76" t="str">
        <f>IF($A34="","",IFERROR(IF(VLOOKUP($A34,StudentRegistry!$A:$D,4,FALSE)="Active","Yes","Inactive"),"No"))</f>
        <v>Yes</v>
      </c>
      <c r="E34" s="21"/>
      <c r="F34" s="21"/>
      <c r="G34" s="21"/>
    </row>
    <row r="35" ht="15.75" customHeight="1">
      <c r="A35" s="47" t="s">
        <v>328</v>
      </c>
      <c r="B35" s="21"/>
      <c r="C35" s="76" t="str">
        <f>IF($A35="","",IFERROR(VLOOKUP($A35,StudentRegistry!$A:$D,3,FALSE),"Not found"))</f>
        <v>Meikokan</v>
      </c>
      <c r="D35" s="76" t="str">
        <f>IF($A35="","",IFERROR(IF(VLOOKUP($A35,StudentRegistry!$A:$D,4,FALSE)="Active","Yes","Inactive"),"No"))</f>
        <v>Yes</v>
      </c>
      <c r="E35" s="21"/>
      <c r="F35" s="21"/>
      <c r="G35" s="21"/>
    </row>
    <row r="36" ht="15.75" customHeight="1">
      <c r="A36" s="47" t="s">
        <v>330</v>
      </c>
      <c r="C36" s="76" t="str">
        <f>IF($A36="","",IFERROR(VLOOKUP($A36,StudentRegistry!$A:$D,3,FALSE),"Not found"))</f>
        <v>Meikokan</v>
      </c>
      <c r="D36" s="76" t="str">
        <f>IF($A36="","",IFERROR(IF(VLOOKUP($A36,StudentRegistry!$A:$D,4,FALSE)="Active","Yes","Inactive"),"No"))</f>
        <v>Yes</v>
      </c>
      <c r="E36" s="21"/>
      <c r="F36" s="21"/>
      <c r="G36" s="21"/>
    </row>
    <row r="37" ht="15.75" customHeight="1">
      <c r="A37" s="47" t="s">
        <v>331</v>
      </c>
      <c r="B37" s="21"/>
      <c r="C37" s="76" t="str">
        <f>IF($A37="","",IFERROR(VLOOKUP($A37,StudentRegistry!$A:$D,3,FALSE),"Not found"))</f>
        <v>Meikokan</v>
      </c>
      <c r="D37" s="76" t="str">
        <f>IF($A37="","",IFERROR(IF(VLOOKUP($A37,StudentRegistry!$A:$D,4,FALSE)="Active","Yes","Inactive"),"No"))</f>
        <v>Yes</v>
      </c>
      <c r="E37" s="21"/>
      <c r="F37" s="21"/>
      <c r="G37" s="21"/>
    </row>
    <row r="38" ht="15.75" customHeight="1">
      <c r="A38" s="47" t="s">
        <v>332</v>
      </c>
      <c r="B38" s="21"/>
      <c r="C38" s="76" t="str">
        <f>IF($A38="","",IFERROR(VLOOKUP($A38,StudentRegistry!$A:$D,3,FALSE),"Not found"))</f>
        <v>Meikokan</v>
      </c>
      <c r="D38" s="76" t="str">
        <f>IF($A38="","",IFERROR(IF(VLOOKUP($A38,StudentRegistry!$A:$D,4,FALSE)="Active","Yes","Inactive"),"No"))</f>
        <v>Yes</v>
      </c>
      <c r="E38" s="21"/>
      <c r="F38" s="21"/>
      <c r="G38" s="21"/>
    </row>
    <row r="39" ht="15.75" customHeight="1">
      <c r="A39" s="47" t="s">
        <v>335</v>
      </c>
      <c r="C39" s="76" t="str">
        <f>IF($A39="","",IFERROR(VLOOKUP($A39,StudentRegistry!$A:$D,3,FALSE),"Not found"))</f>
        <v>Meikokan</v>
      </c>
      <c r="D39" s="76" t="str">
        <f>IF($A39="","",IFERROR(IF(VLOOKUP($A39,StudentRegistry!$A:$D,4,FALSE)="Active","Yes","Inactive"),"No"))</f>
        <v>Yes</v>
      </c>
      <c r="E39" s="21"/>
      <c r="F39" s="21"/>
      <c r="G39" s="21"/>
    </row>
    <row r="40" ht="15.75" customHeight="1">
      <c r="A40" s="47" t="s">
        <v>823</v>
      </c>
      <c r="B40" s="19" t="s">
        <v>811</v>
      </c>
      <c r="C40" s="76" t="str">
        <f>IF($A40="","",IFERROR(VLOOKUP($A40,StudentRegistry!$A:$D,3,FALSE),"Not found"))</f>
        <v>Not found</v>
      </c>
      <c r="D40" s="76" t="str">
        <f>IF($A40="","",IFERROR(IF(VLOOKUP($A40,StudentRegistry!$A:$D,4,FALSE)="Active","Yes","Inactive"),"No"))</f>
        <v>No</v>
      </c>
      <c r="E40" s="21"/>
      <c r="F40" s="21"/>
      <c r="G40" s="21"/>
    </row>
    <row r="41" ht="15.75" customHeight="1">
      <c r="A41" s="47"/>
      <c r="B41" s="21"/>
      <c r="C41" s="76" t="str">
        <f>IF($A41="","",IFERROR(VLOOKUP($A41,StudentRegistry!$A:$D,3,FALSE),"Not found"))</f>
        <v/>
      </c>
      <c r="D41" s="76" t="str">
        <f>IF($A41="","",IFERROR(IF(VLOOKUP($A41,StudentRegistry!$A:$D,4,FALSE)="Active","Yes","Inactive"),"No"))</f>
        <v/>
      </c>
      <c r="E41" s="21"/>
      <c r="F41" s="21"/>
      <c r="G41" s="21"/>
    </row>
    <row r="42" ht="15.75" customHeight="1">
      <c r="A42" s="47"/>
      <c r="B42" s="21"/>
      <c r="C42" s="76" t="str">
        <f>IF($A42="","",IFERROR(VLOOKUP($A42,StudentRegistry!$A:$D,3,FALSE),"Not found"))</f>
        <v/>
      </c>
      <c r="D42" s="76" t="str">
        <f>IF($A42="","",IFERROR(IF(VLOOKUP($A42,StudentRegistry!$A:$D,4,FALSE)="Active","Yes","Inactive"),"No"))</f>
        <v/>
      </c>
      <c r="E42" s="21"/>
      <c r="F42" s="21"/>
      <c r="G42" s="21"/>
    </row>
    <row r="43" ht="15.75" customHeight="1">
      <c r="A43" s="47"/>
      <c r="C43" s="76" t="str">
        <f>IF($A43="","",IFERROR(VLOOKUP($A43,StudentRegistry!$A:$D,3,FALSE),"Not found"))</f>
        <v/>
      </c>
      <c r="D43" s="76" t="str">
        <f>IF($A43="","",IFERROR(IF(VLOOKUP($A43,StudentRegistry!$A:$D,4,FALSE)="Active","Yes","Inactive"),"No"))</f>
        <v/>
      </c>
      <c r="E43" s="21"/>
      <c r="F43" s="21"/>
      <c r="G43" s="21"/>
    </row>
    <row r="44" ht="15.75" customHeight="1">
      <c r="A44" s="47"/>
      <c r="B44" s="21"/>
      <c r="C44" s="76" t="str">
        <f>IF($A44="","",IFERROR(VLOOKUP($A44,StudentRegistry!$A:$D,3,FALSE),"Not found"))</f>
        <v/>
      </c>
      <c r="D44" s="76" t="str">
        <f>IF($A44="","",IFERROR(IF(VLOOKUP($A44,StudentRegistry!$A:$D,4,FALSE)="Active","Yes","Inactive"),"No"))</f>
        <v/>
      </c>
      <c r="E44" s="21"/>
      <c r="F44" s="21"/>
      <c r="G44" s="21"/>
    </row>
    <row r="45" ht="15.75" customHeight="1">
      <c r="A45" s="47"/>
      <c r="B45" s="21"/>
      <c r="C45" s="76" t="str">
        <f>IF($A45="","",IFERROR(VLOOKUP($A45,StudentRegistry!$A:$D,3,FALSE),"Not found"))</f>
        <v/>
      </c>
      <c r="D45" s="76" t="str">
        <f>IF($A45="","",IFERROR(IF(VLOOKUP($A45,StudentRegistry!$A:$D,4,FALSE)="Active","Yes","Inactive"),"No"))</f>
        <v/>
      </c>
      <c r="E45" s="21"/>
      <c r="F45" s="21"/>
      <c r="G45" s="21"/>
    </row>
    <row r="46" ht="15.75" customHeight="1">
      <c r="A46" s="47"/>
      <c r="B46" s="21"/>
      <c r="C46" s="76" t="str">
        <f>IF($A46="","",IFERROR(VLOOKUP($A46,StudentRegistry!$A:$D,3,FALSE),"Not found"))</f>
        <v/>
      </c>
      <c r="D46" s="76" t="str">
        <f>IF($A46="","",IFERROR(IF(VLOOKUP($A46,StudentRegistry!$A:$D,4,FALSE)="Active","Yes","Inactive"),"No"))</f>
        <v/>
      </c>
      <c r="E46" s="21"/>
      <c r="F46" s="21"/>
      <c r="G46" s="21"/>
    </row>
    <row r="47" ht="15.75" customHeight="1">
      <c r="A47" s="47"/>
      <c r="B47" s="21"/>
      <c r="C47" s="76" t="str">
        <f>IF($A47="","",IFERROR(VLOOKUP($A47,StudentRegistry!$A:$D,3,FALSE),"Not found"))</f>
        <v/>
      </c>
      <c r="D47" s="76" t="str">
        <f>IF($A47="","",IFERROR(IF(VLOOKUP($A47,StudentRegistry!$A:$D,4,FALSE)="Active","Yes","Inactive"),"No"))</f>
        <v/>
      </c>
      <c r="E47" s="21"/>
      <c r="F47" s="21"/>
      <c r="G47" s="21"/>
    </row>
    <row r="48" ht="15.75" customHeight="1">
      <c r="A48" s="47"/>
      <c r="B48" s="21"/>
      <c r="C48" s="76" t="str">
        <f>IF($A48="","",IFERROR(VLOOKUP($A48,StudentRegistry!$A:$D,3,FALSE),"Not found"))</f>
        <v/>
      </c>
      <c r="D48" s="76" t="str">
        <f>IF($A48="","",IFERROR(IF(VLOOKUP($A48,StudentRegistry!$A:$D,4,FALSE)="Active","Yes","Inactive"),"No"))</f>
        <v/>
      </c>
      <c r="E48" s="21"/>
      <c r="F48" s="21"/>
      <c r="G48" s="21"/>
    </row>
    <row r="49" ht="15.75" customHeight="1">
      <c r="A49" s="47"/>
      <c r="B49" s="21"/>
      <c r="C49" s="76" t="str">
        <f>IF($A49="","",IFERROR(VLOOKUP($A49,StudentRegistry!$A:$D,3,FALSE),"Not found"))</f>
        <v/>
      </c>
      <c r="D49" s="76" t="str">
        <f>IF($A49="","",IFERROR(IF(VLOOKUP($A49,StudentRegistry!$A:$D,4,FALSE)="Active","Yes","Inactive"),"No"))</f>
        <v/>
      </c>
      <c r="E49" s="21"/>
      <c r="F49" s="21"/>
      <c r="G49" s="21"/>
    </row>
    <row r="50" ht="15.75" customHeight="1">
      <c r="A50" s="47"/>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4" width="17.63"/>
    <col customWidth="1" min="5" max="5" width="23.38"/>
    <col customWidth="1" min="6" max="25" width="8.63"/>
  </cols>
  <sheetData>
    <row r="1" ht="27.75" customHeight="1">
      <c r="A1" s="17" t="s">
        <v>400</v>
      </c>
      <c r="F1" s="21"/>
      <c r="G1" s="21"/>
    </row>
    <row r="2">
      <c r="A2" s="21"/>
      <c r="B2" s="21"/>
      <c r="C2" s="21"/>
      <c r="D2" s="21"/>
      <c r="E2" s="21"/>
      <c r="F2" s="21"/>
      <c r="G2" s="21"/>
    </row>
    <row r="3">
      <c r="A3" s="37" t="s">
        <v>364</v>
      </c>
      <c r="B3" s="47" t="s">
        <v>371</v>
      </c>
      <c r="C3" s="21"/>
      <c r="D3" s="37" t="s">
        <v>71</v>
      </c>
      <c r="E3" s="47" t="s">
        <v>824</v>
      </c>
      <c r="F3" s="21"/>
      <c r="G3" s="21"/>
    </row>
    <row r="4">
      <c r="A4" s="37" t="s">
        <v>70</v>
      </c>
      <c r="B4" s="84">
        <v>46275.33333333333</v>
      </c>
      <c r="C4" s="21"/>
      <c r="D4" s="37" t="s">
        <v>401</v>
      </c>
      <c r="E4" s="85">
        <v>34.0</v>
      </c>
      <c r="F4" s="21"/>
      <c r="G4" s="21"/>
    </row>
    <row r="5">
      <c r="A5" s="37" t="s">
        <v>69</v>
      </c>
      <c r="B5" s="47" t="s">
        <v>74</v>
      </c>
      <c r="C5" s="21"/>
      <c r="D5" s="37" t="s">
        <v>402</v>
      </c>
      <c r="E5" s="85">
        <v>34.0</v>
      </c>
      <c r="F5" s="21"/>
      <c r="G5" s="21"/>
    </row>
    <row r="6">
      <c r="A6" s="21"/>
      <c r="B6" s="21"/>
      <c r="C6" s="21"/>
      <c r="D6" s="37" t="s">
        <v>403</v>
      </c>
      <c r="E6" s="47" t="s">
        <v>43</v>
      </c>
      <c r="F6" s="21"/>
      <c r="G6" s="21"/>
    </row>
    <row r="7">
      <c r="A7" s="24" t="s">
        <v>50</v>
      </c>
      <c r="B7" s="24" t="s">
        <v>404</v>
      </c>
      <c r="C7" s="24" t="s">
        <v>405</v>
      </c>
      <c r="D7" s="24" t="s">
        <v>406</v>
      </c>
      <c r="E7" s="24" t="s">
        <v>407</v>
      </c>
      <c r="F7" s="21"/>
      <c r="G7" s="21"/>
    </row>
    <row r="8">
      <c r="A8" s="47" t="s">
        <v>825</v>
      </c>
      <c r="B8" s="19" t="s">
        <v>826</v>
      </c>
      <c r="C8" s="76" t="str">
        <f>IF($A8="","",IFERROR(VLOOKUP($A8,StudentRegistry!$A:$D,3,FALSE),"Not found"))</f>
        <v>Not found</v>
      </c>
      <c r="D8" s="76" t="str">
        <f>IF($A8="","",IFERROR(IF(VLOOKUP($A8,StudentRegistry!$A:$D,4,FALSE)="Active","Yes","Inactive"),"No"))</f>
        <v>No</v>
      </c>
      <c r="E8" s="21"/>
      <c r="F8" s="21"/>
      <c r="G8" s="21"/>
    </row>
    <row r="9">
      <c r="A9" s="47" t="s">
        <v>247</v>
      </c>
      <c r="B9" s="19" t="s">
        <v>826</v>
      </c>
      <c r="C9" s="76" t="str">
        <f>IF($A9="","",IFERROR(VLOOKUP($A9,StudentRegistry!$A:$D,3,FALSE),"Not found"))</f>
        <v>Dorm D</v>
      </c>
      <c r="D9" s="76" t="str">
        <f>IF($A9="","",IFERROR(IF(VLOOKUP($A9,StudentRegistry!$A:$D,4,FALSE)="Active","Yes","Inactive"),"No"))</f>
        <v>Yes</v>
      </c>
      <c r="E9" s="21"/>
      <c r="F9" s="21"/>
      <c r="G9" s="21"/>
    </row>
    <row r="10">
      <c r="A10" s="47" t="s">
        <v>81</v>
      </c>
      <c r="B10" s="19" t="s">
        <v>826</v>
      </c>
      <c r="C10" s="76" t="str">
        <f>IF($A10="","",IFERROR(VLOOKUP($A10,StudentRegistry!$A:$D,3,FALSE),"Not found"))</f>
        <v>Dorm D</v>
      </c>
      <c r="D10" s="76" t="str">
        <f>IF($A10="","",IFERROR(IF(VLOOKUP($A10,StudentRegistry!$A:$D,4,FALSE)="Active","Yes","Inactive"),"No"))</f>
        <v>Yes</v>
      </c>
      <c r="E10" s="21"/>
      <c r="F10" s="21"/>
      <c r="G10" s="21"/>
    </row>
    <row r="11">
      <c r="A11" s="47" t="s">
        <v>242</v>
      </c>
      <c r="B11" s="19" t="s">
        <v>826</v>
      </c>
      <c r="C11" s="76" t="str">
        <f>IF($A11="","",IFERROR(VLOOKUP($A11,StudentRegistry!$A:$D,3,FALSE),"Not found"))</f>
        <v>Dorm D</v>
      </c>
      <c r="D11" s="76" t="str">
        <f>IF($A11="","",IFERROR(IF(VLOOKUP($A11,StudentRegistry!$A:$D,4,FALSE)="Active","Yes","Inactive"),"No"))</f>
        <v>Yes</v>
      </c>
      <c r="E11" s="21"/>
      <c r="F11" s="21"/>
      <c r="G11" s="21"/>
    </row>
    <row r="12">
      <c r="A12" s="47" t="s">
        <v>254</v>
      </c>
      <c r="B12" s="19" t="s">
        <v>826</v>
      </c>
      <c r="C12" s="76" t="str">
        <f>IF($A12="","",IFERROR(VLOOKUP($A12,StudentRegistry!$A:$D,3,FALSE),"Not found"))</f>
        <v>Dorm D</v>
      </c>
      <c r="D12" s="76" t="str">
        <f>IF($A12="","",IFERROR(IF(VLOOKUP($A12,StudentRegistry!$A:$D,4,FALSE)="Active","Yes","Inactive"),"No"))</f>
        <v>Yes</v>
      </c>
      <c r="E12" s="21"/>
      <c r="F12" s="21"/>
      <c r="G12" s="21"/>
    </row>
    <row r="13">
      <c r="A13" s="47" t="s">
        <v>259</v>
      </c>
      <c r="B13" s="19" t="s">
        <v>826</v>
      </c>
      <c r="C13" s="76" t="str">
        <f>IF($A13="","",IFERROR(VLOOKUP($A13,StudentRegistry!$A:$D,3,FALSE),"Not found"))</f>
        <v>Dorm D</v>
      </c>
      <c r="D13" s="76" t="str">
        <f>IF($A13="","",IFERROR(IF(VLOOKUP($A13,StudentRegistry!$A:$D,4,FALSE)="Active","Yes","Inactive"),"No"))</f>
        <v>Yes</v>
      </c>
      <c r="E13" s="21"/>
      <c r="F13" s="21"/>
      <c r="G13" s="21"/>
    </row>
    <row r="14">
      <c r="A14" s="47" t="s">
        <v>235</v>
      </c>
      <c r="B14" s="19" t="s">
        <v>826</v>
      </c>
      <c r="C14" s="76" t="str">
        <f>IF($A14="","",IFERROR(VLOOKUP($A14,StudentRegistry!$A:$D,3,FALSE),"Not found"))</f>
        <v>Dorm D</v>
      </c>
      <c r="D14" s="76" t="str">
        <f>IF($A14="","",IFERROR(IF(VLOOKUP($A14,StudentRegistry!$A:$D,4,FALSE)="Active","Yes","Inactive"),"No"))</f>
        <v>Yes</v>
      </c>
      <c r="E14" s="21"/>
      <c r="F14" s="21"/>
      <c r="G14" s="21"/>
    </row>
    <row r="15">
      <c r="A15" s="47" t="s">
        <v>95</v>
      </c>
      <c r="B15" s="19" t="s">
        <v>826</v>
      </c>
      <c r="C15" s="76" t="str">
        <f>IF($A15="","",IFERROR(VLOOKUP($A15,StudentRegistry!$A:$D,3,FALSE),"Not found"))</f>
        <v>Dorm D</v>
      </c>
      <c r="D15" s="76" t="str">
        <f>IF($A15="","",IFERROR(IF(VLOOKUP($A15,StudentRegistry!$A:$D,4,FALSE)="Active","Yes","Inactive"),"No"))</f>
        <v>Yes</v>
      </c>
      <c r="E15" s="21"/>
      <c r="F15" s="21"/>
      <c r="G15" s="21"/>
    </row>
    <row r="16">
      <c r="A16" s="47" t="s">
        <v>249</v>
      </c>
      <c r="B16" s="19" t="s">
        <v>826</v>
      </c>
      <c r="C16" s="76" t="str">
        <f>IF($A16="","",IFERROR(VLOOKUP($A16,StudentRegistry!$A:$D,3,FALSE),"Not found"))</f>
        <v>Dorm D</v>
      </c>
      <c r="D16" s="76" t="str">
        <f>IF($A16="","",IFERROR(IF(VLOOKUP($A16,StudentRegistry!$A:$D,4,FALSE)="Active","Yes","Inactive"),"No"))</f>
        <v>Yes</v>
      </c>
      <c r="E16" s="21"/>
      <c r="F16" s="21"/>
      <c r="G16" s="21"/>
    </row>
    <row r="17">
      <c r="A17" s="47" t="s">
        <v>252</v>
      </c>
      <c r="B17" s="19" t="s">
        <v>826</v>
      </c>
      <c r="C17" s="76" t="str">
        <f>IF($A17="","",IFERROR(VLOOKUP($A17,StudentRegistry!$A:$D,3,FALSE),"Not found"))</f>
        <v>Dorm D</v>
      </c>
      <c r="D17" s="76" t="str">
        <f>IF($A17="","",IFERROR(IF(VLOOKUP($A17,StudentRegistry!$A:$D,4,FALSE)="Active","Yes","Inactive"),"No"))</f>
        <v>Yes</v>
      </c>
      <c r="E17" s="21"/>
      <c r="F17" s="21"/>
      <c r="G17" s="21"/>
    </row>
    <row r="18">
      <c r="A18" s="47" t="s">
        <v>256</v>
      </c>
      <c r="B18" s="19" t="s">
        <v>826</v>
      </c>
      <c r="C18" s="76" t="str">
        <f>IF($A18="","",IFERROR(VLOOKUP($A18,StudentRegistry!$A:$D,3,FALSE),"Not found"))</f>
        <v>Dorm D</v>
      </c>
      <c r="D18" s="76" t="str">
        <f>IF($A18="","",IFERROR(IF(VLOOKUP($A18,StudentRegistry!$A:$D,4,FALSE)="Active","Yes","Inactive"),"No"))</f>
        <v>Yes</v>
      </c>
      <c r="E18" s="21"/>
      <c r="F18" s="21"/>
      <c r="G18" s="21"/>
    </row>
    <row r="19">
      <c r="A19" s="47" t="s">
        <v>232</v>
      </c>
      <c r="B19" s="19" t="s">
        <v>826</v>
      </c>
      <c r="C19" s="76" t="str">
        <f>IF($A19="","",IFERROR(VLOOKUP($A19,StudentRegistry!$A:$D,3,FALSE),"Not found"))</f>
        <v>Dorm D</v>
      </c>
      <c r="D19" s="76" t="str">
        <f>IF($A19="","",IFERROR(IF(VLOOKUP($A19,StudentRegistry!$A:$D,4,FALSE)="Active","Yes","Inactive"),"No"))</f>
        <v>Yes</v>
      </c>
      <c r="E19" s="21"/>
      <c r="F19" s="21"/>
      <c r="G19" s="21"/>
    </row>
    <row r="20">
      <c r="A20" s="47" t="s">
        <v>238</v>
      </c>
      <c r="B20" s="19" t="s">
        <v>826</v>
      </c>
      <c r="C20" s="76" t="str">
        <f>IF($A20="","",IFERROR(VLOOKUP($A20,StudentRegistry!$A:$D,3,FALSE),"Not found"))</f>
        <v>Dorm D</v>
      </c>
      <c r="D20" s="76" t="str">
        <f>IF($A20="","",IFERROR(IF(VLOOKUP($A20,StudentRegistry!$A:$D,4,FALSE)="Active","Yes","Inactive"),"No"))</f>
        <v>Yes</v>
      </c>
      <c r="E20" s="21"/>
      <c r="F20" s="21"/>
      <c r="G20" s="21"/>
    </row>
    <row r="21" ht="15.75" customHeight="1">
      <c r="A21" s="47" t="s">
        <v>266</v>
      </c>
      <c r="B21" s="19" t="s">
        <v>826</v>
      </c>
      <c r="C21" s="76" t="str">
        <f>IF($A21="","",IFERROR(VLOOKUP($A21,StudentRegistry!$A:$D,3,FALSE),"Not found"))</f>
        <v>Dorm D</v>
      </c>
      <c r="D21" s="76" t="str">
        <f>IF($A21="","",IFERROR(IF(VLOOKUP($A21,StudentRegistry!$A:$D,4,FALSE)="Active","Yes","Inactive"),"No"))</f>
        <v>Yes</v>
      </c>
      <c r="E21" s="21"/>
      <c r="F21" s="21"/>
      <c r="G21" s="21"/>
    </row>
    <row r="22" ht="15.75" customHeight="1">
      <c r="A22" s="47" t="s">
        <v>245</v>
      </c>
      <c r="B22" s="19" t="s">
        <v>826</v>
      </c>
      <c r="C22" s="76" t="str">
        <f>IF($A22="","",IFERROR(VLOOKUP($A22,StudentRegistry!$A:$D,3,FALSE),"Not found"))</f>
        <v>Dorm D</v>
      </c>
      <c r="D22" s="76" t="str">
        <f>IF($A22="","",IFERROR(IF(VLOOKUP($A22,StudentRegistry!$A:$D,4,FALSE)="Active","Yes","Inactive"),"No"))</f>
        <v>Yes</v>
      </c>
      <c r="E22" s="21"/>
      <c r="F22" s="21"/>
      <c r="G22" s="21"/>
    </row>
    <row r="23" ht="15.75" customHeight="1">
      <c r="A23" s="47" t="s">
        <v>253</v>
      </c>
      <c r="B23" s="19" t="s">
        <v>826</v>
      </c>
      <c r="C23" s="76" t="str">
        <f>IF($A23="","",IFERROR(VLOOKUP($A23,StudentRegistry!$A:$D,3,FALSE),"Not found"))</f>
        <v>Dorm D</v>
      </c>
      <c r="D23" s="76" t="str">
        <f>IF($A23="","",IFERROR(IF(VLOOKUP($A23,StudentRegistry!$A:$D,4,FALSE)="Active","Yes","Inactive"),"No"))</f>
        <v>Yes</v>
      </c>
      <c r="E23" s="21"/>
      <c r="F23" s="21"/>
      <c r="G23" s="21"/>
    </row>
    <row r="24" ht="15.75" customHeight="1">
      <c r="A24" s="47" t="s">
        <v>261</v>
      </c>
      <c r="B24" s="19" t="s">
        <v>826</v>
      </c>
      <c r="C24" s="76" t="str">
        <f>IF($A24="","",IFERROR(VLOOKUP($A24,StudentRegistry!$A:$D,3,FALSE),"Not found"))</f>
        <v>Dorm D</v>
      </c>
      <c r="D24" s="76" t="str">
        <f>IF($A24="","",IFERROR(IF(VLOOKUP($A24,StudentRegistry!$A:$D,4,FALSE)="Active","Yes","Inactive"),"No"))</f>
        <v>Yes</v>
      </c>
      <c r="E24" s="21"/>
      <c r="F24" s="21"/>
      <c r="G24" s="21"/>
    </row>
    <row r="25" ht="15.75" customHeight="1">
      <c r="A25" s="47" t="s">
        <v>99</v>
      </c>
      <c r="B25" s="19" t="s">
        <v>826</v>
      </c>
      <c r="C25" s="76" t="str">
        <f>IF($A25="","",IFERROR(VLOOKUP($A25,StudentRegistry!$A:$D,3,FALSE),"Not found"))</f>
        <v>Dorm D</v>
      </c>
      <c r="D25" s="76" t="str">
        <f>IF($A25="","",IFERROR(IF(VLOOKUP($A25,StudentRegistry!$A:$D,4,FALSE)="Active","Yes","Inactive"),"No"))</f>
        <v>Yes</v>
      </c>
      <c r="E25" s="21"/>
      <c r="F25" s="21"/>
      <c r="G25" s="21"/>
    </row>
    <row r="26" ht="15.75" customHeight="1">
      <c r="A26" s="47" t="s">
        <v>92</v>
      </c>
      <c r="B26" s="19" t="s">
        <v>826</v>
      </c>
      <c r="C26" s="76" t="str">
        <f>IF($A26="","",IFERROR(VLOOKUP($A26,StudentRegistry!$A:$D,3,FALSE),"Not found"))</f>
        <v>Dorm D</v>
      </c>
      <c r="D26" s="76" t="str">
        <f>IF($A26="","",IFERROR(IF(VLOOKUP($A26,StudentRegistry!$A:$D,4,FALSE)="Active","Yes","Inactive"),"No"))</f>
        <v>Yes</v>
      </c>
      <c r="E26" s="21"/>
      <c r="F26" s="21"/>
      <c r="G26" s="21"/>
    </row>
    <row r="27" ht="15.75" customHeight="1">
      <c r="A27" s="47" t="s">
        <v>827</v>
      </c>
      <c r="B27" s="19" t="s">
        <v>826</v>
      </c>
      <c r="C27" s="76" t="str">
        <f>IF($A27="","",IFERROR(VLOOKUP($A27,StudentRegistry!$A:$D,3,FALSE),"Not found"))</f>
        <v>Not found</v>
      </c>
      <c r="D27" s="76" t="str">
        <f>IF($A27="","",IFERROR(IF(VLOOKUP($A27,StudentRegistry!$A:$D,4,FALSE)="Active","Yes","Inactive"),"No"))</f>
        <v>No</v>
      </c>
      <c r="E27" s="21"/>
      <c r="F27" s="21"/>
      <c r="G27" s="21"/>
    </row>
    <row r="28" ht="15.75" customHeight="1">
      <c r="A28" s="47" t="s">
        <v>228</v>
      </c>
      <c r="B28" s="19" t="s">
        <v>826</v>
      </c>
      <c r="C28" s="76" t="str">
        <f>IF($A28="","",IFERROR(VLOOKUP($A28,StudentRegistry!$A:$D,3,FALSE),"Not found"))</f>
        <v>Dorm D</v>
      </c>
      <c r="D28" s="76" t="str">
        <f>IF($A28="","",IFERROR(IF(VLOOKUP($A28,StudentRegistry!$A:$D,4,FALSE)="Active","Yes","Inactive"),"No"))</f>
        <v>Yes</v>
      </c>
      <c r="E28" s="21"/>
      <c r="F28" s="21"/>
      <c r="G28" s="21"/>
    </row>
    <row r="29" ht="15.75" customHeight="1">
      <c r="A29" s="47" t="s">
        <v>90</v>
      </c>
      <c r="B29" s="19" t="s">
        <v>826</v>
      </c>
      <c r="C29" s="76" t="str">
        <f>IF($A29="","",IFERROR(VLOOKUP($A29,StudentRegistry!$A:$D,3,FALSE),"Not found"))</f>
        <v>Dorm D</v>
      </c>
      <c r="D29" s="76" t="str">
        <f>IF($A29="","",IFERROR(IF(VLOOKUP($A29,StudentRegistry!$A:$D,4,FALSE)="Active","Yes","Inactive"),"No"))</f>
        <v>Yes</v>
      </c>
      <c r="E29" s="21"/>
      <c r="F29" s="21"/>
      <c r="G29" s="21"/>
    </row>
    <row r="30" ht="15.75" customHeight="1">
      <c r="A30" s="47" t="s">
        <v>265</v>
      </c>
      <c r="B30" s="19" t="s">
        <v>826</v>
      </c>
      <c r="C30" s="76" t="str">
        <f>IF($A30="","",IFERROR(VLOOKUP($A30,StudentRegistry!$A:$D,3,FALSE),"Not found"))</f>
        <v>Dorm D</v>
      </c>
      <c r="D30" s="76" t="str">
        <f>IF($A30="","",IFERROR(IF(VLOOKUP($A30,StudentRegistry!$A:$D,4,FALSE)="Active","Yes","Inactive"),"No"))</f>
        <v>Yes</v>
      </c>
      <c r="E30" s="21"/>
      <c r="F30" s="21"/>
      <c r="G30" s="21"/>
    </row>
    <row r="31" ht="15.75" customHeight="1">
      <c r="A31" s="47" t="s">
        <v>267</v>
      </c>
      <c r="B31" s="19" t="s">
        <v>826</v>
      </c>
      <c r="C31" s="76" t="str">
        <f>IF($A31="","",IFERROR(VLOOKUP($A31,StudentRegistry!$A:$D,3,FALSE),"Not found"))</f>
        <v>Dorm D</v>
      </c>
      <c r="D31" s="76" t="str">
        <f>IF($A31="","",IFERROR(IF(VLOOKUP($A31,StudentRegistry!$A:$D,4,FALSE)="Active","Yes","Inactive"),"No"))</f>
        <v>Yes</v>
      </c>
      <c r="E31" s="21"/>
      <c r="F31" s="21"/>
      <c r="G31" s="21"/>
    </row>
    <row r="32" ht="15.75" customHeight="1">
      <c r="A32" s="47" t="s">
        <v>248</v>
      </c>
      <c r="B32" s="19" t="s">
        <v>826</v>
      </c>
      <c r="C32" s="76" t="str">
        <f>IF($A32="","",IFERROR(VLOOKUP($A32,StudentRegistry!$A:$D,3,FALSE),"Not found"))</f>
        <v>Dorm D</v>
      </c>
      <c r="D32" s="76" t="str">
        <f>IF($A32="","",IFERROR(IF(VLOOKUP($A32,StudentRegistry!$A:$D,4,FALSE)="Active","Yes","Inactive"),"No"))</f>
        <v>Yes</v>
      </c>
      <c r="E32" s="21"/>
      <c r="F32" s="21"/>
      <c r="G32" s="21"/>
    </row>
    <row r="33" ht="15.75" customHeight="1">
      <c r="A33" s="47" t="s">
        <v>221</v>
      </c>
      <c r="B33" s="19" t="s">
        <v>826</v>
      </c>
      <c r="C33" s="76" t="str">
        <f>IF($A33="","",IFERROR(VLOOKUP($A33,StudentRegistry!$A:$D,3,FALSE),"Not found"))</f>
        <v>Dorm D</v>
      </c>
      <c r="D33" s="76" t="str">
        <f>IF($A33="","",IFERROR(IF(VLOOKUP($A33,StudentRegistry!$A:$D,4,FALSE)="Active","Yes","Inactive"),"No"))</f>
        <v>Yes</v>
      </c>
      <c r="E33" s="21"/>
      <c r="F33" s="21"/>
      <c r="G33" s="21"/>
    </row>
    <row r="34" ht="15.75" customHeight="1">
      <c r="A34" s="47" t="s">
        <v>233</v>
      </c>
      <c r="B34" s="19" t="s">
        <v>826</v>
      </c>
      <c r="C34" s="76" t="str">
        <f>IF($A34="","",IFERROR(VLOOKUP($A34,StudentRegistry!$A:$D,3,FALSE),"Not found"))</f>
        <v>Dorm D</v>
      </c>
      <c r="D34" s="76" t="str">
        <f>IF($A34="","",IFERROR(IF(VLOOKUP($A34,StudentRegistry!$A:$D,4,FALSE)="Active","Yes","Inactive"),"No"))</f>
        <v>Yes</v>
      </c>
      <c r="E34" s="21"/>
      <c r="F34" s="21"/>
      <c r="G34" s="21"/>
    </row>
    <row r="35" ht="15.75" customHeight="1">
      <c r="A35" s="47" t="s">
        <v>241</v>
      </c>
      <c r="B35" s="19" t="s">
        <v>826</v>
      </c>
      <c r="C35" s="76" t="str">
        <f>IF($A35="","",IFERROR(VLOOKUP($A35,StudentRegistry!$A:$D,3,FALSE),"Not found"))</f>
        <v>Dorm D</v>
      </c>
      <c r="D35" s="76" t="str">
        <f>IF($A35="","",IFERROR(IF(VLOOKUP($A35,StudentRegistry!$A:$D,4,FALSE)="Active","Yes","Inactive"),"No"))</f>
        <v>Yes</v>
      </c>
      <c r="E35" s="21"/>
      <c r="F35" s="21"/>
      <c r="G35" s="21"/>
    </row>
    <row r="36" ht="15.75" customHeight="1">
      <c r="A36" s="47" t="s">
        <v>236</v>
      </c>
      <c r="B36" s="19" t="s">
        <v>826</v>
      </c>
      <c r="C36" s="76" t="str">
        <f>IF($A36="","",IFERROR(VLOOKUP($A36,StudentRegistry!$A:$D,3,FALSE),"Not found"))</f>
        <v>Dorm D</v>
      </c>
      <c r="D36" s="76" t="str">
        <f>IF($A36="","",IFERROR(IF(VLOOKUP($A36,StudentRegistry!$A:$D,4,FALSE)="Active","Yes","Inactive"),"No"))</f>
        <v>Yes</v>
      </c>
      <c r="E36" s="21"/>
      <c r="F36" s="21"/>
      <c r="G36" s="21"/>
    </row>
    <row r="37" ht="15.75" customHeight="1">
      <c r="A37" s="47" t="s">
        <v>257</v>
      </c>
      <c r="B37" s="19" t="s">
        <v>826</v>
      </c>
      <c r="C37" s="76" t="str">
        <f>IF($A37="","",IFERROR(VLOOKUP($A37,StudentRegistry!$A:$D,3,FALSE),"Not found"))</f>
        <v>Dorm D</v>
      </c>
      <c r="D37" s="76" t="str">
        <f>IF($A37="","",IFERROR(IF(VLOOKUP($A37,StudentRegistry!$A:$D,4,FALSE)="Active","Yes","Inactive"),"No"))</f>
        <v>Yes</v>
      </c>
      <c r="E37" s="21"/>
      <c r="F37" s="21"/>
      <c r="G37" s="21"/>
    </row>
    <row r="38" ht="15.75" customHeight="1">
      <c r="A38" s="47" t="s">
        <v>240</v>
      </c>
      <c r="B38" s="19" t="s">
        <v>826</v>
      </c>
      <c r="C38" s="76" t="str">
        <f>IF($A38="","",IFERROR(VLOOKUP($A38,StudentRegistry!$A:$D,3,FALSE),"Not found"))</f>
        <v>Dorm D</v>
      </c>
      <c r="D38" s="76" t="str">
        <f>IF($A38="","",IFERROR(IF(VLOOKUP($A38,StudentRegistry!$A:$D,4,FALSE)="Active","Yes","Inactive"),"No"))</f>
        <v>Yes</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7.63"/>
    <col customWidth="1" min="2" max="2" width="27.63"/>
    <col customWidth="1" min="3" max="5" width="17.63"/>
    <col customWidth="1" min="6" max="25" width="8.63"/>
  </cols>
  <sheetData>
    <row r="1" ht="27.75" customHeight="1">
      <c r="A1" s="17" t="s">
        <v>400</v>
      </c>
      <c r="F1" s="21"/>
      <c r="G1" s="21"/>
    </row>
    <row r="2">
      <c r="A2" s="21"/>
      <c r="B2" s="21"/>
      <c r="C2" s="21"/>
      <c r="D2" s="21"/>
      <c r="E2" s="21"/>
      <c r="F2" s="21"/>
      <c r="G2" s="21"/>
    </row>
    <row r="3">
      <c r="A3" s="37" t="s">
        <v>364</v>
      </c>
      <c r="B3" s="47" t="s">
        <v>372</v>
      </c>
      <c r="C3" s="21"/>
      <c r="D3" s="37" t="s">
        <v>71</v>
      </c>
      <c r="E3" s="47" t="s">
        <v>828</v>
      </c>
      <c r="F3" s="21"/>
      <c r="G3" s="21"/>
    </row>
    <row r="4">
      <c r="A4" s="37" t="s">
        <v>70</v>
      </c>
      <c r="B4" s="84">
        <v>46276.0</v>
      </c>
      <c r="C4" s="21"/>
      <c r="D4" s="37" t="s">
        <v>401</v>
      </c>
      <c r="E4" s="85">
        <v>20.0</v>
      </c>
      <c r="F4" s="21"/>
      <c r="G4" s="21"/>
    </row>
    <row r="5">
      <c r="A5" s="37" t="s">
        <v>69</v>
      </c>
      <c r="B5" s="47" t="s">
        <v>373</v>
      </c>
      <c r="C5" s="21"/>
      <c r="D5" s="37" t="s">
        <v>402</v>
      </c>
      <c r="E5" s="85">
        <v>22.0</v>
      </c>
      <c r="F5" s="21"/>
      <c r="G5" s="21"/>
    </row>
    <row r="6">
      <c r="A6" s="21"/>
      <c r="B6" s="21"/>
      <c r="C6" s="21"/>
      <c r="D6" s="37" t="s">
        <v>403</v>
      </c>
      <c r="E6" s="47" t="s">
        <v>44</v>
      </c>
      <c r="F6" s="21"/>
      <c r="G6" s="21"/>
    </row>
    <row r="7">
      <c r="A7" s="24" t="s">
        <v>50</v>
      </c>
      <c r="B7" s="24" t="s">
        <v>404</v>
      </c>
      <c r="C7" s="24" t="s">
        <v>405</v>
      </c>
      <c r="D7" s="24" t="s">
        <v>406</v>
      </c>
      <c r="E7" s="24" t="s">
        <v>407</v>
      </c>
      <c r="F7" s="21"/>
      <c r="G7" s="21"/>
    </row>
    <row r="8">
      <c r="A8" s="47" t="s">
        <v>303</v>
      </c>
      <c r="B8" s="19" t="s">
        <v>829</v>
      </c>
      <c r="C8" s="76" t="str">
        <f>IF($A8="","",IFERROR(VLOOKUP($A8,StudentRegistry!$A:$D,3,FALSE),"Not found"))</f>
        <v>Dorm E</v>
      </c>
      <c r="D8" s="76" t="str">
        <f>IF($A8="","",IFERROR(IF(VLOOKUP($A8,StudentRegistry!$A:$D,4,FALSE)="Active","Yes","Inactive"),"No"))</f>
        <v>Yes</v>
      </c>
      <c r="E8" s="21"/>
      <c r="F8" s="21"/>
      <c r="G8" s="21"/>
    </row>
    <row r="9">
      <c r="A9" s="47" t="s">
        <v>280</v>
      </c>
      <c r="B9" s="19" t="s">
        <v>829</v>
      </c>
      <c r="C9" s="76" t="str">
        <f>IF($A9="","",IFERROR(VLOOKUP($A9,StudentRegistry!$A:$D,3,FALSE),"Not found"))</f>
        <v>Dorm E</v>
      </c>
      <c r="D9" s="76" t="str">
        <f>IF($A9="","",IFERROR(IF(VLOOKUP($A9,StudentRegistry!$A:$D,4,FALSE)="Active","Yes","Inactive"),"No"))</f>
        <v>Yes</v>
      </c>
      <c r="E9" s="21"/>
      <c r="F9" s="21"/>
      <c r="G9" s="21"/>
    </row>
    <row r="10">
      <c r="A10" s="47" t="s">
        <v>275</v>
      </c>
      <c r="B10" s="19" t="s">
        <v>829</v>
      </c>
      <c r="C10" s="76" t="str">
        <f>IF($A10="","",IFERROR(VLOOKUP($A10,StudentRegistry!$A:$D,3,FALSE),"Not found"))</f>
        <v>Dorm E</v>
      </c>
      <c r="D10" s="76" t="str">
        <f>IF($A10="","",IFERROR(IF(VLOOKUP($A10,StudentRegistry!$A:$D,4,FALSE)="Active","Yes","Inactive"),"No"))</f>
        <v>Yes</v>
      </c>
      <c r="E10" s="21"/>
      <c r="F10" s="21"/>
      <c r="G10" s="21"/>
    </row>
    <row r="11">
      <c r="A11" s="47" t="s">
        <v>292</v>
      </c>
      <c r="B11" s="19" t="s">
        <v>829</v>
      </c>
      <c r="C11" s="76" t="str">
        <f>IF($A11="","",IFERROR(VLOOKUP($A11,StudentRegistry!$A:$D,3,FALSE),"Not found"))</f>
        <v>Dorm E</v>
      </c>
      <c r="D11" s="76" t="str">
        <f>IF($A11="","",IFERROR(IF(VLOOKUP($A11,StudentRegistry!$A:$D,4,FALSE)="Active","Yes","Inactive"),"No"))</f>
        <v>Yes</v>
      </c>
      <c r="E11" s="21"/>
      <c r="F11" s="21"/>
      <c r="G11" s="21"/>
    </row>
    <row r="12">
      <c r="A12" s="47" t="s">
        <v>297</v>
      </c>
      <c r="B12" s="19" t="s">
        <v>829</v>
      </c>
      <c r="C12" s="76" t="str">
        <f>IF($A12="","",IFERROR(VLOOKUP($A12,StudentRegistry!$A:$D,3,FALSE),"Not found"))</f>
        <v>Dorm E</v>
      </c>
      <c r="D12" s="76" t="str">
        <f>IF($A12="","",IFERROR(IF(VLOOKUP($A12,StudentRegistry!$A:$D,4,FALSE)="Active","Yes","Inactive"),"No"))</f>
        <v>Yes</v>
      </c>
      <c r="E12" s="21"/>
      <c r="F12" s="21"/>
      <c r="G12" s="21"/>
    </row>
    <row r="13">
      <c r="A13" s="47" t="s">
        <v>294</v>
      </c>
      <c r="B13" s="19" t="s">
        <v>829</v>
      </c>
      <c r="C13" s="76" t="str">
        <f>IF($A13="","",IFERROR(VLOOKUP($A13,StudentRegistry!$A:$D,3,FALSE),"Not found"))</f>
        <v>Dorm E</v>
      </c>
      <c r="D13" s="76" t="str">
        <f>IF($A13="","",IFERROR(IF(VLOOKUP($A13,StudentRegistry!$A:$D,4,FALSE)="Active","Yes","Inactive"),"No"))</f>
        <v>Yes</v>
      </c>
      <c r="E13" s="21"/>
      <c r="F13" s="21"/>
      <c r="G13" s="21"/>
    </row>
    <row r="14">
      <c r="A14" s="47" t="s">
        <v>302</v>
      </c>
      <c r="B14" s="19" t="s">
        <v>829</v>
      </c>
      <c r="C14" s="76" t="str">
        <f>IF($A14="","",IFERROR(VLOOKUP($A14,StudentRegistry!$A:$D,3,FALSE),"Not found"))</f>
        <v>Dorm E</v>
      </c>
      <c r="D14" s="76" t="str">
        <f>IF($A14="","",IFERROR(IF(VLOOKUP($A14,StudentRegistry!$A:$D,4,FALSE)="Active","Yes","Inactive"),"No"))</f>
        <v>Yes</v>
      </c>
      <c r="E14" s="21"/>
      <c r="F14" s="21"/>
      <c r="G14" s="21"/>
    </row>
    <row r="15">
      <c r="A15" s="47" t="s">
        <v>293</v>
      </c>
      <c r="B15" s="19" t="s">
        <v>829</v>
      </c>
      <c r="C15" s="76" t="str">
        <f>IF($A15="","",IFERROR(VLOOKUP($A15,StudentRegistry!$A:$D,3,FALSE),"Not found"))</f>
        <v>Dorm E</v>
      </c>
      <c r="D15" s="76" t="str">
        <f>IF($A15="","",IFERROR(IF(VLOOKUP($A15,StudentRegistry!$A:$D,4,FALSE)="Active","Yes","Inactive"),"No"))</f>
        <v>Yes</v>
      </c>
      <c r="E15" s="21"/>
      <c r="F15" s="21"/>
      <c r="G15" s="21"/>
    </row>
    <row r="16">
      <c r="A16" s="47" t="s">
        <v>282</v>
      </c>
      <c r="B16" s="19" t="s">
        <v>829</v>
      </c>
      <c r="C16" s="76" t="str">
        <f>IF($A16="","",IFERROR(VLOOKUP($A16,StudentRegistry!$A:$D,3,FALSE),"Not found"))</f>
        <v>Dorm E</v>
      </c>
      <c r="D16" s="76" t="str">
        <f>IF($A16="","",IFERROR(IF(VLOOKUP($A16,StudentRegistry!$A:$D,4,FALSE)="Active","Yes","Inactive"),"No"))</f>
        <v>Yes</v>
      </c>
      <c r="E16" s="21"/>
      <c r="F16" s="21"/>
      <c r="G16" s="21"/>
    </row>
    <row r="17">
      <c r="A17" s="47" t="s">
        <v>286</v>
      </c>
      <c r="B17" s="19" t="s">
        <v>829</v>
      </c>
      <c r="C17" s="76" t="str">
        <f>IF($A17="","",IFERROR(VLOOKUP($A17,StudentRegistry!$A:$D,3,FALSE),"Not found"))</f>
        <v>Dorm E</v>
      </c>
      <c r="D17" s="76" t="str">
        <f>IF($A17="","",IFERROR(IF(VLOOKUP($A17,StudentRegistry!$A:$D,4,FALSE)="Active","Yes","Inactive"),"No"))</f>
        <v>Yes</v>
      </c>
      <c r="E17" s="21"/>
      <c r="F17" s="21"/>
      <c r="G17" s="21"/>
    </row>
    <row r="18">
      <c r="A18" s="47" t="s">
        <v>283</v>
      </c>
      <c r="B18" s="19" t="s">
        <v>829</v>
      </c>
      <c r="C18" s="76" t="str">
        <f>IF($A18="","",IFERROR(VLOOKUP($A18,StudentRegistry!$A:$D,3,FALSE),"Not found"))</f>
        <v>Dorm E</v>
      </c>
      <c r="D18" s="76" t="str">
        <f>IF($A18="","",IFERROR(IF(VLOOKUP($A18,StudentRegistry!$A:$D,4,FALSE)="Active","Yes","Inactive"),"No"))</f>
        <v>Yes</v>
      </c>
      <c r="E18" s="21"/>
      <c r="F18" s="21"/>
      <c r="G18" s="21"/>
    </row>
    <row r="19">
      <c r="A19" s="47" t="s">
        <v>291</v>
      </c>
      <c r="B19" s="19" t="s">
        <v>829</v>
      </c>
      <c r="C19" s="76" t="str">
        <f>IF($A19="","",IFERROR(VLOOKUP($A19,StudentRegistry!$A:$D,3,FALSE),"Not found"))</f>
        <v>Dorm E</v>
      </c>
      <c r="D19" s="76" t="str">
        <f>IF($A19="","",IFERROR(IF(VLOOKUP($A19,StudentRegistry!$A:$D,4,FALSE)="Active","Yes","Inactive"),"No"))</f>
        <v>Yes</v>
      </c>
      <c r="E19" s="21"/>
      <c r="F19" s="21"/>
      <c r="G19" s="21"/>
    </row>
    <row r="20" ht="15.75" customHeight="1">
      <c r="A20" s="47" t="s">
        <v>296</v>
      </c>
      <c r="B20" s="19" t="s">
        <v>829</v>
      </c>
      <c r="C20" s="76" t="str">
        <f>IF($A20="","",IFERROR(VLOOKUP($A20,StudentRegistry!$A:$D,3,FALSE),"Not found"))</f>
        <v>Dorm E</v>
      </c>
      <c r="D20" s="76" t="str">
        <f>IF($A20="","",IFERROR(IF(VLOOKUP($A20,StudentRegistry!$A:$D,4,FALSE)="Active","Yes","Inactive"),"No"))</f>
        <v>Yes</v>
      </c>
      <c r="E20" s="21"/>
      <c r="F20" s="21"/>
      <c r="G20" s="21"/>
    </row>
    <row r="21" ht="15.75" customHeight="1">
      <c r="A21" s="47" t="s">
        <v>284</v>
      </c>
      <c r="B21" s="19" t="s">
        <v>829</v>
      </c>
      <c r="C21" s="76" t="str">
        <f>IF($A21="","",IFERROR(VLOOKUP($A21,StudentRegistry!$A:$D,3,FALSE),"Not found"))</f>
        <v>Dorm E</v>
      </c>
      <c r="D21" s="76" t="str">
        <f>IF($A21="","",IFERROR(IF(VLOOKUP($A21,StudentRegistry!$A:$D,4,FALSE)="Active","Yes","Inactive"),"No"))</f>
        <v>Yes</v>
      </c>
      <c r="E21" s="21"/>
      <c r="F21" s="21"/>
      <c r="G21" s="21"/>
    </row>
    <row r="22" ht="15.75" customHeight="1">
      <c r="A22" s="47" t="s">
        <v>299</v>
      </c>
      <c r="B22" s="19" t="s">
        <v>829</v>
      </c>
      <c r="C22" s="76" t="str">
        <f>IF($A22="","",IFERROR(VLOOKUP($A22,StudentRegistry!$A:$D,3,FALSE),"Not found"))</f>
        <v>Dorm E</v>
      </c>
      <c r="D22" s="76" t="str">
        <f>IF($A22="","",IFERROR(IF(VLOOKUP($A22,StudentRegistry!$A:$D,4,FALSE)="Active","Yes","Inactive"),"No"))</f>
        <v>Yes</v>
      </c>
      <c r="E22" s="21"/>
      <c r="F22" s="21"/>
      <c r="G22" s="21"/>
    </row>
    <row r="23" ht="15.75" customHeight="1">
      <c r="A23" s="47" t="s">
        <v>289</v>
      </c>
      <c r="B23" s="19" t="s">
        <v>829</v>
      </c>
      <c r="C23" s="76" t="str">
        <f>IF($A23="","",IFERROR(VLOOKUP($A23,StudentRegistry!$A:$D,3,FALSE),"Not found"))</f>
        <v>Dorm E</v>
      </c>
      <c r="D23" s="76" t="str">
        <f>IF($A23="","",IFERROR(IF(VLOOKUP($A23,StudentRegistry!$A:$D,4,FALSE)="Active","Yes","Inactive"),"No"))</f>
        <v>Yes</v>
      </c>
      <c r="E23" s="21"/>
      <c r="F23" s="21"/>
      <c r="G23" s="21"/>
    </row>
    <row r="24" ht="15.75" customHeight="1">
      <c r="A24" s="47" t="s">
        <v>300</v>
      </c>
      <c r="B24" s="19" t="s">
        <v>829</v>
      </c>
      <c r="C24" s="76" t="str">
        <f>IF($A24="","",IFERROR(VLOOKUP($A24,StudentRegistry!$A:$D,3,FALSE),"Not found"))</f>
        <v>Dorm E</v>
      </c>
      <c r="D24" s="76" t="str">
        <f>IF($A24="","",IFERROR(IF(VLOOKUP($A24,StudentRegistry!$A:$D,4,FALSE)="Active","Yes","Inactive"),"No"))</f>
        <v>Yes</v>
      </c>
      <c r="E24" s="21"/>
      <c r="F24" s="21"/>
      <c r="G24" s="21"/>
    </row>
    <row r="25" ht="15.75" customHeight="1">
      <c r="A25" s="47" t="s">
        <v>272</v>
      </c>
      <c r="B25" s="19" t="s">
        <v>829</v>
      </c>
      <c r="C25" s="76" t="str">
        <f>IF($A25="","",IFERROR(VLOOKUP($A25,StudentRegistry!$A:$D,3,FALSE),"Not found"))</f>
        <v>Dorm E</v>
      </c>
      <c r="D25" s="76" t="str">
        <f>IF($A25="","",IFERROR(IF(VLOOKUP($A25,StudentRegistry!$A:$D,4,FALSE)="Active","Yes","Inactive"),"No"))</f>
        <v>Yes</v>
      </c>
      <c r="E25" s="21"/>
      <c r="F25" s="21"/>
      <c r="G25" s="21"/>
    </row>
    <row r="26" ht="15.75" customHeight="1">
      <c r="A26" s="47" t="s">
        <v>288</v>
      </c>
      <c r="B26" s="19" t="s">
        <v>829</v>
      </c>
      <c r="C26" s="76" t="str">
        <f>IF($A26="","",IFERROR(VLOOKUP($A26,StudentRegistry!$A:$D,3,FALSE),"Not found"))</f>
        <v>Dorm E</v>
      </c>
      <c r="D26" s="76" t="str">
        <f>IF($A26="","",IFERROR(IF(VLOOKUP($A26,StudentRegistry!$A:$D,4,FALSE)="Active","Yes","Inactive"),"No"))</f>
        <v>Yes</v>
      </c>
      <c r="E26" s="21"/>
      <c r="F26" s="21"/>
      <c r="G26" s="21"/>
    </row>
    <row r="27" ht="15.75" customHeight="1">
      <c r="A27" s="47" t="s">
        <v>278</v>
      </c>
      <c r="B27" s="19" t="s">
        <v>829</v>
      </c>
      <c r="C27" s="76" t="str">
        <f>IF($A27="","",IFERROR(VLOOKUP($A27,StudentRegistry!$A:$D,3,FALSE),"Not found"))</f>
        <v>Dorm E</v>
      </c>
      <c r="D27" s="76" t="str">
        <f>IF($A27="","",IFERROR(IF(VLOOKUP($A27,StudentRegistry!$A:$D,4,FALSE)="Active","Yes","Inactive"),"No"))</f>
        <v>Yes</v>
      </c>
      <c r="E27" s="21"/>
      <c r="F27" s="21"/>
      <c r="G27" s="21"/>
    </row>
    <row r="28" ht="15.75" customHeight="1">
      <c r="A28" s="47" t="s">
        <v>271</v>
      </c>
      <c r="B28" s="19" t="s">
        <v>829</v>
      </c>
      <c r="C28" s="76" t="str">
        <f>IF($A28="","",IFERROR(VLOOKUP($A28,StudentRegistry!$A:$D,3,FALSE),"Not found"))</f>
        <v>Dorm E</v>
      </c>
      <c r="D28" s="76" t="str">
        <f>IF($A28="","",IFERROR(IF(VLOOKUP($A28,StudentRegistry!$A:$D,4,FALSE)="Active","Yes","Inactive"),"No"))</f>
        <v>Yes</v>
      </c>
      <c r="E28" s="21"/>
      <c r="F28" s="21"/>
      <c r="G28" s="21"/>
    </row>
    <row r="29" ht="15.75" customHeight="1">
      <c r="A29" s="74"/>
      <c r="B29" s="21"/>
      <c r="C29" s="76" t="str">
        <f>IF($A29="","",IFERROR(VLOOKUP($A29,StudentRegistry!$A:$D,3,FALSE),"Not found"))</f>
        <v/>
      </c>
      <c r="D29" s="76" t="str">
        <f>IF($A29="","",IFERROR(IF(VLOOKUP($A29,StudentRegistry!$A:$D,4,FALSE)="Active","Yes","Inactive"),"No"))</f>
        <v/>
      </c>
      <c r="E29" s="21"/>
      <c r="F29" s="21"/>
      <c r="G29" s="21"/>
    </row>
    <row r="30" ht="15.75" customHeight="1">
      <c r="A30" s="74"/>
      <c r="B30" s="21"/>
      <c r="C30" s="76" t="str">
        <f>IF($A30="","",IFERROR(VLOOKUP($A30,StudentRegistry!$A:$D,3,FALSE),"Not found"))</f>
        <v/>
      </c>
      <c r="D30" s="76" t="str">
        <f>IF($A30="","",IFERROR(IF(VLOOKUP($A30,StudentRegistry!$A:$D,4,FALSE)="Active","Yes","Inactive"),"No"))</f>
        <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C100" s="77" t="str">
        <f>IF($A100="","",IFERROR(VLOOKUP($A100,StudentRegistry!$A:$D,3,FALSE),"Not found"))</f>
        <v/>
      </c>
      <c r="D100" s="77" t="str">
        <f>IF($A100="","",IFERROR(IF(VLOOKUP($A100,StudentRegistry!$A:$D,4,FALSE)="Active","Yes","Inactive"),"No"))</f>
        <v/>
      </c>
      <c r="E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45"/>
      <c r="C300" s="77" t="str">
        <f>IF($A300="","",IFERROR(VLOOKUP($A300,StudentRegistry!$A:$D,3,FALSE),"Not found"))</f>
        <v/>
      </c>
      <c r="D300" s="77" t="str">
        <f>IF($A300="","",IFERROR(IF(VLOOKUP($A300,StudentRegistry!$A:$D,4,FALSE)="Active","Yes","Inactive"),"No"))</f>
        <v/>
      </c>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7.63"/>
    <col customWidth="1" min="2" max="2" width="26.63"/>
    <col customWidth="1" min="3" max="5" width="17.63"/>
    <col customWidth="1" min="6" max="25" width="8.63"/>
  </cols>
  <sheetData>
    <row r="1" ht="27.75" customHeight="1">
      <c r="A1" s="17" t="s">
        <v>400</v>
      </c>
      <c r="F1" s="21"/>
      <c r="G1" s="21"/>
    </row>
    <row r="2">
      <c r="A2" s="21"/>
      <c r="B2" s="21"/>
      <c r="C2" s="21"/>
      <c r="D2" s="21"/>
      <c r="E2" s="21"/>
      <c r="F2" s="21"/>
      <c r="G2" s="21"/>
    </row>
    <row r="3">
      <c r="A3" s="37" t="s">
        <v>364</v>
      </c>
      <c r="B3" s="47" t="s">
        <v>375</v>
      </c>
      <c r="C3" s="21"/>
      <c r="D3" s="37" t="s">
        <v>71</v>
      </c>
      <c r="E3" s="47" t="s">
        <v>830</v>
      </c>
      <c r="F3" s="21"/>
      <c r="G3" s="21"/>
    </row>
    <row r="4">
      <c r="A4" s="37" t="s">
        <v>70</v>
      </c>
      <c r="B4" s="84">
        <v>46275.0</v>
      </c>
      <c r="C4" s="21"/>
      <c r="D4" s="37" t="s">
        <v>401</v>
      </c>
      <c r="E4" s="85">
        <v>64.0</v>
      </c>
      <c r="F4" s="21"/>
      <c r="G4" s="21"/>
    </row>
    <row r="5">
      <c r="A5" s="37" t="s">
        <v>69</v>
      </c>
      <c r="B5" s="47" t="s">
        <v>376</v>
      </c>
      <c r="C5" s="21"/>
      <c r="D5" s="37" t="s">
        <v>402</v>
      </c>
      <c r="E5" s="47">
        <v>37.0</v>
      </c>
      <c r="F5" s="21"/>
      <c r="G5" s="21"/>
    </row>
    <row r="6">
      <c r="A6" s="21"/>
      <c r="B6" s="21"/>
      <c r="C6" s="21"/>
      <c r="D6" s="37" t="s">
        <v>403</v>
      </c>
      <c r="E6" s="47" t="s">
        <v>41</v>
      </c>
      <c r="F6" s="21"/>
      <c r="G6" s="21"/>
    </row>
    <row r="7">
      <c r="A7" s="24" t="s">
        <v>50</v>
      </c>
      <c r="B7" s="24" t="s">
        <v>404</v>
      </c>
      <c r="C7" s="24" t="s">
        <v>405</v>
      </c>
      <c r="D7" s="24" t="s">
        <v>406</v>
      </c>
      <c r="E7" s="24" t="s">
        <v>407</v>
      </c>
      <c r="F7" s="21"/>
      <c r="G7" s="21"/>
    </row>
    <row r="8">
      <c r="A8" s="47" t="s">
        <v>126</v>
      </c>
      <c r="B8" s="19" t="s">
        <v>831</v>
      </c>
      <c r="C8" s="76" t="str">
        <f>IF($A8="","",IFERROR(VLOOKUP($A8,StudentRegistry!$A:$D,3,FALSE),"Not found"))</f>
        <v>Dorm A</v>
      </c>
      <c r="D8" s="76" t="str">
        <f>IF($A8="","",IFERROR(IF(VLOOKUP($A8,StudentRegistry!$A:$D,4,FALSE)="Active","Yes","Inactive"),"No"))</f>
        <v>Yes</v>
      </c>
      <c r="E8" s="21"/>
      <c r="F8" s="21"/>
      <c r="G8" s="21"/>
    </row>
    <row r="9">
      <c r="A9" s="47" t="s">
        <v>144</v>
      </c>
      <c r="B9" s="19" t="s">
        <v>831</v>
      </c>
      <c r="C9" s="76" t="str">
        <f>IF($A9="","",IFERROR(VLOOKUP($A9,StudentRegistry!$A:$D,3,FALSE),"Not found"))</f>
        <v>Dorm A</v>
      </c>
      <c r="D9" s="76" t="str">
        <f>IF($A9="","",IFERROR(IF(VLOOKUP($A9,StudentRegistry!$A:$D,4,FALSE)="Active","Yes","Inactive"),"No"))</f>
        <v>Yes</v>
      </c>
      <c r="E9" s="21"/>
      <c r="F9" s="21"/>
      <c r="G9" s="21"/>
    </row>
    <row r="10">
      <c r="A10" s="47" t="s">
        <v>151</v>
      </c>
      <c r="B10" s="19" t="s">
        <v>831</v>
      </c>
      <c r="C10" s="76" t="str">
        <f>IF($A10="","",IFERROR(VLOOKUP($A10,StudentRegistry!$A:$D,3,FALSE),"Not found"))</f>
        <v>Dorm A</v>
      </c>
      <c r="D10" s="76" t="str">
        <f>IF($A10="","",IFERROR(IF(VLOOKUP($A10,StudentRegistry!$A:$D,4,FALSE)="Active","Yes","Inactive"),"No"))</f>
        <v>Yes</v>
      </c>
      <c r="E10" s="21"/>
      <c r="F10" s="21"/>
      <c r="G10" s="21"/>
    </row>
    <row r="11">
      <c r="A11" s="47" t="s">
        <v>124</v>
      </c>
      <c r="B11" s="19" t="s">
        <v>831</v>
      </c>
      <c r="C11" s="76" t="str">
        <f>IF($A11="","",IFERROR(VLOOKUP($A11,StudentRegistry!$A:$D,3,FALSE),"Not found"))</f>
        <v>Dorm A</v>
      </c>
      <c r="D11" s="76" t="str">
        <f>IF($A11="","",IFERROR(IF(VLOOKUP($A11,StudentRegistry!$A:$D,4,FALSE)="Active","Yes","Inactive"),"No"))</f>
        <v>Yes</v>
      </c>
      <c r="E11" s="21"/>
      <c r="F11" s="21"/>
      <c r="G11" s="21"/>
    </row>
    <row r="12">
      <c r="A12" s="47" t="s">
        <v>832</v>
      </c>
      <c r="B12" s="19" t="s">
        <v>831</v>
      </c>
      <c r="C12" s="76" t="str">
        <f>IF($A12="","",IFERROR(VLOOKUP($A12,StudentRegistry!$A:$D,3,FALSE),"Not found"))</f>
        <v>Not found</v>
      </c>
      <c r="D12" s="76" t="str">
        <f>IF($A12="","",IFERROR(IF(VLOOKUP($A12,StudentRegistry!$A:$D,4,FALSE)="Active","Yes","Inactive"),"No"))</f>
        <v>No</v>
      </c>
      <c r="E12" s="21"/>
      <c r="F12" s="21"/>
      <c r="G12" s="21"/>
    </row>
    <row r="13">
      <c r="A13" s="47" t="s">
        <v>167</v>
      </c>
      <c r="B13" s="19" t="s">
        <v>831</v>
      </c>
      <c r="C13" s="76" t="str">
        <f>IF($A13="","",IFERROR(VLOOKUP($A13,StudentRegistry!$A:$D,3,FALSE),"Not found"))</f>
        <v>Dorm A</v>
      </c>
      <c r="D13" s="76" t="str">
        <f>IF($A13="","",IFERROR(IF(VLOOKUP($A13,StudentRegistry!$A:$D,4,FALSE)="Active","Yes","Inactive"),"No"))</f>
        <v>Yes</v>
      </c>
      <c r="E13" s="21"/>
      <c r="F13" s="21"/>
      <c r="G13" s="21"/>
    </row>
    <row r="14">
      <c r="A14" s="47" t="s">
        <v>166</v>
      </c>
      <c r="B14" s="19" t="s">
        <v>831</v>
      </c>
      <c r="C14" s="76" t="str">
        <f>IF($A14="","",IFERROR(VLOOKUP($A14,StudentRegistry!$A:$D,3,FALSE),"Not found"))</f>
        <v>Dorm A</v>
      </c>
      <c r="D14" s="76" t="str">
        <f>IF($A14="","",IFERROR(IF(VLOOKUP($A14,StudentRegistry!$A:$D,4,FALSE)="Active","Yes","Inactive"),"No"))</f>
        <v>Yes</v>
      </c>
      <c r="E14" s="21"/>
      <c r="F14" s="21"/>
      <c r="G14" s="21"/>
    </row>
    <row r="15">
      <c r="A15" s="47" t="s">
        <v>156</v>
      </c>
      <c r="B15" s="19" t="s">
        <v>831</v>
      </c>
      <c r="C15" s="76" t="str">
        <f>IF($A15="","",IFERROR(VLOOKUP($A15,StudentRegistry!$A:$D,3,FALSE),"Not found"))</f>
        <v>Dorm A</v>
      </c>
      <c r="D15" s="76" t="str">
        <f>IF($A15="","",IFERROR(IF(VLOOKUP($A15,StudentRegistry!$A:$D,4,FALSE)="Active","Yes","Inactive"),"No"))</f>
        <v>Yes</v>
      </c>
      <c r="E15" s="21"/>
      <c r="F15" s="21"/>
      <c r="G15" s="21"/>
    </row>
    <row r="16">
      <c r="A16" s="47" t="s">
        <v>133</v>
      </c>
      <c r="B16" s="19" t="s">
        <v>831</v>
      </c>
      <c r="C16" s="76" t="str">
        <f>IF($A16="","",IFERROR(VLOOKUP($A16,StudentRegistry!$A:$D,3,FALSE),"Not found"))</f>
        <v>Dorm A</v>
      </c>
      <c r="D16" s="76" t="str">
        <f>IF($A16="","",IFERROR(IF(VLOOKUP($A16,StudentRegistry!$A:$D,4,FALSE)="Active","Yes","Inactive"),"No"))</f>
        <v>Yes</v>
      </c>
      <c r="E16" s="21"/>
      <c r="F16" s="21"/>
      <c r="G16" s="21"/>
    </row>
    <row r="17">
      <c r="A17" s="47" t="s">
        <v>155</v>
      </c>
      <c r="B17" s="19" t="s">
        <v>831</v>
      </c>
      <c r="C17" s="76" t="str">
        <f>IF($A17="","",IFERROR(VLOOKUP($A17,StudentRegistry!$A:$D,3,FALSE),"Not found"))</f>
        <v>Dorm A</v>
      </c>
      <c r="D17" s="76" t="str">
        <f>IF($A17="","",IFERROR(IF(VLOOKUP($A17,StudentRegistry!$A:$D,4,FALSE)="Active","Yes","Inactive"),"No"))</f>
        <v>Yes</v>
      </c>
      <c r="E17" s="21"/>
      <c r="F17" s="21"/>
      <c r="G17" s="21"/>
    </row>
    <row r="18">
      <c r="A18" s="47" t="s">
        <v>110</v>
      </c>
      <c r="B18" s="19" t="s">
        <v>831</v>
      </c>
      <c r="C18" s="76" t="str">
        <f>IF($A18="","",IFERROR(VLOOKUP($A18,StudentRegistry!$A:$D,3,FALSE),"Not found"))</f>
        <v>Dorm A</v>
      </c>
      <c r="D18" s="76" t="str">
        <f>IF($A18="","",IFERROR(IF(VLOOKUP($A18,StudentRegistry!$A:$D,4,FALSE)="Active","Yes","Inactive"),"No"))</f>
        <v>Yes</v>
      </c>
      <c r="E18" s="21"/>
      <c r="F18" s="21"/>
      <c r="G18" s="21"/>
    </row>
    <row r="19">
      <c r="A19" s="47" t="s">
        <v>833</v>
      </c>
      <c r="B19" s="19" t="s">
        <v>831</v>
      </c>
      <c r="C19" s="76" t="str">
        <f>IF($A19="","",IFERROR(VLOOKUP($A19,StudentRegistry!$A:$D,3,FALSE),"Not found"))</f>
        <v>Not found</v>
      </c>
      <c r="D19" s="76" t="str">
        <f>IF($A19="","",IFERROR(IF(VLOOKUP($A19,StudentRegistry!$A:$D,4,FALSE)="Active","Yes","Inactive"),"No"))</f>
        <v>No</v>
      </c>
      <c r="E19" s="21"/>
      <c r="F19" s="21"/>
      <c r="G19" s="21"/>
    </row>
    <row r="20">
      <c r="A20" s="47" t="s">
        <v>162</v>
      </c>
      <c r="B20" s="19" t="s">
        <v>831</v>
      </c>
      <c r="C20" s="76" t="str">
        <f>IF($A20="","",IFERROR(VLOOKUP($A20,StudentRegistry!$A:$D,3,FALSE),"Not found"))</f>
        <v>Dorm A</v>
      </c>
      <c r="D20" s="76" t="str">
        <f>IF($A20="","",IFERROR(IF(VLOOKUP($A20,StudentRegistry!$A:$D,4,FALSE)="Active","Yes","Inactive"),"No"))</f>
        <v>Yes</v>
      </c>
      <c r="E20" s="21"/>
      <c r="F20" s="21"/>
      <c r="G20" s="21"/>
    </row>
    <row r="21" ht="15.75" customHeight="1">
      <c r="A21" s="47" t="s">
        <v>153</v>
      </c>
      <c r="B21" s="19" t="s">
        <v>831</v>
      </c>
      <c r="C21" s="76" t="str">
        <f>IF($A21="","",IFERROR(VLOOKUP($A21,StudentRegistry!$A:$D,3,FALSE),"Not found"))</f>
        <v>Dorm A</v>
      </c>
      <c r="D21" s="76" t="str">
        <f>IF($A21="","",IFERROR(IF(VLOOKUP($A21,StudentRegistry!$A:$D,4,FALSE)="Active","Yes","Inactive"),"No"))</f>
        <v>Yes</v>
      </c>
      <c r="E21" s="21"/>
      <c r="F21" s="21"/>
      <c r="G21" s="21"/>
    </row>
    <row r="22" ht="15.75" customHeight="1">
      <c r="A22" s="47" t="s">
        <v>139</v>
      </c>
      <c r="B22" s="19" t="s">
        <v>831</v>
      </c>
      <c r="C22" s="76" t="str">
        <f>IF($A22="","",IFERROR(VLOOKUP($A22,StudentRegistry!$A:$D,3,FALSE),"Not found"))</f>
        <v>Dorm A</v>
      </c>
      <c r="D22" s="76" t="str">
        <f>IF($A22="","",IFERROR(IF(VLOOKUP($A22,StudentRegistry!$A:$D,4,FALSE)="Active","Yes","Inactive"),"No"))</f>
        <v>Yes</v>
      </c>
      <c r="E22" s="21"/>
      <c r="F22" s="21"/>
      <c r="G22" s="21"/>
    </row>
    <row r="23" ht="15.75" customHeight="1">
      <c r="A23" s="47" t="s">
        <v>148</v>
      </c>
      <c r="B23" s="19" t="s">
        <v>831</v>
      </c>
      <c r="C23" s="76" t="str">
        <f>IF($A23="","",IFERROR(VLOOKUP($A23,StudentRegistry!$A:$D,3,FALSE),"Not found"))</f>
        <v>Dorm A</v>
      </c>
      <c r="D23" s="76" t="str">
        <f>IF($A23="","",IFERROR(IF(VLOOKUP($A23,StudentRegistry!$A:$D,4,FALSE)="Active","Yes","Inactive"),"No"))</f>
        <v>Yes</v>
      </c>
      <c r="E23" s="21"/>
      <c r="F23" s="21"/>
      <c r="G23" s="21"/>
    </row>
    <row r="24" ht="15.75" customHeight="1">
      <c r="A24" s="47" t="s">
        <v>105</v>
      </c>
      <c r="B24" s="19" t="s">
        <v>831</v>
      </c>
      <c r="C24" s="76" t="str">
        <f>IF($A24="","",IFERROR(VLOOKUP($A24,StudentRegistry!$A:$D,3,FALSE),"Not found"))</f>
        <v>Dorm A</v>
      </c>
      <c r="D24" s="76" t="str">
        <f>IF($A24="","",IFERROR(IF(VLOOKUP($A24,StudentRegistry!$A:$D,4,FALSE)="Active","Yes","Inactive"),"No"))</f>
        <v>Yes</v>
      </c>
      <c r="E24" s="21"/>
      <c r="F24" s="21"/>
      <c r="G24" s="21"/>
    </row>
    <row r="25" ht="15.75" customHeight="1">
      <c r="A25" s="47" t="s">
        <v>145</v>
      </c>
      <c r="B25" s="19" t="s">
        <v>831</v>
      </c>
      <c r="C25" s="76" t="str">
        <f>IF($A25="","",IFERROR(VLOOKUP($A25,StudentRegistry!$A:$D,3,FALSE),"Not found"))</f>
        <v>Dorm A</v>
      </c>
      <c r="D25" s="76" t="str">
        <f>IF($A25="","",IFERROR(IF(VLOOKUP($A25,StudentRegistry!$A:$D,4,FALSE)="Active","Yes","Inactive"),"No"))</f>
        <v>Yes</v>
      </c>
      <c r="E25" s="21"/>
      <c r="F25" s="21"/>
      <c r="G25" s="21"/>
    </row>
    <row r="26" ht="15.75" customHeight="1">
      <c r="A26" s="47" t="s">
        <v>160</v>
      </c>
      <c r="B26" s="19" t="s">
        <v>831</v>
      </c>
      <c r="C26" s="76" t="str">
        <f>IF($A26="","",IFERROR(VLOOKUP($A26,StudentRegistry!$A:$D,3,FALSE),"Not found"))</f>
        <v>Dorm A</v>
      </c>
      <c r="D26" s="76" t="str">
        <f>IF($A26="","",IFERROR(IF(VLOOKUP($A26,StudentRegistry!$A:$D,4,FALSE)="Active","Yes","Inactive"),"No"))</f>
        <v>Yes</v>
      </c>
      <c r="E26" s="21"/>
      <c r="F26" s="21"/>
      <c r="G26" s="21"/>
    </row>
    <row r="27" ht="15.75" customHeight="1">
      <c r="A27" s="47" t="s">
        <v>141</v>
      </c>
      <c r="B27" s="19" t="s">
        <v>831</v>
      </c>
      <c r="C27" s="76" t="str">
        <f>IF($A27="","",IFERROR(VLOOKUP($A27,StudentRegistry!$A:$D,3,FALSE),"Not found"))</f>
        <v>Dorm A</v>
      </c>
      <c r="D27" s="76" t="str">
        <f>IF($A27="","",IFERROR(IF(VLOOKUP($A27,StudentRegistry!$A:$D,4,FALSE)="Active","Yes","Inactive"),"No"))</f>
        <v>Yes</v>
      </c>
      <c r="E27" s="21"/>
      <c r="F27" s="21"/>
      <c r="G27" s="21"/>
    </row>
    <row r="28" ht="15.75" customHeight="1">
      <c r="A28" s="47" t="s">
        <v>143</v>
      </c>
      <c r="B28" s="19" t="s">
        <v>831</v>
      </c>
      <c r="C28" s="76" t="str">
        <f>IF($A28="","",IFERROR(VLOOKUP($A28,StudentRegistry!$A:$D,3,FALSE),"Not found"))</f>
        <v>Dorm A</v>
      </c>
      <c r="D28" s="76" t="str">
        <f>IF($A28="","",IFERROR(IF(VLOOKUP($A28,StudentRegistry!$A:$D,4,FALSE)="Active","Yes","Inactive"),"No"))</f>
        <v>Yes</v>
      </c>
      <c r="E28" s="21"/>
      <c r="F28" s="21"/>
      <c r="G28" s="21"/>
    </row>
    <row r="29" ht="15.75" customHeight="1">
      <c r="A29" s="47" t="s">
        <v>147</v>
      </c>
      <c r="B29" s="19" t="s">
        <v>831</v>
      </c>
      <c r="C29" s="76" t="str">
        <f>IF($A29="","",IFERROR(VLOOKUP($A29,StudentRegistry!$A:$D,3,FALSE),"Not found"))</f>
        <v>Dorm A</v>
      </c>
      <c r="D29" s="76" t="str">
        <f>IF($A29="","",IFERROR(IF(VLOOKUP($A29,StudentRegistry!$A:$D,4,FALSE)="Active","Yes","Inactive"),"No"))</f>
        <v>Yes</v>
      </c>
      <c r="E29" s="21"/>
      <c r="F29" s="21"/>
      <c r="G29" s="21"/>
    </row>
    <row r="30" ht="15.75" customHeight="1">
      <c r="A30" s="47" t="s">
        <v>159</v>
      </c>
      <c r="B30" s="19" t="s">
        <v>831</v>
      </c>
      <c r="C30" s="76" t="str">
        <f>IF($A30="","",IFERROR(VLOOKUP($A30,StudentRegistry!$A:$D,3,FALSE),"Not found"))</f>
        <v>Dorm A</v>
      </c>
      <c r="D30" s="76" t="str">
        <f>IF($A30="","",IFERROR(IF(VLOOKUP($A30,StudentRegistry!$A:$D,4,FALSE)="Active","Yes","Inactive"),"No"))</f>
        <v>Yes</v>
      </c>
      <c r="E30" s="21"/>
      <c r="F30" s="21"/>
      <c r="G30" s="21"/>
    </row>
    <row r="31" ht="15.75" customHeight="1">
      <c r="A31" s="47" t="s">
        <v>152</v>
      </c>
      <c r="B31" s="19" t="s">
        <v>831</v>
      </c>
      <c r="C31" s="76" t="str">
        <f>IF($A31="","",IFERROR(VLOOKUP($A31,StudentRegistry!$A:$D,3,FALSE),"Not found"))</f>
        <v>Dorm A</v>
      </c>
      <c r="D31" s="76" t="str">
        <f>IF($A31="","",IFERROR(IF(VLOOKUP($A31,StudentRegistry!$A:$D,4,FALSE)="Active","Yes","Inactive"),"No"))</f>
        <v>Yes</v>
      </c>
      <c r="E31" s="21"/>
      <c r="F31" s="21"/>
      <c r="G31" s="21"/>
    </row>
    <row r="32" ht="15.75" customHeight="1">
      <c r="A32" s="47" t="s">
        <v>149</v>
      </c>
      <c r="B32" s="19" t="s">
        <v>831</v>
      </c>
      <c r="C32" s="76" t="str">
        <f>IF($A32="","",IFERROR(VLOOKUP($A32,StudentRegistry!$A:$D,3,FALSE),"Not found"))</f>
        <v>Dorm A</v>
      </c>
      <c r="D32" s="76" t="str">
        <f>IF($A32="","",IFERROR(IF(VLOOKUP($A32,StudentRegistry!$A:$D,4,FALSE)="Active","Yes","Inactive"),"No"))</f>
        <v>Yes</v>
      </c>
      <c r="E32" s="21"/>
      <c r="F32" s="21"/>
      <c r="G32" s="21"/>
    </row>
    <row r="33" ht="15.75" customHeight="1">
      <c r="A33" s="47" t="s">
        <v>146</v>
      </c>
      <c r="B33" s="19" t="s">
        <v>831</v>
      </c>
      <c r="C33" s="76" t="str">
        <f>IF($A33="","",IFERROR(VLOOKUP($A33,StudentRegistry!$A:$D,3,FALSE),"Not found"))</f>
        <v>Dorm A</v>
      </c>
      <c r="D33" s="76" t="str">
        <f>IF($A33="","",IFERROR(IF(VLOOKUP($A33,StudentRegistry!$A:$D,4,FALSE)="Active","Yes","Inactive"),"No"))</f>
        <v>Yes</v>
      </c>
      <c r="E33" s="21"/>
      <c r="F33" s="21"/>
      <c r="G33" s="21"/>
    </row>
    <row r="34" ht="15.75" customHeight="1">
      <c r="A34" s="47" t="s">
        <v>123</v>
      </c>
      <c r="B34" s="19" t="s">
        <v>831</v>
      </c>
      <c r="C34" s="76" t="str">
        <f>IF($A34="","",IFERROR(VLOOKUP($A34,StudentRegistry!$A:$D,3,FALSE),"Not found"))</f>
        <v>Dorm A</v>
      </c>
      <c r="D34" s="76" t="str">
        <f>IF($A34="","",IFERROR(IF(VLOOKUP($A34,StudentRegistry!$A:$D,4,FALSE)="Active","Yes","Inactive"),"No"))</f>
        <v>Yes</v>
      </c>
      <c r="E34" s="21"/>
      <c r="F34" s="21"/>
      <c r="G34" s="21"/>
    </row>
    <row r="35" ht="15.75" customHeight="1">
      <c r="A35" s="47" t="s">
        <v>834</v>
      </c>
      <c r="B35" s="19" t="s">
        <v>831</v>
      </c>
      <c r="C35" s="76" t="str">
        <f>IF($A35="","",IFERROR(VLOOKUP($A35,StudentRegistry!$A:$D,3,FALSE),"Not found"))</f>
        <v>Not found</v>
      </c>
      <c r="D35" s="76" t="str">
        <f>IF($A35="","",IFERROR(IF(VLOOKUP($A35,StudentRegistry!$A:$D,4,FALSE)="Active","Yes","Inactive"),"No"))</f>
        <v>No</v>
      </c>
      <c r="E35" s="21"/>
      <c r="F35" s="21"/>
      <c r="G35" s="21"/>
    </row>
    <row r="36" ht="15.75" customHeight="1">
      <c r="A36" s="47" t="s">
        <v>161</v>
      </c>
      <c r="B36" s="19" t="s">
        <v>831</v>
      </c>
      <c r="C36" s="76" t="str">
        <f>IF($A36="","",IFERROR(VLOOKUP($A36,StudentRegistry!$A:$D,3,FALSE),"Not found"))</f>
        <v>Dorm A</v>
      </c>
      <c r="D36" s="76" t="str">
        <f>IF($A36="","",IFERROR(IF(VLOOKUP($A36,StudentRegistry!$A:$D,4,FALSE)="Active","Yes","Inactive"),"No"))</f>
        <v>Yes</v>
      </c>
      <c r="E36" s="21"/>
      <c r="F36" s="21"/>
      <c r="G36" s="21"/>
    </row>
    <row r="37" ht="15.75" customHeight="1">
      <c r="A37" s="47" t="s">
        <v>135</v>
      </c>
      <c r="B37" s="19" t="s">
        <v>831</v>
      </c>
      <c r="C37" s="76" t="str">
        <f>IF($A37="","",IFERROR(VLOOKUP($A37,StudentRegistry!$A:$D,3,FALSE),"Not found"))</f>
        <v>Dorm A</v>
      </c>
      <c r="D37" s="76" t="str">
        <f>IF($A37="","",IFERROR(IF(VLOOKUP($A37,StudentRegistry!$A:$D,4,FALSE)="Active","Yes","Inactive"),"No"))</f>
        <v>Yes</v>
      </c>
      <c r="E37" s="21"/>
      <c r="F37" s="21"/>
      <c r="G37" s="21"/>
    </row>
    <row r="38" ht="15.75" customHeight="1">
      <c r="A38" s="47" t="s">
        <v>138</v>
      </c>
      <c r="B38" s="19" t="s">
        <v>831</v>
      </c>
      <c r="C38" s="76" t="str">
        <f>IF($A38="","",IFERROR(VLOOKUP($A38,StudentRegistry!$A:$D,3,FALSE),"Not found"))</f>
        <v>Dorm A</v>
      </c>
      <c r="D38" s="76" t="str">
        <f>IF($A38="","",IFERROR(IF(VLOOKUP($A38,StudentRegistry!$A:$D,4,FALSE)="Active","Yes","Inactive"),"No"))</f>
        <v>Yes</v>
      </c>
      <c r="E38" s="21"/>
      <c r="F38" s="21"/>
      <c r="G38" s="21"/>
    </row>
    <row r="39" ht="15.75" customHeight="1">
      <c r="A39" s="47" t="s">
        <v>157</v>
      </c>
      <c r="B39" s="19" t="s">
        <v>831</v>
      </c>
      <c r="C39" s="76" t="str">
        <f>IF($A39="","",IFERROR(VLOOKUP($A39,StudentRegistry!$A:$D,3,FALSE),"Not found"))</f>
        <v>Dorm A</v>
      </c>
      <c r="D39" s="76" t="str">
        <f>IF($A39="","",IFERROR(IF(VLOOKUP($A39,StudentRegistry!$A:$D,4,FALSE)="Active","Yes","Inactive"),"No"))</f>
        <v>Yes</v>
      </c>
      <c r="E39" s="21"/>
      <c r="F39" s="21"/>
      <c r="G39" s="21"/>
    </row>
    <row r="40" ht="15.75" customHeight="1">
      <c r="A40" s="47" t="s">
        <v>158</v>
      </c>
      <c r="B40" s="19" t="s">
        <v>831</v>
      </c>
      <c r="C40" s="76" t="str">
        <f>IF($A40="","",IFERROR(VLOOKUP($A40,StudentRegistry!$A:$D,3,FALSE),"Not found"))</f>
        <v>Dorm A</v>
      </c>
      <c r="D40" s="76" t="str">
        <f>IF($A40="","",IFERROR(IF(VLOOKUP($A40,StudentRegistry!$A:$D,4,FALSE)="Active","Yes","Inactive"),"No"))</f>
        <v>Yes</v>
      </c>
      <c r="E40" s="21"/>
      <c r="F40" s="21"/>
      <c r="G40" s="21"/>
    </row>
    <row r="41" ht="15.75" customHeight="1">
      <c r="A41" s="47" t="s">
        <v>108</v>
      </c>
      <c r="B41" s="19" t="s">
        <v>831</v>
      </c>
      <c r="C41" s="76" t="str">
        <f>IF($A41="","",IFERROR(VLOOKUP($A41,StudentRegistry!$A:$D,3,FALSE),"Not found"))</f>
        <v>Dorm A</v>
      </c>
      <c r="D41" s="76" t="str">
        <f>IF($A41="","",IFERROR(IF(VLOOKUP($A41,StudentRegistry!$A:$D,4,FALSE)="Active","Yes","Inactive"),"No"))</f>
        <v>Yes</v>
      </c>
      <c r="E41" s="21"/>
      <c r="F41" s="21"/>
      <c r="G41" s="21"/>
    </row>
    <row r="42" ht="15.75" customHeight="1">
      <c r="A42" s="47" t="s">
        <v>120</v>
      </c>
      <c r="B42" s="21"/>
      <c r="C42" s="76" t="str">
        <f>IF($A42="","",IFERROR(VLOOKUP($A42,StudentRegistry!$A:$D,3,FALSE),"Not found"))</f>
        <v>Dorm A</v>
      </c>
      <c r="D42" s="76" t="str">
        <f>IF($A42="","",IFERROR(IF(VLOOKUP($A42,StudentRegistry!$A:$D,4,FALSE)="Active","Yes","Inactive"),"No"))</f>
        <v>Yes</v>
      </c>
      <c r="E42" s="21"/>
      <c r="F42" s="21"/>
      <c r="G42" s="21"/>
    </row>
    <row r="43" ht="15.75" customHeight="1">
      <c r="A43" s="47" t="s">
        <v>107</v>
      </c>
      <c r="B43" s="21"/>
      <c r="C43" s="76" t="str">
        <f>IF($A43="","",IFERROR(VLOOKUP($A43,StudentRegistry!$A:$D,3,FALSE),"Not found"))</f>
        <v>Dorm A</v>
      </c>
      <c r="D43" s="76" t="str">
        <f>IF($A43="","",IFERROR(IF(VLOOKUP($A43,StudentRegistry!$A:$D,4,FALSE)="Active","Yes","Inactive"),"No"))</f>
        <v>Yes</v>
      </c>
      <c r="E43" s="21"/>
      <c r="F43" s="21"/>
      <c r="G43" s="21"/>
    </row>
    <row r="44" ht="15.75" customHeight="1">
      <c r="A44" s="47" t="s">
        <v>106</v>
      </c>
      <c r="B44" s="21"/>
      <c r="C44" s="76" t="str">
        <f>IF($A44="","",IFERROR(VLOOKUP($A44,StudentRegistry!$A:$D,3,FALSE),"Not found"))</f>
        <v>Dorm A</v>
      </c>
      <c r="D44" s="76" t="str">
        <f>IF($A44="","",IFERROR(IF(VLOOKUP($A44,StudentRegistry!$A:$D,4,FALSE)="Active","Yes","Inactive"),"No"))</f>
        <v>Yes</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C100" s="77" t="str">
        <f>IF($A100="","",IFERROR(VLOOKUP($A100,StudentRegistry!$A:$D,3,FALSE),"Not found"))</f>
        <v/>
      </c>
      <c r="D100" s="77" t="str">
        <f>IF($A100="","",IFERROR(IF(VLOOKUP($A100,StudentRegistry!$A:$D,4,FALSE)="Active","Yes","Inactive"),"No"))</f>
        <v/>
      </c>
      <c r="E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45"/>
      <c r="C300" s="77" t="str">
        <f>IF($A300="","",IFERROR(VLOOKUP($A300,StudentRegistry!$A:$D,3,FALSE),"Not found"))</f>
        <v/>
      </c>
      <c r="D300" s="77" t="str">
        <f>IF($A300="","",IFERROR(IF(VLOOKUP($A300,StudentRegistry!$A:$D,4,FALSE)="Active","Yes","Inactive"),"No"))</f>
        <v/>
      </c>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7.63"/>
    <col customWidth="1" min="2" max="2" width="22.75"/>
    <col customWidth="1" min="3" max="5" width="17.63"/>
    <col customWidth="1" min="6" max="25" width="8.63"/>
  </cols>
  <sheetData>
    <row r="1" ht="27.75" customHeight="1">
      <c r="A1" s="17" t="s">
        <v>400</v>
      </c>
      <c r="F1" s="21"/>
      <c r="G1" s="21"/>
    </row>
    <row r="2">
      <c r="A2" s="21"/>
      <c r="B2" s="21"/>
      <c r="C2" s="21"/>
      <c r="D2" s="21"/>
      <c r="E2" s="21"/>
      <c r="F2" s="21"/>
      <c r="G2" s="21"/>
    </row>
    <row r="3">
      <c r="A3" s="37" t="s">
        <v>364</v>
      </c>
      <c r="B3" s="47" t="s">
        <v>380</v>
      </c>
      <c r="C3" s="21"/>
      <c r="D3" s="37" t="s">
        <v>71</v>
      </c>
      <c r="E3" s="47" t="s">
        <v>830</v>
      </c>
      <c r="F3" s="21"/>
      <c r="G3" s="21"/>
    </row>
    <row r="4">
      <c r="A4" s="37" t="s">
        <v>70</v>
      </c>
      <c r="B4" s="84">
        <v>46289.33333333333</v>
      </c>
      <c r="C4" s="21"/>
      <c r="D4" s="37" t="s">
        <v>401</v>
      </c>
      <c r="E4" s="85">
        <v>64.0</v>
      </c>
      <c r="F4" s="21"/>
      <c r="G4" s="21"/>
    </row>
    <row r="5">
      <c r="A5" s="37" t="s">
        <v>69</v>
      </c>
      <c r="B5" s="47" t="s">
        <v>381</v>
      </c>
      <c r="C5" s="21"/>
      <c r="D5" s="37" t="s">
        <v>402</v>
      </c>
      <c r="E5" s="85">
        <v>23.0</v>
      </c>
      <c r="F5" s="21"/>
      <c r="G5" s="21"/>
    </row>
    <row r="6">
      <c r="A6" s="21"/>
      <c r="B6" s="21"/>
      <c r="C6" s="21"/>
      <c r="D6" s="37" t="s">
        <v>403</v>
      </c>
      <c r="E6" s="47" t="s">
        <v>41</v>
      </c>
      <c r="F6" s="21"/>
      <c r="G6" s="21"/>
    </row>
    <row r="7">
      <c r="A7" s="24" t="s">
        <v>50</v>
      </c>
      <c r="B7" s="24" t="s">
        <v>404</v>
      </c>
      <c r="C7" s="24" t="s">
        <v>405</v>
      </c>
      <c r="D7" s="24" t="s">
        <v>406</v>
      </c>
      <c r="E7" s="24" t="s">
        <v>407</v>
      </c>
      <c r="F7" s="21"/>
      <c r="G7" s="21"/>
    </row>
    <row r="8">
      <c r="A8" s="47" t="s">
        <v>835</v>
      </c>
      <c r="B8" s="19" t="s">
        <v>831</v>
      </c>
      <c r="C8" s="76" t="str">
        <f>IF($A8="","",IFERROR(VLOOKUP($A8,StudentRegistry!$A:$D,3,FALSE),"Not found"))</f>
        <v>Not found</v>
      </c>
      <c r="D8" s="76" t="str">
        <f>IF($A8="","",IFERROR(IF(VLOOKUP($A8,StudentRegistry!$A:$D,4,FALSE)="Active","Yes","Inactive"),"No"))</f>
        <v>No</v>
      </c>
      <c r="E8" s="21"/>
      <c r="F8" s="21"/>
      <c r="G8" s="21"/>
    </row>
    <row r="9">
      <c r="A9" s="47" t="s">
        <v>135</v>
      </c>
      <c r="B9" s="19" t="s">
        <v>831</v>
      </c>
      <c r="C9" s="76" t="str">
        <f>IF($A9="","",IFERROR(VLOOKUP($A9,StudentRegistry!$A:$D,3,FALSE),"Not found"))</f>
        <v>Dorm A</v>
      </c>
      <c r="D9" s="76" t="str">
        <f>IF($A9="","",IFERROR(IF(VLOOKUP($A9,StudentRegistry!$A:$D,4,FALSE)="Active","Yes","Inactive"),"No"))</f>
        <v>Yes</v>
      </c>
      <c r="E9" s="21"/>
      <c r="F9" s="21"/>
      <c r="G9" s="21"/>
    </row>
    <row r="10">
      <c r="A10" s="47" t="s">
        <v>158</v>
      </c>
      <c r="B10" s="19" t="s">
        <v>831</v>
      </c>
      <c r="C10" s="76" t="str">
        <f>IF($A10="","",IFERROR(VLOOKUP($A10,StudentRegistry!$A:$D,3,FALSE),"Not found"))</f>
        <v>Dorm A</v>
      </c>
      <c r="D10" s="76" t="str">
        <f>IF($A10="","",IFERROR(IF(VLOOKUP($A10,StudentRegistry!$A:$D,4,FALSE)="Active","Yes","Inactive"),"No"))</f>
        <v>Yes</v>
      </c>
      <c r="E10" s="21"/>
      <c r="F10" s="21"/>
      <c r="G10" s="21"/>
    </row>
    <row r="11">
      <c r="A11" s="47" t="s">
        <v>161</v>
      </c>
      <c r="B11" s="19" t="s">
        <v>831</v>
      </c>
      <c r="C11" s="76" t="str">
        <f>IF($A11="","",IFERROR(VLOOKUP($A11,StudentRegistry!$A:$D,3,FALSE),"Not found"))</f>
        <v>Dorm A</v>
      </c>
      <c r="D11" s="76" t="str">
        <f>IF($A11="","",IFERROR(IF(VLOOKUP($A11,StudentRegistry!$A:$D,4,FALSE)="Active","Yes","Inactive"),"No"))</f>
        <v>Yes</v>
      </c>
      <c r="E11" s="21"/>
      <c r="F11" s="21"/>
      <c r="G11" s="21"/>
    </row>
    <row r="12">
      <c r="A12" s="47" t="s">
        <v>836</v>
      </c>
      <c r="B12" s="19" t="s">
        <v>831</v>
      </c>
      <c r="C12" s="76" t="str">
        <f>IF($A12="","",IFERROR(VLOOKUP($A12,StudentRegistry!$A:$D,3,FALSE),"Not found"))</f>
        <v>Not found</v>
      </c>
      <c r="D12" s="76" t="str">
        <f>IF($A12="","",IFERROR(IF(VLOOKUP($A12,StudentRegistry!$A:$D,4,FALSE)="Active","Yes","Inactive"),"No"))</f>
        <v>No</v>
      </c>
      <c r="E12" s="21"/>
      <c r="F12" s="21"/>
      <c r="G12" s="21"/>
    </row>
    <row r="13">
      <c r="A13" s="47" t="s">
        <v>148</v>
      </c>
      <c r="B13" s="19" t="s">
        <v>831</v>
      </c>
      <c r="C13" s="76" t="str">
        <f>IF($A13="","",IFERROR(VLOOKUP($A13,StudentRegistry!$A:$D,3,FALSE),"Not found"))</f>
        <v>Dorm A</v>
      </c>
      <c r="D13" s="76" t="str">
        <f>IF($A13="","",IFERROR(IF(VLOOKUP($A13,StudentRegistry!$A:$D,4,FALSE)="Active","Yes","Inactive"),"No"))</f>
        <v>Yes</v>
      </c>
      <c r="E13" s="21"/>
      <c r="F13" s="21"/>
      <c r="G13" s="21"/>
    </row>
    <row r="14">
      <c r="A14" s="47" t="s">
        <v>139</v>
      </c>
      <c r="B14" s="19" t="s">
        <v>831</v>
      </c>
      <c r="C14" s="76" t="str">
        <f>IF($A14="","",IFERROR(VLOOKUP($A14,StudentRegistry!$A:$D,3,FALSE),"Not found"))</f>
        <v>Dorm A</v>
      </c>
      <c r="D14" s="76" t="str">
        <f>IF($A14="","",IFERROR(IF(VLOOKUP($A14,StudentRegistry!$A:$D,4,FALSE)="Active","Yes","Inactive"),"No"))</f>
        <v>Yes</v>
      </c>
      <c r="E14" s="21"/>
      <c r="F14" s="21"/>
      <c r="G14" s="21"/>
    </row>
    <row r="15">
      <c r="A15" s="47" t="s">
        <v>153</v>
      </c>
      <c r="B15" s="19" t="s">
        <v>831</v>
      </c>
      <c r="C15" s="76" t="str">
        <f>IF($A15="","",IFERROR(VLOOKUP($A15,StudentRegistry!$A:$D,3,FALSE),"Not found"))</f>
        <v>Dorm A</v>
      </c>
      <c r="D15" s="76" t="str">
        <f>IF($A15="","",IFERROR(IF(VLOOKUP($A15,StudentRegistry!$A:$D,4,FALSE)="Active","Yes","Inactive"),"No"))</f>
        <v>Yes</v>
      </c>
      <c r="E15" s="21"/>
      <c r="F15" s="21"/>
      <c r="G15" s="21"/>
    </row>
    <row r="16">
      <c r="A16" s="47" t="s">
        <v>107</v>
      </c>
      <c r="B16" s="19" t="s">
        <v>831</v>
      </c>
      <c r="C16" s="76" t="str">
        <f>IF($A16="","",IFERROR(VLOOKUP($A16,StudentRegistry!$A:$D,3,FALSE),"Not found"))</f>
        <v>Dorm A</v>
      </c>
      <c r="D16" s="76" t="str">
        <f>IF($A16="","",IFERROR(IF(VLOOKUP($A16,StudentRegistry!$A:$D,4,FALSE)="Active","Yes","Inactive"),"No"))</f>
        <v>Yes</v>
      </c>
      <c r="E16" s="21"/>
      <c r="F16" s="21"/>
      <c r="G16" s="21"/>
    </row>
    <row r="17">
      <c r="A17" s="47" t="s">
        <v>120</v>
      </c>
      <c r="B17" s="19" t="s">
        <v>831</v>
      </c>
      <c r="C17" s="76" t="str">
        <f>IF($A17="","",IFERROR(VLOOKUP($A17,StudentRegistry!$A:$D,3,FALSE),"Not found"))</f>
        <v>Dorm A</v>
      </c>
      <c r="D17" s="76" t="str">
        <f>IF($A17="","",IFERROR(IF(VLOOKUP($A17,StudentRegistry!$A:$D,4,FALSE)="Active","Yes","Inactive"),"No"))</f>
        <v>Yes</v>
      </c>
      <c r="E17" s="21"/>
      <c r="F17" s="21"/>
      <c r="G17" s="21"/>
    </row>
    <row r="18">
      <c r="A18" s="47" t="s">
        <v>105</v>
      </c>
      <c r="B18" s="19" t="s">
        <v>831</v>
      </c>
      <c r="C18" s="76" t="str">
        <f>IF($A18="","",IFERROR(VLOOKUP($A18,StudentRegistry!$A:$D,3,FALSE),"Not found"))</f>
        <v>Dorm A</v>
      </c>
      <c r="D18" s="76" t="str">
        <f>IF($A18="","",IFERROR(IF(VLOOKUP($A18,StudentRegistry!$A:$D,4,FALSE)="Active","Yes","Inactive"),"No"))</f>
        <v>Yes</v>
      </c>
      <c r="E18" s="21"/>
      <c r="F18" s="21"/>
      <c r="G18" s="21"/>
    </row>
    <row r="19">
      <c r="A19" s="47" t="s">
        <v>106</v>
      </c>
      <c r="B19" s="19" t="s">
        <v>831</v>
      </c>
      <c r="C19" s="76" t="str">
        <f>IF($A19="","",IFERROR(VLOOKUP($A19,StudentRegistry!$A:$D,3,FALSE),"Not found"))</f>
        <v>Dorm A</v>
      </c>
      <c r="D19" s="76" t="str">
        <f>IF($A19="","",IFERROR(IF(VLOOKUP($A19,StudentRegistry!$A:$D,4,FALSE)="Active","Yes","Inactive"),"No"))</f>
        <v>Yes</v>
      </c>
      <c r="E19" s="21"/>
      <c r="F19" s="21"/>
      <c r="G19" s="21"/>
    </row>
    <row r="20">
      <c r="A20" s="47" t="s">
        <v>110</v>
      </c>
      <c r="B20" s="19" t="s">
        <v>831</v>
      </c>
      <c r="C20" s="76" t="str">
        <f>IF($A20="","",IFERROR(VLOOKUP($A20,StudentRegistry!$A:$D,3,FALSE),"Not found"))</f>
        <v>Dorm A</v>
      </c>
      <c r="D20" s="76" t="str">
        <f>IF($A20="","",IFERROR(IF(VLOOKUP($A20,StudentRegistry!$A:$D,4,FALSE)="Active","Yes","Inactive"),"No"))</f>
        <v>Yes</v>
      </c>
      <c r="E20" s="21"/>
      <c r="F20" s="21"/>
      <c r="G20" s="21"/>
    </row>
    <row r="21" ht="15.75" customHeight="1">
      <c r="A21" s="47" t="s">
        <v>837</v>
      </c>
      <c r="B21" s="19" t="s">
        <v>831</v>
      </c>
      <c r="C21" s="76" t="str">
        <f>IF($A21="","",IFERROR(VLOOKUP($A21,StudentRegistry!$A:$D,3,FALSE),"Not found"))</f>
        <v>Not found</v>
      </c>
      <c r="D21" s="76" t="str">
        <f>IF($A21="","",IFERROR(IF(VLOOKUP($A21,StudentRegistry!$A:$D,4,FALSE)="Active","Yes","Inactive"),"No"))</f>
        <v>No</v>
      </c>
      <c r="E21" s="21"/>
      <c r="F21" s="21"/>
      <c r="G21" s="21"/>
    </row>
    <row r="22" ht="15.75" customHeight="1">
      <c r="A22" s="47" t="s">
        <v>143</v>
      </c>
      <c r="B22" s="19" t="s">
        <v>831</v>
      </c>
      <c r="C22" s="76" t="str">
        <f>IF($A22="","",IFERROR(VLOOKUP($A22,StudentRegistry!$A:$D,3,FALSE),"Not found"))</f>
        <v>Dorm A</v>
      </c>
      <c r="D22" s="76" t="str">
        <f>IF($A22="","",IFERROR(IF(VLOOKUP($A22,StudentRegistry!$A:$D,4,FALSE)="Active","Yes","Inactive"),"No"))</f>
        <v>Yes</v>
      </c>
      <c r="E22" s="21"/>
      <c r="F22" s="21"/>
      <c r="G22" s="21"/>
    </row>
    <row r="23" ht="15.75" customHeight="1">
      <c r="A23" s="47" t="s">
        <v>163</v>
      </c>
      <c r="B23" s="19" t="s">
        <v>831</v>
      </c>
      <c r="C23" s="76" t="str">
        <f>IF($A23="","",IFERROR(VLOOKUP($A23,StudentRegistry!$A:$D,3,FALSE),"Not found"))</f>
        <v>Dorm A</v>
      </c>
      <c r="D23" s="76" t="str">
        <f>IF($A23="","",IFERROR(IF(VLOOKUP($A23,StudentRegistry!$A:$D,4,FALSE)="Active","Yes","Inactive"),"No"))</f>
        <v>Yes</v>
      </c>
      <c r="E23" s="21"/>
      <c r="F23" s="21"/>
      <c r="G23" s="21"/>
    </row>
    <row r="24" ht="15.75" customHeight="1">
      <c r="A24" s="47" t="s">
        <v>137</v>
      </c>
      <c r="B24" s="19" t="s">
        <v>831</v>
      </c>
      <c r="C24" s="76" t="str">
        <f>IF($A24="","",IFERROR(VLOOKUP($A24,StudentRegistry!$A:$D,3,FALSE),"Not found"))</f>
        <v>Dorm A</v>
      </c>
      <c r="D24" s="76" t="str">
        <f>IF($A24="","",IFERROR(IF(VLOOKUP($A24,StudentRegistry!$A:$D,4,FALSE)="Active","Yes","Inactive"),"No"))</f>
        <v>Yes</v>
      </c>
      <c r="E24" s="21"/>
      <c r="F24" s="21"/>
      <c r="G24" s="21"/>
    </row>
    <row r="25" ht="15.75" customHeight="1">
      <c r="A25" s="47" t="s">
        <v>127</v>
      </c>
      <c r="B25" s="19" t="s">
        <v>831</v>
      </c>
      <c r="C25" s="76" t="str">
        <f>IF($A25="","",IFERROR(VLOOKUP($A25,StudentRegistry!$A:$D,3,FALSE),"Not found"))</f>
        <v>Dorm A</v>
      </c>
      <c r="D25" s="76" t="str">
        <f>IF($A25="","",IFERROR(IF(VLOOKUP($A25,StudentRegistry!$A:$D,4,FALSE)="Active","Yes","Inactive"),"No"))</f>
        <v>Yes</v>
      </c>
      <c r="E25" s="21"/>
      <c r="F25" s="21"/>
      <c r="G25" s="21"/>
    </row>
    <row r="26" ht="15.75" customHeight="1">
      <c r="A26" s="47" t="s">
        <v>108</v>
      </c>
      <c r="B26" s="19" t="s">
        <v>831</v>
      </c>
      <c r="C26" s="76" t="str">
        <f>IF($A26="","",IFERROR(VLOOKUP($A26,StudentRegistry!$A:$D,3,FALSE),"Not found"))</f>
        <v>Dorm A</v>
      </c>
      <c r="D26" s="76" t="str">
        <f>IF($A26="","",IFERROR(IF(VLOOKUP($A26,StudentRegistry!$A:$D,4,FALSE)="Active","Yes","Inactive"),"No"))</f>
        <v>Yes</v>
      </c>
      <c r="E26" s="21"/>
      <c r="F26" s="21"/>
      <c r="G26" s="21"/>
    </row>
    <row r="27" ht="15.75" customHeight="1">
      <c r="A27" s="47" t="s">
        <v>838</v>
      </c>
      <c r="B27" s="19" t="s">
        <v>831</v>
      </c>
      <c r="C27" s="76" t="str">
        <f>IF($A27="","",IFERROR(VLOOKUP($A27,StudentRegistry!$A:$D,3,FALSE),"Not found"))</f>
        <v>Not found</v>
      </c>
      <c r="D27" s="76" t="str">
        <f>IF($A27="","",IFERROR(IF(VLOOKUP($A27,StudentRegistry!$A:$D,4,FALSE)="Active","Yes","Inactive"),"No"))</f>
        <v>No</v>
      </c>
      <c r="E27" s="21"/>
      <c r="F27" s="21"/>
      <c r="G27" s="21"/>
    </row>
    <row r="28" ht="15.75" customHeight="1">
      <c r="A28" s="47" t="s">
        <v>133</v>
      </c>
      <c r="B28" s="19" t="s">
        <v>831</v>
      </c>
      <c r="C28" s="76" t="str">
        <f>IF($A28="","",IFERROR(VLOOKUP($A28,StudentRegistry!$A:$D,3,FALSE),"Not found"))</f>
        <v>Dorm A</v>
      </c>
      <c r="D28" s="76" t="str">
        <f>IF($A28="","",IFERROR(IF(VLOOKUP($A28,StudentRegistry!$A:$D,4,FALSE)="Active","Yes","Inactive"),"No"))</f>
        <v>Yes</v>
      </c>
      <c r="E28" s="21"/>
      <c r="F28" s="21"/>
      <c r="G28" s="21"/>
    </row>
    <row r="29" ht="15.75" customHeight="1">
      <c r="A29" s="47" t="s">
        <v>144</v>
      </c>
      <c r="B29" s="19" t="s">
        <v>831</v>
      </c>
      <c r="C29" s="76" t="str">
        <f>IF($A29="","",IFERROR(VLOOKUP($A29,StudentRegistry!$A:$D,3,FALSE),"Not found"))</f>
        <v>Dorm A</v>
      </c>
      <c r="D29" s="76" t="str">
        <f>IF($A29="","",IFERROR(IF(VLOOKUP($A29,StudentRegistry!$A:$D,4,FALSE)="Active","Yes","Inactive"),"No"))</f>
        <v>Yes</v>
      </c>
      <c r="E29" s="21"/>
      <c r="F29" s="21"/>
      <c r="G29" s="21"/>
    </row>
    <row r="30" ht="15.75" customHeight="1">
      <c r="A30" s="47" t="s">
        <v>142</v>
      </c>
      <c r="B30" s="19" t="s">
        <v>831</v>
      </c>
      <c r="C30" s="76" t="str">
        <f>IF($A30="","",IFERROR(VLOOKUP($A30,StudentRegistry!$A:$D,3,FALSE),"Not found"))</f>
        <v>Dorm A</v>
      </c>
      <c r="D30" s="76" t="str">
        <f>IF($A30="","",IFERROR(IF(VLOOKUP($A30,StudentRegistry!$A:$D,4,FALSE)="Active","Yes","Inactive"),"No"))</f>
        <v>Yes</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383</v>
      </c>
      <c r="C3" s="21"/>
      <c r="D3" s="37" t="s">
        <v>71</v>
      </c>
      <c r="E3" s="74"/>
      <c r="F3" s="21"/>
      <c r="G3" s="21"/>
    </row>
    <row r="4">
      <c r="A4" s="37" t="s">
        <v>70</v>
      </c>
      <c r="B4" s="84">
        <v>46303.33333333333</v>
      </c>
      <c r="C4" s="21"/>
      <c r="D4" s="37" t="s">
        <v>401</v>
      </c>
      <c r="E4" s="74"/>
      <c r="F4" s="21"/>
      <c r="G4" s="21"/>
    </row>
    <row r="5">
      <c r="A5" s="37" t="s">
        <v>69</v>
      </c>
      <c r="B5" s="47" t="s">
        <v>384</v>
      </c>
      <c r="C5" s="21"/>
      <c r="D5" s="37" t="s">
        <v>402</v>
      </c>
      <c r="E5" s="74"/>
      <c r="F5" s="21"/>
      <c r="G5" s="21"/>
    </row>
    <row r="6">
      <c r="A6" s="21"/>
      <c r="B6" s="21"/>
      <c r="C6" s="21"/>
      <c r="D6" s="37" t="s">
        <v>403</v>
      </c>
      <c r="E6" s="47" t="s">
        <v>45</v>
      </c>
      <c r="F6" s="21"/>
      <c r="G6" s="21"/>
    </row>
    <row r="7">
      <c r="A7" s="24" t="s">
        <v>50</v>
      </c>
      <c r="B7" s="24" t="s">
        <v>404</v>
      </c>
      <c r="C7" s="24" t="s">
        <v>405</v>
      </c>
      <c r="D7" s="24" t="s">
        <v>406</v>
      </c>
      <c r="E7" s="24" t="s">
        <v>407</v>
      </c>
      <c r="F7" s="21"/>
      <c r="G7" s="21"/>
    </row>
    <row r="8">
      <c r="A8" s="47" t="s">
        <v>325</v>
      </c>
      <c r="B8" s="21"/>
      <c r="C8" s="76" t="str">
        <f>IF($A8="","",IFERROR(VLOOKUP($A8,StudentRegistry!$A:$D,3,FALSE),"Not found"))</f>
        <v>Meikokan</v>
      </c>
      <c r="D8" s="76" t="str">
        <f>IF($A8="","",IFERROR(IF(VLOOKUP($A8,StudentRegistry!$A:$D,4,FALSE)="Active","Yes","Inactive"),"No"))</f>
        <v>Yes</v>
      </c>
      <c r="E8" s="21"/>
      <c r="F8" s="21"/>
      <c r="G8" s="21"/>
    </row>
    <row r="9">
      <c r="A9" s="47" t="s">
        <v>324</v>
      </c>
      <c r="B9" s="21"/>
      <c r="C9" s="76" t="str">
        <f>IF($A9="","",IFERROR(VLOOKUP($A9,StudentRegistry!$A:$D,3,FALSE),"Not found"))</f>
        <v>Meikokan</v>
      </c>
      <c r="D9" s="76" t="str">
        <f>IF($A9="","",IFERROR(IF(VLOOKUP($A9,StudentRegistry!$A:$D,4,FALSE)="Active","Yes","Inactive"),"No"))</f>
        <v>Yes</v>
      </c>
      <c r="E9" s="21"/>
      <c r="F9" s="21"/>
      <c r="G9" s="21"/>
    </row>
    <row r="10">
      <c r="A10" s="47" t="s">
        <v>326</v>
      </c>
      <c r="B10" s="21"/>
      <c r="C10" s="76" t="str">
        <f>IF($A10="","",IFERROR(VLOOKUP($A10,StudentRegistry!$A:$D,3,FALSE),"Not found"))</f>
        <v>Meikokan</v>
      </c>
      <c r="D10" s="76" t="str">
        <f>IF($A10="","",IFERROR(IF(VLOOKUP($A10,StudentRegistry!$A:$D,4,FALSE)="Active","Yes","Inactive"),"No"))</f>
        <v>Yes</v>
      </c>
      <c r="E10" s="21"/>
      <c r="F10" s="21"/>
      <c r="G10" s="21"/>
    </row>
    <row r="11">
      <c r="A11" s="47" t="s">
        <v>813</v>
      </c>
      <c r="B11" s="21"/>
      <c r="C11" s="76" t="str">
        <f>IF($A11="","",IFERROR(VLOOKUP($A11,StudentRegistry!$A:$D,3,FALSE),"Not found"))</f>
        <v>Not found</v>
      </c>
      <c r="D11" s="76" t="str">
        <f>IF($A11="","",IFERROR(IF(VLOOKUP($A11,StudentRegistry!$A:$D,4,FALSE)="Active","Yes","Inactive"),"No"))</f>
        <v>No</v>
      </c>
      <c r="E11" s="21"/>
      <c r="F11" s="21"/>
      <c r="G11" s="21"/>
    </row>
    <row r="12">
      <c r="A12" s="47" t="s">
        <v>814</v>
      </c>
      <c r="B12" s="21"/>
      <c r="C12" s="76" t="str">
        <f>IF($A12="","",IFERROR(VLOOKUP($A12,StudentRegistry!$A:$D,3,FALSE),"Not found"))</f>
        <v>Not found</v>
      </c>
      <c r="D12" s="76" t="str">
        <f>IF($A12="","",IFERROR(IF(VLOOKUP($A12,StudentRegistry!$A:$D,4,FALSE)="Active","Yes","Inactive"),"No"))</f>
        <v>No</v>
      </c>
      <c r="E12" s="21"/>
      <c r="F12" s="21"/>
      <c r="G12" s="21"/>
    </row>
    <row r="13">
      <c r="A13" s="47" t="s">
        <v>820</v>
      </c>
      <c r="B13" s="21"/>
      <c r="C13" s="76" t="str">
        <f>IF($A13="","",IFERROR(VLOOKUP($A13,StudentRegistry!$A:$D,3,FALSE),"Not found"))</f>
        <v>Not found</v>
      </c>
      <c r="D13" s="76" t="str">
        <f>IF($A13="","",IFERROR(IF(VLOOKUP($A13,StudentRegistry!$A:$D,4,FALSE)="Active","Yes","Inactive"),"No"))</f>
        <v>No</v>
      </c>
      <c r="E13" s="21"/>
      <c r="F13" s="21"/>
      <c r="G13" s="21"/>
    </row>
    <row r="14">
      <c r="A14" s="47" t="s">
        <v>329</v>
      </c>
      <c r="B14" s="21"/>
      <c r="C14" s="76" t="str">
        <f>IF($A14="","",IFERROR(VLOOKUP($A14,StudentRegistry!$A:$D,3,FALSE),"Not found"))</f>
        <v>Meikokan</v>
      </c>
      <c r="D14" s="76" t="str">
        <f>IF($A14="","",IFERROR(IF(VLOOKUP($A14,StudentRegistry!$A:$D,4,FALSE)="Active","Yes","Inactive"),"No"))</f>
        <v>Yes</v>
      </c>
      <c r="E14" s="21"/>
      <c r="F14" s="21"/>
      <c r="G14" s="21"/>
    </row>
    <row r="15">
      <c r="A15" s="47" t="s">
        <v>812</v>
      </c>
      <c r="B15" s="21"/>
      <c r="C15" s="76" t="str">
        <f>IF($A15="","",IFERROR(VLOOKUP($A15,StudentRegistry!$A:$D,3,FALSE),"Not found"))</f>
        <v>Not found</v>
      </c>
      <c r="D15" s="76" t="str">
        <f>IF($A15="","",IFERROR(IF(VLOOKUP($A15,StudentRegistry!$A:$D,4,FALSE)="Active","Yes","Inactive"),"No"))</f>
        <v>No</v>
      </c>
      <c r="E15" s="21"/>
      <c r="F15" s="21"/>
      <c r="G15" s="21"/>
    </row>
    <row r="16">
      <c r="A16" s="47" t="s">
        <v>334</v>
      </c>
      <c r="B16" s="21"/>
      <c r="C16" s="76" t="str">
        <f>IF($A16="","",IFERROR(VLOOKUP($A16,StudentRegistry!$A:$D,3,FALSE),"Not found"))</f>
        <v>Meikokan</v>
      </c>
      <c r="D16" s="76" t="str">
        <f>IF($A16="","",IFERROR(IF(VLOOKUP($A16,StudentRegistry!$A:$D,4,FALSE)="Active","Yes","Inactive"),"No"))</f>
        <v>Yes</v>
      </c>
      <c r="E16" s="21"/>
      <c r="F16" s="21"/>
      <c r="G16" s="21"/>
    </row>
    <row r="17">
      <c r="A17" s="47" t="s">
        <v>823</v>
      </c>
      <c r="B17" s="21"/>
      <c r="C17" s="76" t="str">
        <f>IF($A17="","",IFERROR(VLOOKUP($A17,StudentRegistry!$A:$D,3,FALSE),"Not found"))</f>
        <v>Not found</v>
      </c>
      <c r="D17" s="76" t="str">
        <f>IF($A17="","",IFERROR(IF(VLOOKUP($A17,StudentRegistry!$A:$D,4,FALSE)="Active","Yes","Inactive"),"No"))</f>
        <v>No</v>
      </c>
      <c r="E17" s="21"/>
      <c r="F17" s="21"/>
      <c r="G17" s="21"/>
    </row>
    <row r="18">
      <c r="A18" s="47" t="s">
        <v>314</v>
      </c>
      <c r="B18" s="21"/>
      <c r="C18" s="76" t="str">
        <f>IF($A18="","",IFERROR(VLOOKUP($A18,StudentRegistry!$A:$D,3,FALSE),"Not found"))</f>
        <v>Meikokan</v>
      </c>
      <c r="D18" s="76" t="str">
        <f>IF($A18="","",IFERROR(IF(VLOOKUP($A18,StudentRegistry!$A:$D,4,FALSE)="Active","Yes","Inactive"),"No"))</f>
        <v>Yes</v>
      </c>
      <c r="E18" s="21"/>
      <c r="F18" s="21"/>
      <c r="G18" s="21"/>
    </row>
    <row r="19">
      <c r="A19" s="47" t="s">
        <v>815</v>
      </c>
      <c r="B19" s="21"/>
      <c r="C19" s="76" t="str">
        <f>IF($A19="","",IFERROR(VLOOKUP($A19,StudentRegistry!$A:$D,3,FALSE),"Not found"))</f>
        <v>Not found</v>
      </c>
      <c r="D19" s="76" t="str">
        <f>IF($A19="","",IFERROR(IF(VLOOKUP($A19,StudentRegistry!$A:$D,4,FALSE)="Active","Yes","Inactive"),"No"))</f>
        <v>No</v>
      </c>
      <c r="E19" s="21"/>
      <c r="F19" s="21"/>
      <c r="G19" s="21"/>
    </row>
    <row r="20">
      <c r="A20" s="47" t="s">
        <v>821</v>
      </c>
      <c r="B20" s="21"/>
      <c r="C20" s="76" t="str">
        <f>IF($A20="","",IFERROR(VLOOKUP($A20,StudentRegistry!$A:$D,3,FALSE),"Not found"))</f>
        <v>Not found</v>
      </c>
      <c r="D20" s="76" t="str">
        <f>IF($A20="","",IFERROR(IF(VLOOKUP($A20,StudentRegistry!$A:$D,4,FALSE)="Active","Yes","Inactive"),"No"))</f>
        <v>No</v>
      </c>
      <c r="E20" s="21"/>
      <c r="F20" s="21"/>
      <c r="G20" s="21"/>
    </row>
    <row r="21" ht="15.75" customHeight="1">
      <c r="A21" s="47" t="s">
        <v>321</v>
      </c>
      <c r="B21" s="21"/>
      <c r="C21" s="76" t="str">
        <f>IF($A21="","",IFERROR(VLOOKUP($A21,StudentRegistry!$A:$D,3,FALSE),"Not found"))</f>
        <v>Meikokan</v>
      </c>
      <c r="D21" s="76" t="str">
        <f>IF($A21="","",IFERROR(IF(VLOOKUP($A21,StudentRegistry!$A:$D,4,FALSE)="Active","Yes","Inactive"),"No"))</f>
        <v>Yes</v>
      </c>
      <c r="E21" s="21"/>
      <c r="F21" s="21"/>
      <c r="G21" s="21"/>
    </row>
    <row r="22" ht="15.75" customHeight="1">
      <c r="A22" s="47" t="s">
        <v>335</v>
      </c>
      <c r="B22" s="21"/>
      <c r="C22" s="76" t="str">
        <f>IF($A22="","",IFERROR(VLOOKUP($A22,StudentRegistry!$A:$D,3,FALSE),"Not found"))</f>
        <v>Meikokan</v>
      </c>
      <c r="D22" s="76" t="str">
        <f>IF($A22="","",IFERROR(IF(VLOOKUP($A22,StudentRegistry!$A:$D,4,FALSE)="Active","Yes","Inactive"),"No"))</f>
        <v>Yes</v>
      </c>
      <c r="E22" s="21"/>
      <c r="F22" s="21"/>
      <c r="G22" s="21"/>
    </row>
    <row r="23" ht="15.75" customHeight="1">
      <c r="A23" s="47" t="s">
        <v>310</v>
      </c>
      <c r="B23" s="21"/>
      <c r="C23" s="76" t="str">
        <f>IF($A23="","",IFERROR(VLOOKUP($A23,StudentRegistry!$A:$D,3,FALSE),"Not found"))</f>
        <v>Meikokan</v>
      </c>
      <c r="D23" s="76" t="str">
        <f>IF($A23="","",IFERROR(IF(VLOOKUP($A23,StudentRegistry!$A:$D,4,FALSE)="Active","Yes","Inactive"),"No"))</f>
        <v>Yes</v>
      </c>
      <c r="E23" s="21"/>
      <c r="F23" s="21"/>
      <c r="G23" s="21"/>
    </row>
    <row r="24" ht="15.75" customHeight="1">
      <c r="A24" s="47" t="s">
        <v>330</v>
      </c>
      <c r="B24" s="21"/>
      <c r="C24" s="76" t="str">
        <f>IF($A24="","",IFERROR(VLOOKUP($A24,StudentRegistry!$A:$D,3,FALSE),"Not found"))</f>
        <v>Meikokan</v>
      </c>
      <c r="D24" s="76" t="str">
        <f>IF($A24="","",IFERROR(IF(VLOOKUP($A24,StudentRegistry!$A:$D,4,FALSE)="Active","Yes","Inactive"),"No"))</f>
        <v>Yes</v>
      </c>
      <c r="E24" s="21"/>
      <c r="F24" s="21"/>
      <c r="G24" s="21"/>
    </row>
    <row r="25" ht="15.75" customHeight="1">
      <c r="A25" s="47" t="s">
        <v>327</v>
      </c>
      <c r="B25" s="21"/>
      <c r="C25" s="76" t="str">
        <f>IF($A25="","",IFERROR(VLOOKUP($A25,StudentRegistry!$A:$D,3,FALSE),"Not found"))</f>
        <v>Meikokan</v>
      </c>
      <c r="D25" s="76" t="str">
        <f>IF($A25="","",IFERROR(IF(VLOOKUP($A25,StudentRegistry!$A:$D,4,FALSE)="Active","Yes","Inactive"),"No"))</f>
        <v>Yes</v>
      </c>
      <c r="E25" s="21"/>
      <c r="F25" s="21"/>
      <c r="G25" s="21"/>
    </row>
    <row r="26" ht="15.75" customHeight="1">
      <c r="A26" s="47" t="s">
        <v>323</v>
      </c>
      <c r="B26" s="21"/>
      <c r="C26" s="76" t="str">
        <f>IF($A26="","",IFERROR(VLOOKUP($A26,StudentRegistry!$A:$D,3,FALSE),"Not found"))</f>
        <v>Meikokan</v>
      </c>
      <c r="D26" s="76" t="str">
        <f>IF($A26="","",IFERROR(IF(VLOOKUP($A26,StudentRegistry!$A:$D,4,FALSE)="Active","Yes","Inactive"),"No"))</f>
        <v>Yes</v>
      </c>
      <c r="E26" s="21"/>
      <c r="F26" s="21"/>
      <c r="G26" s="21"/>
    </row>
    <row r="27" ht="15.75" customHeight="1">
      <c r="A27" s="47" t="s">
        <v>311</v>
      </c>
      <c r="B27" s="21"/>
      <c r="C27" s="76" t="str">
        <f>IF($A27="","",IFERROR(VLOOKUP($A27,StudentRegistry!$A:$D,3,FALSE),"Not found"))</f>
        <v>Meikokan</v>
      </c>
      <c r="D27" s="76" t="str">
        <f>IF($A27="","",IFERROR(IF(VLOOKUP($A27,StudentRegistry!$A:$D,4,FALSE)="Active","Yes","Inactive"),"No"))</f>
        <v>Yes</v>
      </c>
      <c r="E27" s="21"/>
      <c r="F27" s="21"/>
      <c r="G27" s="21"/>
    </row>
    <row r="28" ht="15.75" customHeight="1">
      <c r="A28" s="47" t="s">
        <v>320</v>
      </c>
      <c r="B28" s="21"/>
      <c r="C28" s="76" t="str">
        <f>IF($A28="","",IFERROR(VLOOKUP($A28,StudentRegistry!$A:$D,3,FALSE),"Not found"))</f>
        <v>Meikokan</v>
      </c>
      <c r="D28" s="76" t="str">
        <f>IF($A28="","",IFERROR(IF(VLOOKUP($A28,StudentRegistry!$A:$D,4,FALSE)="Active","Yes","Inactive"),"No"))</f>
        <v>Yes</v>
      </c>
      <c r="E28" s="21"/>
      <c r="F28" s="21"/>
      <c r="G28" s="21"/>
    </row>
    <row r="29" ht="15.75" customHeight="1">
      <c r="A29" s="47" t="s">
        <v>322</v>
      </c>
      <c r="B29" s="21"/>
      <c r="C29" s="76" t="str">
        <f>IF($A29="","",IFERROR(VLOOKUP($A29,StudentRegistry!$A:$D,3,FALSE),"Not found"))</f>
        <v>Meikokan</v>
      </c>
      <c r="D29" s="76" t="str">
        <f>IF($A29="","",IFERROR(IF(VLOOKUP($A29,StudentRegistry!$A:$D,4,FALSE)="Active","Yes","Inactive"),"No"))</f>
        <v>Yes</v>
      </c>
      <c r="E29" s="21"/>
      <c r="F29" s="21"/>
      <c r="G29" s="21"/>
    </row>
    <row r="30" ht="15.75" customHeight="1">
      <c r="A30" s="47" t="s">
        <v>336</v>
      </c>
      <c r="B30" s="21"/>
      <c r="C30" s="76" t="str">
        <f>IF($A30="","",IFERROR(VLOOKUP($A30,StudentRegistry!$A:$D,3,FALSE),"Not found"))</f>
        <v>Meikokan</v>
      </c>
      <c r="D30" s="76" t="str">
        <f>IF($A30="","",IFERROR(IF(VLOOKUP($A30,StudentRegistry!$A:$D,4,FALSE)="Active","Yes","Inactive"),"No"))</f>
        <v>Yes</v>
      </c>
      <c r="E30" s="21"/>
      <c r="F30" s="21"/>
      <c r="G30" s="21"/>
    </row>
    <row r="31" ht="15.75" customHeight="1">
      <c r="A31" s="47" t="s">
        <v>312</v>
      </c>
      <c r="B31" s="21"/>
      <c r="C31" s="76" t="str">
        <f>IF($A31="","",IFERROR(VLOOKUP($A31,StudentRegistry!$A:$D,3,FALSE),"Not found"))</f>
        <v>Meikokan</v>
      </c>
      <c r="D31" s="76" t="str">
        <f>IF($A31="","",IFERROR(IF(VLOOKUP($A31,StudentRegistry!$A:$D,4,FALSE)="Active","Yes","Inactive"),"No"))</f>
        <v>Yes</v>
      </c>
      <c r="E31" s="21"/>
      <c r="F31" s="21"/>
      <c r="G31" s="21"/>
    </row>
    <row r="32" ht="15.75" customHeight="1">
      <c r="A32" s="47" t="s">
        <v>331</v>
      </c>
      <c r="B32" s="21"/>
      <c r="C32" s="76" t="str">
        <f>IF($A32="","",IFERROR(VLOOKUP($A32,StudentRegistry!$A:$D,3,FALSE),"Not found"))</f>
        <v>Meikokan</v>
      </c>
      <c r="D32" s="76" t="str">
        <f>IF($A32="","",IFERROR(IF(VLOOKUP($A32,StudentRegistry!$A:$D,4,FALSE)="Active","Yes","Inactive"),"No"))</f>
        <v>Yes</v>
      </c>
      <c r="E32" s="21"/>
      <c r="F32" s="21"/>
      <c r="G32" s="21"/>
    </row>
    <row r="33" ht="15.75" customHeight="1">
      <c r="A33" s="47" t="s">
        <v>318</v>
      </c>
      <c r="B33" s="21"/>
      <c r="C33" s="76" t="str">
        <f>IF($A33="","",IFERROR(VLOOKUP($A33,StudentRegistry!$A:$D,3,FALSE),"Not found"))</f>
        <v>Meikokan</v>
      </c>
      <c r="D33" s="76" t="str">
        <f>IF($A33="","",IFERROR(IF(VLOOKUP($A33,StudentRegistry!$A:$D,4,FALSE)="Active","Yes","Inactive"),"No"))</f>
        <v>Yes</v>
      </c>
      <c r="E33" s="21"/>
      <c r="F33" s="21"/>
      <c r="G33" s="21"/>
    </row>
    <row r="34" ht="15.75" customHeight="1">
      <c r="A34" s="47" t="s">
        <v>839</v>
      </c>
      <c r="B34" s="21"/>
      <c r="C34" s="76" t="str">
        <f>IF($A34="","",IFERROR(VLOOKUP($A34,StudentRegistry!$A:$D,3,FALSE),"Not found"))</f>
        <v>Not found</v>
      </c>
      <c r="D34" s="76" t="str">
        <f>IF($A34="","",IFERROR(IF(VLOOKUP($A34,StudentRegistry!$A:$D,4,FALSE)="Active","Yes","Inactive"),"No"))</f>
        <v>No</v>
      </c>
      <c r="E34" s="21"/>
      <c r="F34" s="21"/>
      <c r="G34" s="21"/>
    </row>
    <row r="35" ht="15.75" customHeight="1">
      <c r="A35" s="47" t="s">
        <v>315</v>
      </c>
      <c r="B35" s="21"/>
      <c r="C35" s="76" t="str">
        <f>IF($A35="","",IFERROR(VLOOKUP($A35,StudentRegistry!$A:$D,3,FALSE),"Not found"))</f>
        <v>Meikokan</v>
      </c>
      <c r="D35" s="76" t="str">
        <f>IF($A35="","",IFERROR(IF(VLOOKUP($A35,StudentRegistry!$A:$D,4,FALSE)="Active","Yes","Inactive"),"No"))</f>
        <v>Yes</v>
      </c>
      <c r="E35" s="21"/>
      <c r="F35" s="21"/>
      <c r="G35" s="21"/>
    </row>
    <row r="36" ht="15.75" customHeight="1">
      <c r="A36" s="47" t="s">
        <v>822</v>
      </c>
      <c r="B36" s="21"/>
      <c r="C36" s="76" t="str">
        <f>IF($A36="","",IFERROR(VLOOKUP($A36,StudentRegistry!$A:$D,3,FALSE),"Not found"))</f>
        <v>Not found</v>
      </c>
      <c r="D36" s="76" t="str">
        <f>IF($A36="","",IFERROR(IF(VLOOKUP($A36,StudentRegistry!$A:$D,4,FALSE)="Active","Yes","Inactive"),"No"))</f>
        <v>No</v>
      </c>
      <c r="E36" s="21"/>
      <c r="F36" s="21"/>
      <c r="G36" s="21"/>
    </row>
    <row r="37" ht="15.75" customHeight="1">
      <c r="A37" s="47" t="s">
        <v>333</v>
      </c>
      <c r="B37" s="21"/>
      <c r="C37" s="76" t="str">
        <f>IF($A37="","",IFERROR(VLOOKUP($A37,StudentRegistry!$A:$D,3,FALSE),"Not found"))</f>
        <v>Meikokan</v>
      </c>
      <c r="D37" s="76" t="str">
        <f>IF($A37="","",IFERROR(IF(VLOOKUP($A37,StudentRegistry!$A:$D,4,FALSE)="Active","Yes","Inactive"),"No"))</f>
        <v>Yes</v>
      </c>
      <c r="E37" s="21"/>
      <c r="F37" s="21"/>
      <c r="G37" s="21"/>
    </row>
    <row r="38" ht="15.75" customHeight="1">
      <c r="A38" s="47" t="s">
        <v>816</v>
      </c>
      <c r="B38" s="21"/>
      <c r="C38" s="76" t="str">
        <f>IF($A38="","",IFERROR(VLOOKUP($A38,StudentRegistry!$A:$D,3,FALSE),"Not found"))</f>
        <v>Not found</v>
      </c>
      <c r="D38" s="76" t="str">
        <f>IF($A38="","",IFERROR(IF(VLOOKUP($A38,StudentRegistry!$A:$D,4,FALSE)="Active","Yes","Inactive"),"No"))</f>
        <v>No</v>
      </c>
      <c r="E38" s="21"/>
      <c r="F38" s="21"/>
      <c r="G38" s="21"/>
    </row>
    <row r="39" ht="15.75" customHeight="1">
      <c r="A39" s="47" t="s">
        <v>328</v>
      </c>
      <c r="B39" s="21"/>
      <c r="C39" s="76" t="str">
        <f>IF($A39="","",IFERROR(VLOOKUP($A39,StudentRegistry!$A:$D,3,FALSE),"Not found"))</f>
        <v>Meikokan</v>
      </c>
      <c r="D39" s="76" t="str">
        <f>IF($A39="","",IFERROR(IF(VLOOKUP($A39,StudentRegistry!$A:$D,4,FALSE)="Active","Yes","Inactive"),"No"))</f>
        <v>Yes</v>
      </c>
      <c r="E39" s="21"/>
      <c r="F39" s="21"/>
      <c r="G39" s="21"/>
    </row>
    <row r="40" ht="15.75" customHeight="1">
      <c r="A40" s="47" t="s">
        <v>818</v>
      </c>
      <c r="B40" s="21"/>
      <c r="C40" s="76" t="str">
        <f>IF($A40="","",IFERROR(VLOOKUP($A40,StudentRegistry!$A:$D,3,FALSE),"Not found"))</f>
        <v>Not found</v>
      </c>
      <c r="D40" s="76" t="str">
        <f>IF($A40="","",IFERROR(IF(VLOOKUP($A40,StudentRegistry!$A:$D,4,FALSE)="Active","Yes","Inactive"),"No"))</f>
        <v>No</v>
      </c>
      <c r="E40" s="21"/>
      <c r="F40" s="21"/>
      <c r="G40" s="21"/>
    </row>
    <row r="41" ht="15.75" customHeight="1">
      <c r="A41" s="47" t="s">
        <v>817</v>
      </c>
      <c r="B41" s="21"/>
      <c r="C41" s="76" t="str">
        <f>IF($A41="","",IFERROR(VLOOKUP($A41,StudentRegistry!$A:$D,3,FALSE),"Not found"))</f>
        <v>Not found</v>
      </c>
      <c r="D41" s="76" t="str">
        <f>IF($A41="","",IFERROR(IF(VLOOKUP($A41,StudentRegistry!$A:$D,4,FALSE)="Active","Yes","Inactive"),"No"))</f>
        <v>No</v>
      </c>
      <c r="E41" s="21"/>
      <c r="F41" s="21"/>
      <c r="G41" s="21"/>
    </row>
    <row r="42" ht="15.75" customHeight="1">
      <c r="A42" s="47" t="s">
        <v>307</v>
      </c>
      <c r="B42" s="21"/>
      <c r="C42" s="76" t="str">
        <f>IF($A42="","",IFERROR(VLOOKUP($A42,StudentRegistry!$A:$D,3,FALSE),"Not found"))</f>
        <v>Meikokan</v>
      </c>
      <c r="D42" s="76" t="str">
        <f>IF($A42="","",IFERROR(IF(VLOOKUP($A42,StudentRegistry!$A:$D,4,FALSE)="Active","Yes","Inactive"),"No"))</f>
        <v>Yes</v>
      </c>
      <c r="E42" s="21"/>
      <c r="F42" s="21"/>
      <c r="G42" s="21"/>
    </row>
    <row r="43" ht="15.75" customHeight="1">
      <c r="A43" s="47" t="s">
        <v>332</v>
      </c>
      <c r="B43" s="21"/>
      <c r="C43" s="76" t="str">
        <f>IF($A43="","",IFERROR(VLOOKUP($A43,StudentRegistry!$A:$D,3,FALSE),"Not found"))</f>
        <v>Meikokan</v>
      </c>
      <c r="D43" s="76" t="str">
        <f>IF($A43="","",IFERROR(IF(VLOOKUP($A43,StudentRegistry!$A:$D,4,FALSE)="Active","Yes","Inactive"),"No"))</f>
        <v>Yes</v>
      </c>
      <c r="E43" s="21"/>
      <c r="F43" s="21"/>
      <c r="G43" s="21"/>
    </row>
    <row r="44" ht="15.75" customHeight="1">
      <c r="A44" s="47" t="s">
        <v>317</v>
      </c>
      <c r="B44" s="21"/>
      <c r="C44" s="76" t="str">
        <f>IF($A44="","",IFERROR(VLOOKUP($A44,StudentRegistry!$A:$D,3,FALSE),"Not found"))</f>
        <v>Meikokan</v>
      </c>
      <c r="D44" s="76" t="str">
        <f>IF($A44="","",IFERROR(IF(VLOOKUP($A44,StudentRegistry!$A:$D,4,FALSE)="Active","Yes","Inactive"),"No"))</f>
        <v>Yes</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368</v>
      </c>
      <c r="C3" s="21"/>
      <c r="D3" s="37" t="s">
        <v>71</v>
      </c>
      <c r="E3" s="47" t="s">
        <v>42</v>
      </c>
      <c r="F3" s="21"/>
      <c r="G3" s="21"/>
    </row>
    <row r="4">
      <c r="A4" s="37" t="s">
        <v>70</v>
      </c>
      <c r="B4" s="84">
        <v>46276.0</v>
      </c>
      <c r="C4" s="21"/>
      <c r="D4" s="37" t="s">
        <v>401</v>
      </c>
      <c r="E4" s="85">
        <v>20.0</v>
      </c>
      <c r="F4" s="21"/>
      <c r="G4" s="21"/>
    </row>
    <row r="5">
      <c r="A5" s="37" t="s">
        <v>69</v>
      </c>
      <c r="B5" s="47" t="s">
        <v>369</v>
      </c>
      <c r="C5" s="21"/>
      <c r="D5" s="37" t="s">
        <v>402</v>
      </c>
      <c r="E5" s="85">
        <v>18.0</v>
      </c>
      <c r="F5" s="21"/>
      <c r="G5" s="21"/>
    </row>
    <row r="6">
      <c r="A6" s="21"/>
      <c r="B6" s="21"/>
      <c r="C6" s="21"/>
      <c r="D6" s="37" t="s">
        <v>403</v>
      </c>
      <c r="E6" s="47" t="s">
        <v>42</v>
      </c>
      <c r="F6" s="21"/>
      <c r="G6" s="21"/>
    </row>
    <row r="7">
      <c r="A7" s="24" t="s">
        <v>50</v>
      </c>
      <c r="B7" s="24" t="s">
        <v>404</v>
      </c>
      <c r="C7" s="24" t="s">
        <v>405</v>
      </c>
      <c r="D7" s="24" t="s">
        <v>406</v>
      </c>
      <c r="E7" s="24" t="s">
        <v>407</v>
      </c>
      <c r="F7" s="21"/>
      <c r="G7" s="21"/>
    </row>
    <row r="8">
      <c r="A8" s="47" t="s">
        <v>195</v>
      </c>
      <c r="B8" s="19" t="s">
        <v>840</v>
      </c>
      <c r="C8" s="76" t="str">
        <f>IF($A8="","",IFERROR(VLOOKUP($A8,StudentRegistry!$A:$D,3,FALSE),"Not found"))</f>
        <v>Dorm B</v>
      </c>
      <c r="D8" s="76" t="str">
        <f>IF($A8="","",IFERROR(IF(VLOOKUP($A8,StudentRegistry!$A:$D,4,FALSE)="Active","Yes","Inactive"),"No"))</f>
        <v>Yes</v>
      </c>
      <c r="E8" s="21"/>
      <c r="F8" s="21"/>
      <c r="G8" s="21"/>
    </row>
    <row r="9">
      <c r="A9" s="47" t="s">
        <v>198</v>
      </c>
      <c r="B9" s="19" t="s">
        <v>840</v>
      </c>
      <c r="C9" s="76" t="str">
        <f>IF($A9="","",IFERROR(VLOOKUP($A9,StudentRegistry!$A:$D,3,FALSE),"Not found"))</f>
        <v>Dorm B</v>
      </c>
      <c r="D9" s="76" t="str">
        <f>IF($A9="","",IFERROR(IF(VLOOKUP($A9,StudentRegistry!$A:$D,4,FALSE)="Active","Yes","Inactive"),"No"))</f>
        <v>Yes</v>
      </c>
      <c r="E9" s="21"/>
      <c r="F9" s="21"/>
      <c r="G9" s="21"/>
    </row>
    <row r="10">
      <c r="A10" s="47" t="s">
        <v>214</v>
      </c>
      <c r="B10" s="19" t="s">
        <v>840</v>
      </c>
      <c r="C10" s="76" t="str">
        <f>IF($A10="","",IFERROR(VLOOKUP($A10,StudentRegistry!$A:$D,3,FALSE),"Not found"))</f>
        <v>Dorm B</v>
      </c>
      <c r="D10" s="76" t="str">
        <f>IF($A10="","",IFERROR(IF(VLOOKUP($A10,StudentRegistry!$A:$D,4,FALSE)="Active","Yes","Inactive"),"No"))</f>
        <v>Yes</v>
      </c>
      <c r="E10" s="21"/>
      <c r="F10" s="21"/>
      <c r="G10" s="21"/>
    </row>
    <row r="11">
      <c r="A11" s="47" t="s">
        <v>216</v>
      </c>
      <c r="B11" s="19" t="s">
        <v>840</v>
      </c>
      <c r="C11" s="76" t="str">
        <f>IF($A11="","",IFERROR(VLOOKUP($A11,StudentRegistry!$A:$D,3,FALSE),"Not found"))</f>
        <v>Dorm B</v>
      </c>
      <c r="D11" s="76" t="str">
        <f>IF($A11="","",IFERROR(IF(VLOOKUP($A11,StudentRegistry!$A:$D,4,FALSE)="Active","Yes","Inactive"),"No"))</f>
        <v>Yes</v>
      </c>
      <c r="E11" s="21"/>
      <c r="F11" s="21"/>
      <c r="G11" s="21"/>
    </row>
    <row r="12">
      <c r="A12" s="47" t="s">
        <v>207</v>
      </c>
      <c r="B12" s="19" t="s">
        <v>840</v>
      </c>
      <c r="C12" s="76" t="str">
        <f>IF($A12="","",IFERROR(VLOOKUP($A12,StudentRegistry!$A:$D,3,FALSE),"Not found"))</f>
        <v>Dorm B</v>
      </c>
      <c r="D12" s="76" t="str">
        <f>IF($A12="","",IFERROR(IF(VLOOKUP($A12,StudentRegistry!$A:$D,4,FALSE)="Active","Yes","Inactive"),"No"))</f>
        <v>Yes</v>
      </c>
      <c r="E12" s="21"/>
      <c r="F12" s="21"/>
      <c r="G12" s="21"/>
    </row>
    <row r="13">
      <c r="A13" s="47" t="s">
        <v>191</v>
      </c>
      <c r="B13" s="19" t="s">
        <v>840</v>
      </c>
      <c r="C13" s="76" t="str">
        <f>IF($A13="","",IFERROR(VLOOKUP($A13,StudentRegistry!$A:$D,3,FALSE),"Not found"))</f>
        <v>Dorm B</v>
      </c>
      <c r="D13" s="76" t="str">
        <f>IF($A13="","",IFERROR(IF(VLOOKUP($A13,StudentRegistry!$A:$D,4,FALSE)="Active","Yes","Inactive"),"No"))</f>
        <v>Yes</v>
      </c>
      <c r="E13" s="21"/>
      <c r="F13" s="21"/>
      <c r="G13" s="21"/>
    </row>
    <row r="14">
      <c r="A14" s="47" t="s">
        <v>210</v>
      </c>
      <c r="B14" s="19" t="s">
        <v>840</v>
      </c>
      <c r="C14" s="76" t="str">
        <f>IF($A14="","",IFERROR(VLOOKUP($A14,StudentRegistry!$A:$D,3,FALSE),"Not found"))</f>
        <v>Dorm B</v>
      </c>
      <c r="D14" s="76" t="str">
        <f>IF($A14="","",IFERROR(IF(VLOOKUP($A14,StudentRegistry!$A:$D,4,FALSE)="Active","Yes","Inactive"),"No"))</f>
        <v>Yes</v>
      </c>
      <c r="E14" s="21"/>
      <c r="F14" s="21"/>
      <c r="G14" s="21"/>
    </row>
    <row r="15">
      <c r="A15" s="47" t="s">
        <v>202</v>
      </c>
      <c r="B15" s="19" t="s">
        <v>840</v>
      </c>
      <c r="C15" s="76" t="str">
        <f>IF($A15="","",IFERROR(VLOOKUP($A15,StudentRegistry!$A:$D,3,FALSE),"Not found"))</f>
        <v>Dorm B</v>
      </c>
      <c r="D15" s="76" t="str">
        <f>IF($A15="","",IFERROR(IF(VLOOKUP($A15,StudentRegistry!$A:$D,4,FALSE)="Active","Yes","Inactive"),"No"))</f>
        <v>Yes</v>
      </c>
      <c r="E15" s="21"/>
      <c r="F15" s="21"/>
      <c r="G15" s="21"/>
    </row>
    <row r="16">
      <c r="A16" s="47" t="s">
        <v>189</v>
      </c>
      <c r="B16" s="19" t="s">
        <v>840</v>
      </c>
      <c r="C16" s="76" t="str">
        <f>IF($A16="","",IFERROR(VLOOKUP($A16,StudentRegistry!$A:$D,3,FALSE),"Not found"))</f>
        <v>Dorm B</v>
      </c>
      <c r="D16" s="76" t="str">
        <f>IF($A16="","",IFERROR(IF(VLOOKUP($A16,StudentRegistry!$A:$D,4,FALSE)="Active","Yes","Inactive"),"No"))</f>
        <v>Yes</v>
      </c>
      <c r="E16" s="21"/>
      <c r="F16" s="21"/>
      <c r="G16" s="21"/>
    </row>
    <row r="17">
      <c r="A17" s="47" t="s">
        <v>184</v>
      </c>
      <c r="B17" s="19" t="s">
        <v>840</v>
      </c>
      <c r="C17" s="76" t="str">
        <f>IF($A17="","",IFERROR(VLOOKUP($A17,StudentRegistry!$A:$D,3,FALSE),"Not found"))</f>
        <v>Dorm B</v>
      </c>
      <c r="D17" s="76" t="str">
        <f>IF($A17="","",IFERROR(IF(VLOOKUP($A17,StudentRegistry!$A:$D,4,FALSE)="Active","Yes","Inactive"),"No"))</f>
        <v>Yes</v>
      </c>
      <c r="E17" s="21"/>
      <c r="F17" s="21"/>
      <c r="G17" s="21"/>
    </row>
    <row r="18">
      <c r="A18" s="47" t="s">
        <v>193</v>
      </c>
      <c r="B18" s="19" t="s">
        <v>840</v>
      </c>
      <c r="C18" s="76" t="str">
        <f>IF($A18="","",IFERROR(VLOOKUP($A18,StudentRegistry!$A:$D,3,FALSE),"Not found"))</f>
        <v>Dorm B</v>
      </c>
      <c r="D18" s="76" t="str">
        <f>IF($A18="","",IFERROR(IF(VLOOKUP($A18,StudentRegistry!$A:$D,4,FALSE)="Active","Yes","Inactive"),"No"))</f>
        <v>Yes</v>
      </c>
      <c r="E18" s="21"/>
      <c r="F18" s="21"/>
      <c r="G18" s="21"/>
    </row>
    <row r="19">
      <c r="A19" s="47" t="s">
        <v>204</v>
      </c>
      <c r="B19" s="19" t="s">
        <v>840</v>
      </c>
      <c r="C19" s="76" t="str">
        <f>IF($A19="","",IFERROR(VLOOKUP($A19,StudentRegistry!$A:$D,3,FALSE),"Not found"))</f>
        <v>Dorm B</v>
      </c>
      <c r="D19" s="76" t="str">
        <f>IF($A19="","",IFERROR(IF(VLOOKUP($A19,StudentRegistry!$A:$D,4,FALSE)="Active","Yes","Inactive"),"No"))</f>
        <v>Yes</v>
      </c>
      <c r="E19" s="21"/>
      <c r="F19" s="21"/>
      <c r="G19" s="21"/>
    </row>
    <row r="20">
      <c r="A20" s="47" t="s">
        <v>194</v>
      </c>
      <c r="B20" s="19" t="s">
        <v>840</v>
      </c>
      <c r="C20" s="76" t="str">
        <f>IF($A20="","",IFERROR(VLOOKUP($A20,StudentRegistry!$A:$D,3,FALSE),"Not found"))</f>
        <v>Dorm B</v>
      </c>
      <c r="D20" s="76" t="str">
        <f>IF($A20="","",IFERROR(IF(VLOOKUP($A20,StudentRegistry!$A:$D,4,FALSE)="Active","Yes","Inactive"),"No"))</f>
        <v>Yes</v>
      </c>
      <c r="E20" s="21"/>
      <c r="F20" s="21"/>
      <c r="G20" s="21"/>
    </row>
    <row r="21" ht="15.75" customHeight="1">
      <c r="A21" s="47" t="s">
        <v>206</v>
      </c>
      <c r="B21" s="19" t="s">
        <v>840</v>
      </c>
      <c r="C21" s="76" t="str">
        <f>IF($A21="","",IFERROR(VLOOKUP($A21,StudentRegistry!$A:$D,3,FALSE),"Not found"))</f>
        <v>Dorm B</v>
      </c>
      <c r="D21" s="76" t="str">
        <f>IF($A21="","",IFERROR(IF(VLOOKUP($A21,StudentRegistry!$A:$D,4,FALSE)="Active","Yes","Inactive"),"No"))</f>
        <v>Yes</v>
      </c>
      <c r="E21" s="21"/>
      <c r="F21" s="21"/>
      <c r="G21" s="21"/>
    </row>
    <row r="22" ht="15.75" customHeight="1">
      <c r="A22" s="47" t="s">
        <v>205</v>
      </c>
      <c r="B22" s="19" t="s">
        <v>840</v>
      </c>
      <c r="C22" s="76" t="str">
        <f>IF($A22="","",IFERROR(VLOOKUP($A22,StudentRegistry!$A:$D,3,FALSE),"Not found"))</f>
        <v>Dorm B</v>
      </c>
      <c r="D22" s="76" t="str">
        <f>IF($A22="","",IFERROR(IF(VLOOKUP($A22,StudentRegistry!$A:$D,4,FALSE)="Active","Yes","Inactive"),"No"))</f>
        <v>Yes</v>
      </c>
      <c r="E22" s="21"/>
      <c r="F22" s="21"/>
      <c r="G22" s="21"/>
    </row>
    <row r="23" ht="15.75" customHeight="1">
      <c r="A23" s="47" t="s">
        <v>196</v>
      </c>
      <c r="B23" s="19" t="s">
        <v>840</v>
      </c>
      <c r="C23" s="76" t="str">
        <f>IF($A23="","",IFERROR(VLOOKUP($A23,StudentRegistry!$A:$D,3,FALSE),"Not found"))</f>
        <v>Dorm B</v>
      </c>
      <c r="D23" s="76" t="str">
        <f>IF($A23="","",IFERROR(IF(VLOOKUP($A23,StudentRegistry!$A:$D,4,FALSE)="Active","Yes","Inactive"),"No"))</f>
        <v>Yes</v>
      </c>
      <c r="E23" s="21"/>
      <c r="F23" s="21"/>
      <c r="G23" s="21"/>
    </row>
    <row r="24" ht="15.75" customHeight="1">
      <c r="A24" s="47" t="s">
        <v>185</v>
      </c>
      <c r="B24" s="19" t="s">
        <v>840</v>
      </c>
      <c r="C24" s="76" t="str">
        <f>IF($A24="","",IFERROR(VLOOKUP($A24,StudentRegistry!$A:$D,3,FALSE),"Not found"))</f>
        <v>Dorm B</v>
      </c>
      <c r="D24" s="76" t="str">
        <f>IF($A24="","",IFERROR(IF(VLOOKUP($A24,StudentRegistry!$A:$D,4,FALSE)="Active","Yes","Inactive"),"No"))</f>
        <v>Yes</v>
      </c>
      <c r="E24" s="21"/>
      <c r="F24" s="21"/>
      <c r="G24" s="21"/>
    </row>
    <row r="25" ht="15.75" customHeight="1">
      <c r="A25" s="47" t="s">
        <v>212</v>
      </c>
      <c r="B25" s="19" t="s">
        <v>840</v>
      </c>
      <c r="C25" s="76" t="str">
        <f>IF($A25="","",IFERROR(VLOOKUP($A25,StudentRegistry!$A:$D,3,FALSE),"Not found"))</f>
        <v>Dorm B</v>
      </c>
      <c r="D25" s="76" t="str">
        <f>IF($A25="","",IFERROR(IF(VLOOKUP($A25,StudentRegistry!$A:$D,4,FALSE)="Active","Yes","Inactive"),"No"))</f>
        <v>Yes</v>
      </c>
      <c r="E25" s="21"/>
      <c r="F25" s="21"/>
      <c r="G25" s="21"/>
    </row>
    <row r="26" ht="15.75" customHeight="1">
      <c r="A26" s="74"/>
      <c r="B26" s="21"/>
      <c r="C26" s="76" t="str">
        <f>IF($A26="","",IFERROR(VLOOKUP($A26,StudentRegistry!$A:$D,3,FALSE),"Not found"))</f>
        <v/>
      </c>
      <c r="D26" s="76" t="str">
        <f>IF($A26="","",IFERROR(IF(VLOOKUP($A26,StudentRegistry!$A:$D,4,FALSE)="Active","Yes","Inactive"),"No"))</f>
        <v/>
      </c>
      <c r="E26" s="21"/>
      <c r="F26" s="21"/>
      <c r="G26" s="21"/>
    </row>
    <row r="27" ht="15.75" customHeight="1">
      <c r="A27" s="74"/>
      <c r="B27" s="21"/>
      <c r="C27" s="76" t="str">
        <f>IF($A27="","",IFERROR(VLOOKUP($A27,StudentRegistry!$A:$D,3,FALSE),"Not found"))</f>
        <v/>
      </c>
      <c r="D27" s="76" t="str">
        <f>IF($A27="","",IFERROR(IF(VLOOKUP($A27,StudentRegistry!$A:$D,4,FALSE)="Active","Yes","Inactive"),"No"))</f>
        <v/>
      </c>
      <c r="E27" s="21"/>
      <c r="F27" s="21"/>
      <c r="G27" s="21"/>
    </row>
    <row r="28" ht="15.75" customHeight="1">
      <c r="A28" s="74"/>
      <c r="B28" s="21"/>
      <c r="C28" s="76" t="str">
        <f>IF($A28="","",IFERROR(VLOOKUP($A28,StudentRegistry!$A:$D,3,FALSE),"Not found"))</f>
        <v/>
      </c>
      <c r="D28" s="76" t="str">
        <f>IF($A28="","",IFERROR(IF(VLOOKUP($A28,StudentRegistry!$A:$D,4,FALSE)="Active","Yes","Inactive"),"No"))</f>
        <v/>
      </c>
      <c r="E28" s="21"/>
      <c r="F28" s="21"/>
      <c r="G28" s="21"/>
    </row>
    <row r="29" ht="15.75" customHeight="1">
      <c r="A29" s="74"/>
      <c r="B29" s="21"/>
      <c r="C29" s="76" t="str">
        <f>IF($A29="","",IFERROR(VLOOKUP($A29,StudentRegistry!$A:$D,3,FALSE),"Not found"))</f>
        <v/>
      </c>
      <c r="D29" s="76" t="str">
        <f>IF($A29="","",IFERROR(IF(VLOOKUP($A29,StudentRegistry!$A:$D,4,FALSE)="Active","Yes","Inactive"),"No"))</f>
        <v/>
      </c>
      <c r="E29" s="21"/>
      <c r="F29" s="21"/>
      <c r="G29" s="21"/>
    </row>
    <row r="30" ht="15.75" customHeight="1">
      <c r="A30" s="74"/>
      <c r="B30" s="21"/>
      <c r="C30" s="76" t="str">
        <f>IF($A30="","",IFERROR(VLOOKUP($A30,StudentRegistry!$A:$D,3,FALSE),"Not found"))</f>
        <v/>
      </c>
      <c r="D30" s="76" t="str">
        <f>IF($A30="","",IFERROR(IF(VLOOKUP($A30,StudentRegistry!$A:$D,4,FALSE)="Active","Yes","Inactive"),"No"))</f>
        <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386</v>
      </c>
      <c r="C3" s="21"/>
      <c r="D3" s="37" t="s">
        <v>71</v>
      </c>
      <c r="E3" s="47" t="s">
        <v>42</v>
      </c>
      <c r="F3" s="21"/>
      <c r="G3" s="21"/>
    </row>
    <row r="4">
      <c r="A4" s="37" t="s">
        <v>70</v>
      </c>
      <c r="B4" s="84">
        <v>46304.0</v>
      </c>
      <c r="C4" s="21"/>
      <c r="D4" s="37" t="s">
        <v>401</v>
      </c>
      <c r="E4" s="85">
        <v>20.0</v>
      </c>
      <c r="F4" s="21"/>
      <c r="G4" s="21"/>
    </row>
    <row r="5">
      <c r="A5" s="37" t="s">
        <v>69</v>
      </c>
      <c r="B5" s="47" t="s">
        <v>387</v>
      </c>
      <c r="C5" s="21"/>
      <c r="D5" s="37" t="s">
        <v>402</v>
      </c>
      <c r="E5" s="47">
        <v>23.0</v>
      </c>
      <c r="F5" s="21"/>
      <c r="G5" s="21"/>
    </row>
    <row r="6">
      <c r="A6" s="21"/>
      <c r="B6" s="21"/>
      <c r="C6" s="21"/>
      <c r="D6" s="37" t="s">
        <v>403</v>
      </c>
      <c r="E6" s="47" t="s">
        <v>42</v>
      </c>
      <c r="F6" s="21"/>
      <c r="G6" s="21"/>
    </row>
    <row r="7">
      <c r="A7" s="24" t="s">
        <v>50</v>
      </c>
      <c r="B7" s="24" t="s">
        <v>404</v>
      </c>
      <c r="C7" s="24" t="s">
        <v>405</v>
      </c>
      <c r="D7" s="24" t="s">
        <v>406</v>
      </c>
      <c r="E7" s="24" t="s">
        <v>407</v>
      </c>
      <c r="F7" s="21"/>
      <c r="G7" s="21"/>
    </row>
    <row r="8">
      <c r="A8" s="47" t="s">
        <v>200</v>
      </c>
      <c r="B8" s="19" t="s">
        <v>840</v>
      </c>
      <c r="C8" s="76" t="str">
        <f>IF($A8="","",IFERROR(VLOOKUP($A8,StudentRegistry!$A:$D,3,FALSE),"Not found"))</f>
        <v>Dorm B</v>
      </c>
      <c r="D8" s="76" t="str">
        <f>IF($A8="","",IFERROR(IF(VLOOKUP($A8,StudentRegistry!$A:$D,4,FALSE)="Active","Yes","Inactive"),"No"))</f>
        <v>Yes</v>
      </c>
      <c r="E8" s="21"/>
      <c r="F8" s="21"/>
      <c r="G8" s="21"/>
    </row>
    <row r="9">
      <c r="A9" s="47" t="s">
        <v>198</v>
      </c>
      <c r="B9" s="19" t="s">
        <v>840</v>
      </c>
      <c r="C9" s="76" t="str">
        <f>IF($A9="","",IFERROR(VLOOKUP($A9,StudentRegistry!$A:$D,3,FALSE),"Not found"))</f>
        <v>Dorm B</v>
      </c>
      <c r="D9" s="76" t="str">
        <f>IF($A9="","",IFERROR(IF(VLOOKUP($A9,StudentRegistry!$A:$D,4,FALSE)="Active","Yes","Inactive"),"No"))</f>
        <v>Yes</v>
      </c>
      <c r="E9" s="21"/>
      <c r="F9" s="21"/>
      <c r="G9" s="21"/>
    </row>
    <row r="10">
      <c r="A10" s="47" t="s">
        <v>188</v>
      </c>
      <c r="B10" s="19" t="s">
        <v>840</v>
      </c>
      <c r="C10" s="76" t="str">
        <f>IF($A10="","",IFERROR(VLOOKUP($A10,StudentRegistry!$A:$D,3,FALSE),"Not found"))</f>
        <v>Dorm B</v>
      </c>
      <c r="D10" s="76" t="str">
        <f>IF($A10="","",IFERROR(IF(VLOOKUP($A10,StudentRegistry!$A:$D,4,FALSE)="Active","Yes","Inactive"),"No"))</f>
        <v>Yes</v>
      </c>
      <c r="E10" s="21"/>
      <c r="F10" s="21"/>
      <c r="G10" s="21"/>
    </row>
    <row r="11">
      <c r="A11" s="47" t="s">
        <v>190</v>
      </c>
      <c r="B11" s="19" t="s">
        <v>840</v>
      </c>
      <c r="C11" s="76" t="str">
        <f>IF($A11="","",IFERROR(VLOOKUP($A11,StudentRegistry!$A:$D,3,FALSE),"Not found"))</f>
        <v>Dorm B</v>
      </c>
      <c r="D11" s="76" t="str">
        <f>IF($A11="","",IFERROR(IF(VLOOKUP($A11,StudentRegistry!$A:$D,4,FALSE)="Active","Yes","Inactive"),"No"))</f>
        <v>Yes</v>
      </c>
      <c r="E11" s="21"/>
      <c r="F11" s="21"/>
      <c r="G11" s="21"/>
    </row>
    <row r="12">
      <c r="A12" s="47" t="s">
        <v>216</v>
      </c>
      <c r="B12" s="19" t="s">
        <v>840</v>
      </c>
      <c r="C12" s="76" t="str">
        <f>IF($A12="","",IFERROR(VLOOKUP($A12,StudentRegistry!$A:$D,3,FALSE),"Not found"))</f>
        <v>Dorm B</v>
      </c>
      <c r="D12" s="76" t="str">
        <f>IF($A12="","",IFERROR(IF(VLOOKUP($A12,StudentRegistry!$A:$D,4,FALSE)="Active","Yes","Inactive"),"No"))</f>
        <v>Yes</v>
      </c>
      <c r="E12" s="21"/>
      <c r="F12" s="21"/>
      <c r="G12" s="21"/>
    </row>
    <row r="13">
      <c r="A13" s="47" t="s">
        <v>210</v>
      </c>
      <c r="B13" s="19" t="s">
        <v>840</v>
      </c>
      <c r="C13" s="76" t="str">
        <f>IF($A13="","",IFERROR(VLOOKUP($A13,StudentRegistry!$A:$D,3,FALSE),"Not found"))</f>
        <v>Dorm B</v>
      </c>
      <c r="D13" s="76" t="str">
        <f>IF($A13="","",IFERROR(IF(VLOOKUP($A13,StudentRegistry!$A:$D,4,FALSE)="Active","Yes","Inactive"),"No"))</f>
        <v>Yes</v>
      </c>
      <c r="E13" s="21"/>
      <c r="F13" s="21"/>
      <c r="G13" s="21"/>
    </row>
    <row r="14">
      <c r="A14" s="47" t="s">
        <v>191</v>
      </c>
      <c r="B14" s="19" t="s">
        <v>840</v>
      </c>
      <c r="C14" s="76" t="str">
        <f>IF($A14="","",IFERROR(VLOOKUP($A14,StudentRegistry!$A:$D,3,FALSE),"Not found"))</f>
        <v>Dorm B</v>
      </c>
      <c r="D14" s="76" t="str">
        <f>IF($A14="","",IFERROR(IF(VLOOKUP($A14,StudentRegistry!$A:$D,4,FALSE)="Active","Yes","Inactive"),"No"))</f>
        <v>Yes</v>
      </c>
      <c r="E14" s="21"/>
      <c r="F14" s="21"/>
      <c r="G14" s="21"/>
    </row>
    <row r="15">
      <c r="A15" s="47" t="s">
        <v>178</v>
      </c>
      <c r="B15" s="19" t="s">
        <v>840</v>
      </c>
      <c r="C15" s="76" t="str">
        <f>IF($A15="","",IFERROR(VLOOKUP($A15,StudentRegistry!$A:$D,3,FALSE),"Not found"))</f>
        <v>Dorm B</v>
      </c>
      <c r="D15" s="76" t="str">
        <f>IF($A15="","",IFERROR(IF(VLOOKUP($A15,StudentRegistry!$A:$D,4,FALSE)="Active","Yes","Inactive"),"No"))</f>
        <v>Yes</v>
      </c>
      <c r="E15" s="21"/>
      <c r="F15" s="21"/>
      <c r="G15" s="21"/>
    </row>
    <row r="16">
      <c r="A16" s="47" t="s">
        <v>193</v>
      </c>
      <c r="B16" s="19" t="s">
        <v>840</v>
      </c>
      <c r="C16" s="76" t="str">
        <f>IF($A16="","",IFERROR(VLOOKUP($A16,StudentRegistry!$A:$D,3,FALSE),"Not found"))</f>
        <v>Dorm B</v>
      </c>
      <c r="D16" s="76" t="str">
        <f>IF($A16="","",IFERROR(IF(VLOOKUP($A16,StudentRegistry!$A:$D,4,FALSE)="Active","Yes","Inactive"),"No"))</f>
        <v>Yes</v>
      </c>
      <c r="E16" s="21"/>
      <c r="F16" s="21"/>
      <c r="G16" s="21"/>
    </row>
    <row r="17">
      <c r="A17" s="47" t="s">
        <v>187</v>
      </c>
      <c r="B17" s="19" t="s">
        <v>840</v>
      </c>
      <c r="C17" s="76" t="str">
        <f>IF($A17="","",IFERROR(VLOOKUP($A17,StudentRegistry!$A:$D,3,FALSE),"Not found"))</f>
        <v>Dorm B</v>
      </c>
      <c r="D17" s="76" t="str">
        <f>IF($A17="","",IFERROR(IF(VLOOKUP($A17,StudentRegistry!$A:$D,4,FALSE)="Active","Yes","Inactive"),"No"))</f>
        <v>Yes</v>
      </c>
      <c r="E17" s="21"/>
      <c r="F17" s="21"/>
      <c r="G17" s="21"/>
    </row>
    <row r="18">
      <c r="A18" s="47" t="s">
        <v>204</v>
      </c>
      <c r="B18" s="19" t="s">
        <v>840</v>
      </c>
      <c r="C18" s="76" t="str">
        <f>IF($A18="","",IFERROR(VLOOKUP($A18,StudentRegistry!$A:$D,3,FALSE),"Not found"))</f>
        <v>Dorm B</v>
      </c>
      <c r="D18" s="76" t="str">
        <f>IF($A18="","",IFERROR(IF(VLOOKUP($A18,StudentRegistry!$A:$D,4,FALSE)="Active","Yes","Inactive"),"No"))</f>
        <v>Yes</v>
      </c>
      <c r="E18" s="21"/>
      <c r="F18" s="21"/>
      <c r="G18" s="21"/>
    </row>
    <row r="19">
      <c r="A19" s="47" t="s">
        <v>214</v>
      </c>
      <c r="B19" s="19" t="s">
        <v>840</v>
      </c>
      <c r="C19" s="76" t="str">
        <f>IF($A19="","",IFERROR(VLOOKUP($A19,StudentRegistry!$A:$D,3,FALSE),"Not found"))</f>
        <v>Dorm B</v>
      </c>
      <c r="D19" s="76" t="str">
        <f>IF($A19="","",IFERROR(IF(VLOOKUP($A19,StudentRegistry!$A:$D,4,FALSE)="Active","Yes","Inactive"),"No"))</f>
        <v>Yes</v>
      </c>
      <c r="E19" s="21"/>
      <c r="F19" s="21"/>
      <c r="G19" s="21"/>
    </row>
    <row r="20">
      <c r="A20" s="47" t="s">
        <v>185</v>
      </c>
      <c r="B20" s="19" t="s">
        <v>840</v>
      </c>
      <c r="C20" s="76" t="str">
        <f>IF($A20="","",IFERROR(VLOOKUP($A20,StudentRegistry!$A:$D,3,FALSE),"Not found"))</f>
        <v>Dorm B</v>
      </c>
      <c r="D20" s="76" t="str">
        <f>IF($A20="","",IFERROR(IF(VLOOKUP($A20,StudentRegistry!$A:$D,4,FALSE)="Active","Yes","Inactive"),"No"))</f>
        <v>Yes</v>
      </c>
      <c r="E20" s="21"/>
      <c r="F20" s="21"/>
      <c r="G20" s="21"/>
    </row>
    <row r="21" ht="15.75" customHeight="1">
      <c r="A21" s="47" t="s">
        <v>203</v>
      </c>
      <c r="B21" s="19" t="s">
        <v>840</v>
      </c>
      <c r="C21" s="76" t="str">
        <f>IF($A21="","",IFERROR(VLOOKUP($A21,StudentRegistry!$A:$D,3,FALSE),"Not found"))</f>
        <v>Dorm B</v>
      </c>
      <c r="D21" s="76" t="str">
        <f>IF($A21="","",IFERROR(IF(VLOOKUP($A21,StudentRegistry!$A:$D,4,FALSE)="Active","Yes","Inactive"),"No"))</f>
        <v>Yes</v>
      </c>
      <c r="E21" s="21"/>
      <c r="F21" s="21"/>
      <c r="G21" s="21"/>
    </row>
    <row r="22" ht="15.75" customHeight="1">
      <c r="A22" s="47" t="s">
        <v>199</v>
      </c>
      <c r="B22" s="19" t="s">
        <v>840</v>
      </c>
      <c r="C22" s="76" t="str">
        <f>IF($A22="","",IFERROR(VLOOKUP($A22,StudentRegistry!$A:$D,3,FALSE),"Not found"))</f>
        <v>Dorm B</v>
      </c>
      <c r="D22" s="76" t="str">
        <f>IF($A22="","",IFERROR(IF(VLOOKUP($A22,StudentRegistry!$A:$D,4,FALSE)="Active","Yes","Inactive"),"No"))</f>
        <v>Yes</v>
      </c>
      <c r="E22" s="21"/>
      <c r="F22" s="21"/>
      <c r="G22" s="21"/>
    </row>
    <row r="23" ht="15.75" customHeight="1">
      <c r="A23" s="47" t="s">
        <v>196</v>
      </c>
      <c r="B23" s="19" t="s">
        <v>840</v>
      </c>
      <c r="C23" s="76" t="str">
        <f>IF($A23="","",IFERROR(VLOOKUP($A23,StudentRegistry!$A:$D,3,FALSE),"Not found"))</f>
        <v>Dorm B</v>
      </c>
      <c r="D23" s="76" t="str">
        <f>IF($A23="","",IFERROR(IF(VLOOKUP($A23,StudentRegistry!$A:$D,4,FALSE)="Active","Yes","Inactive"),"No"))</f>
        <v>Yes</v>
      </c>
      <c r="E23" s="21"/>
      <c r="F23" s="21"/>
      <c r="G23" s="21"/>
    </row>
    <row r="24" ht="15.75" customHeight="1">
      <c r="A24" s="47" t="s">
        <v>207</v>
      </c>
      <c r="B24" s="19" t="s">
        <v>840</v>
      </c>
      <c r="C24" s="76" t="str">
        <f>IF($A24="","",IFERROR(VLOOKUP($A24,StudentRegistry!$A:$D,3,FALSE),"Not found"))</f>
        <v>Dorm B</v>
      </c>
      <c r="D24" s="76" t="str">
        <f>IF($A24="","",IFERROR(IF(VLOOKUP($A24,StudentRegistry!$A:$D,4,FALSE)="Active","Yes","Inactive"),"No"))</f>
        <v>Yes</v>
      </c>
      <c r="E24" s="21"/>
      <c r="F24" s="21"/>
      <c r="G24" s="21"/>
    </row>
    <row r="25" ht="15.75" customHeight="1">
      <c r="A25" s="47" t="s">
        <v>184</v>
      </c>
      <c r="B25" s="19" t="s">
        <v>840</v>
      </c>
      <c r="C25" s="76" t="str">
        <f>IF($A25="","",IFERROR(VLOOKUP($A25,StudentRegistry!$A:$D,3,FALSE),"Not found"))</f>
        <v>Dorm B</v>
      </c>
      <c r="D25" s="76" t="str">
        <f>IF($A25="","",IFERROR(IF(VLOOKUP($A25,StudentRegistry!$A:$D,4,FALSE)="Active","Yes","Inactive"),"No"))</f>
        <v>Yes</v>
      </c>
      <c r="E25" s="21"/>
      <c r="F25" s="21"/>
      <c r="G25" s="21"/>
    </row>
    <row r="26" ht="15.75" customHeight="1">
      <c r="A26" s="47" t="s">
        <v>211</v>
      </c>
      <c r="B26" s="19" t="s">
        <v>840</v>
      </c>
      <c r="C26" s="76" t="str">
        <f>IF($A26="","",IFERROR(VLOOKUP($A26,StudentRegistry!$A:$D,3,FALSE),"Not found"))</f>
        <v>Dorm B</v>
      </c>
      <c r="D26" s="76" t="str">
        <f>IF($A26="","",IFERROR(IF(VLOOKUP($A26,StudentRegistry!$A:$D,4,FALSE)="Active","Yes","Inactive"),"No"))</f>
        <v>Yes</v>
      </c>
      <c r="E26" s="21"/>
      <c r="F26" s="21"/>
      <c r="G26" s="21"/>
    </row>
    <row r="27" ht="15.75" customHeight="1">
      <c r="A27" s="47" t="s">
        <v>208</v>
      </c>
      <c r="B27" s="19" t="s">
        <v>840</v>
      </c>
      <c r="C27" s="76" t="str">
        <f>IF($A27="","",IFERROR(VLOOKUP($A27,StudentRegistry!$A:$D,3,FALSE),"Not found"))</f>
        <v>Dorm B</v>
      </c>
      <c r="D27" s="76" t="str">
        <f>IF($A27="","",IFERROR(IF(VLOOKUP($A27,StudentRegistry!$A:$D,4,FALSE)="Active","Yes","Inactive"),"No"))</f>
        <v>Yes</v>
      </c>
      <c r="E27" s="21"/>
      <c r="F27" s="21"/>
      <c r="G27" s="21"/>
    </row>
    <row r="28" ht="15.75" customHeight="1">
      <c r="A28" s="47" t="s">
        <v>189</v>
      </c>
      <c r="B28" s="19" t="s">
        <v>840</v>
      </c>
      <c r="C28" s="76" t="str">
        <f>IF($A28="","",IFERROR(VLOOKUP($A28,StudentRegistry!$A:$D,3,FALSE),"Not found"))</f>
        <v>Dorm B</v>
      </c>
      <c r="D28" s="76" t="str">
        <f>IF($A28="","",IFERROR(IF(VLOOKUP($A28,StudentRegistry!$A:$D,4,FALSE)="Active","Yes","Inactive"),"No"))</f>
        <v>Yes</v>
      </c>
      <c r="E28" s="21"/>
      <c r="F28" s="21"/>
      <c r="G28" s="21"/>
    </row>
    <row r="29" ht="15.75" customHeight="1">
      <c r="A29" s="47" t="s">
        <v>202</v>
      </c>
      <c r="B29" s="19" t="s">
        <v>840</v>
      </c>
      <c r="C29" s="76" t="str">
        <f>IF($A29="","",IFERROR(VLOOKUP($A29,StudentRegistry!$A:$D,3,FALSE),"Not found"))</f>
        <v>Dorm B</v>
      </c>
      <c r="D29" s="76" t="str">
        <f>IF($A29="","",IFERROR(IF(VLOOKUP($A29,StudentRegistry!$A:$D,4,FALSE)="Active","Yes","Inactive"),"No"))</f>
        <v>Yes</v>
      </c>
      <c r="E29" s="21"/>
      <c r="F29" s="21"/>
      <c r="G29" s="21"/>
    </row>
    <row r="30" ht="15.75" customHeight="1">
      <c r="A30" s="47" t="s">
        <v>206</v>
      </c>
      <c r="B30" s="19" t="s">
        <v>840</v>
      </c>
      <c r="C30" s="76" t="str">
        <f>IF($A30="","",IFERROR(VLOOKUP($A30,StudentRegistry!$A:$D,3,FALSE),"Not found"))</f>
        <v>Dorm B</v>
      </c>
      <c r="D30" s="76" t="str">
        <f>IF($A30="","",IFERROR(IF(VLOOKUP($A30,StudentRegistry!$A:$D,4,FALSE)="Active","Yes","Inactive"),"No"))</f>
        <v>Yes</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394</v>
      </c>
      <c r="C3" s="21"/>
      <c r="D3" s="37" t="s">
        <v>71</v>
      </c>
      <c r="E3" s="47" t="s">
        <v>42</v>
      </c>
      <c r="F3" s="21"/>
      <c r="G3" s="21"/>
    </row>
    <row r="4">
      <c r="A4" s="37" t="s">
        <v>70</v>
      </c>
      <c r="B4" s="84">
        <v>46306.0</v>
      </c>
      <c r="C4" s="21"/>
      <c r="D4" s="37" t="s">
        <v>401</v>
      </c>
      <c r="E4" s="85">
        <v>15.0</v>
      </c>
      <c r="F4" s="21"/>
      <c r="G4" s="21"/>
    </row>
    <row r="5">
      <c r="A5" s="37" t="s">
        <v>69</v>
      </c>
      <c r="B5" s="47" t="s">
        <v>395</v>
      </c>
      <c r="C5" s="21"/>
      <c r="D5" s="37" t="s">
        <v>402</v>
      </c>
      <c r="E5" s="47">
        <v>12.0</v>
      </c>
      <c r="F5" s="21"/>
      <c r="G5" s="21"/>
    </row>
    <row r="6">
      <c r="A6" s="21"/>
      <c r="B6" s="21"/>
      <c r="C6" s="21"/>
      <c r="D6" s="37" t="s">
        <v>403</v>
      </c>
      <c r="E6" s="47" t="s">
        <v>42</v>
      </c>
      <c r="F6" s="21"/>
      <c r="G6" s="21"/>
    </row>
    <row r="7">
      <c r="A7" s="24" t="s">
        <v>50</v>
      </c>
      <c r="B7" s="24" t="s">
        <v>404</v>
      </c>
      <c r="C7" s="24" t="s">
        <v>405</v>
      </c>
      <c r="D7" s="24" t="s">
        <v>406</v>
      </c>
      <c r="E7" s="24" t="s">
        <v>407</v>
      </c>
      <c r="F7" s="21"/>
      <c r="G7" s="21"/>
    </row>
    <row r="8">
      <c r="A8" s="47" t="s">
        <v>210</v>
      </c>
      <c r="B8" s="19" t="s">
        <v>840</v>
      </c>
      <c r="C8" s="76" t="str">
        <f>IF($A8="","",IFERROR(VLOOKUP($A8,StudentRegistry!$A:$D,3,FALSE),"Not found"))</f>
        <v>Dorm B</v>
      </c>
      <c r="D8" s="76" t="str">
        <f>IF($A8="","",IFERROR(IF(VLOOKUP($A8,StudentRegistry!$A:$D,4,FALSE)="Active","Yes","Inactive"),"No"))</f>
        <v>Yes</v>
      </c>
      <c r="E8" s="21"/>
      <c r="F8" s="21"/>
      <c r="G8" s="21"/>
    </row>
    <row r="9">
      <c r="A9" s="47" t="s">
        <v>202</v>
      </c>
      <c r="B9" s="19" t="s">
        <v>840</v>
      </c>
      <c r="C9" s="76" t="str">
        <f>IF($A9="","",IFERROR(VLOOKUP($A9,StudentRegistry!$A:$D,3,FALSE),"Not found"))</f>
        <v>Dorm B</v>
      </c>
      <c r="D9" s="76" t="str">
        <f>IF($A9="","",IFERROR(IF(VLOOKUP($A9,StudentRegistry!$A:$D,4,FALSE)="Active","Yes","Inactive"),"No"))</f>
        <v>Yes</v>
      </c>
      <c r="E9" s="21"/>
      <c r="F9" s="21"/>
      <c r="G9" s="21"/>
    </row>
    <row r="10">
      <c r="A10" s="47" t="s">
        <v>216</v>
      </c>
      <c r="B10" s="19" t="s">
        <v>840</v>
      </c>
      <c r="C10" s="76" t="str">
        <f>IF($A10="","",IFERROR(VLOOKUP($A10,StudentRegistry!$A:$D,3,FALSE),"Not found"))</f>
        <v>Dorm B</v>
      </c>
      <c r="D10" s="76" t="str">
        <f>IF($A10="","",IFERROR(IF(VLOOKUP($A10,StudentRegistry!$A:$D,4,FALSE)="Active","Yes","Inactive"),"No"))</f>
        <v>Yes</v>
      </c>
      <c r="E10" s="21"/>
      <c r="F10" s="21"/>
      <c r="G10" s="21"/>
    </row>
    <row r="11">
      <c r="A11" s="47" t="s">
        <v>196</v>
      </c>
      <c r="B11" s="19" t="s">
        <v>840</v>
      </c>
      <c r="C11" s="76" t="str">
        <f>IF($A11="","",IFERROR(VLOOKUP($A11,StudentRegistry!$A:$D,3,FALSE),"Not found"))</f>
        <v>Dorm B</v>
      </c>
      <c r="D11" s="76" t="str">
        <f>IF($A11="","",IFERROR(IF(VLOOKUP($A11,StudentRegistry!$A:$D,4,FALSE)="Active","Yes","Inactive"),"No"))</f>
        <v>Yes</v>
      </c>
      <c r="E11" s="21"/>
      <c r="F11" s="21"/>
      <c r="G11" s="21"/>
    </row>
    <row r="12">
      <c r="A12" s="47" t="s">
        <v>193</v>
      </c>
      <c r="B12" s="19" t="s">
        <v>840</v>
      </c>
      <c r="C12" s="76" t="str">
        <f>IF($A12="","",IFERROR(VLOOKUP($A12,StudentRegistry!$A:$D,3,FALSE),"Not found"))</f>
        <v>Dorm B</v>
      </c>
      <c r="D12" s="76" t="str">
        <f>IF($A12="","",IFERROR(IF(VLOOKUP($A12,StudentRegistry!$A:$D,4,FALSE)="Active","Yes","Inactive"),"No"))</f>
        <v>Yes</v>
      </c>
      <c r="E12" s="21"/>
      <c r="F12" s="21"/>
      <c r="G12" s="21"/>
    </row>
    <row r="13">
      <c r="A13" s="47" t="s">
        <v>198</v>
      </c>
      <c r="B13" s="19" t="s">
        <v>840</v>
      </c>
      <c r="C13" s="76" t="str">
        <f>IF($A13="","",IFERROR(VLOOKUP($A13,StudentRegistry!$A:$D,3,FALSE),"Not found"))</f>
        <v>Dorm B</v>
      </c>
      <c r="D13" s="76" t="str">
        <f>IF($A13="","",IFERROR(IF(VLOOKUP($A13,StudentRegistry!$A:$D,4,FALSE)="Active","Yes","Inactive"),"No"))</f>
        <v>Yes</v>
      </c>
      <c r="E13" s="21"/>
      <c r="F13" s="21"/>
      <c r="G13" s="21"/>
    </row>
    <row r="14">
      <c r="A14" s="47" t="s">
        <v>184</v>
      </c>
      <c r="B14" s="19" t="s">
        <v>840</v>
      </c>
      <c r="C14" s="76" t="str">
        <f>IF($A14="","",IFERROR(VLOOKUP($A14,StudentRegistry!$A:$D,3,FALSE),"Not found"))</f>
        <v>Dorm B</v>
      </c>
      <c r="D14" s="76" t="str">
        <f>IF($A14="","",IFERROR(IF(VLOOKUP($A14,StudentRegistry!$A:$D,4,FALSE)="Active","Yes","Inactive"),"No"))</f>
        <v>Yes</v>
      </c>
      <c r="E14" s="21"/>
      <c r="F14" s="21"/>
      <c r="G14" s="21"/>
    </row>
    <row r="15">
      <c r="A15" s="47" t="s">
        <v>214</v>
      </c>
      <c r="B15" s="19" t="s">
        <v>840</v>
      </c>
      <c r="C15" s="76" t="str">
        <f>IF($A15="","",IFERROR(VLOOKUP($A15,StudentRegistry!$A:$D,3,FALSE),"Not found"))</f>
        <v>Dorm B</v>
      </c>
      <c r="D15" s="76" t="str">
        <f>IF($A15="","",IFERROR(IF(VLOOKUP($A15,StudentRegistry!$A:$D,4,FALSE)="Active","Yes","Inactive"),"No"))</f>
        <v>Yes</v>
      </c>
      <c r="E15" s="21"/>
      <c r="F15" s="21"/>
      <c r="G15" s="21"/>
    </row>
    <row r="16">
      <c r="A16" s="47" t="s">
        <v>190</v>
      </c>
      <c r="B16" s="19" t="s">
        <v>840</v>
      </c>
      <c r="C16" s="76" t="str">
        <f>IF($A16="","",IFERROR(VLOOKUP($A16,StudentRegistry!$A:$D,3,FALSE),"Not found"))</f>
        <v>Dorm B</v>
      </c>
      <c r="D16" s="76" t="str">
        <f>IF($A16="","",IFERROR(IF(VLOOKUP($A16,StudentRegistry!$A:$D,4,FALSE)="Active","Yes","Inactive"),"No"))</f>
        <v>Yes</v>
      </c>
      <c r="E16" s="21"/>
      <c r="F16" s="21"/>
      <c r="G16" s="21"/>
    </row>
    <row r="17">
      <c r="A17" s="47" t="s">
        <v>208</v>
      </c>
      <c r="B17" s="19" t="s">
        <v>840</v>
      </c>
      <c r="C17" s="76" t="str">
        <f>IF($A17="","",IFERROR(VLOOKUP($A17,StudentRegistry!$A:$D,3,FALSE),"Not found"))</f>
        <v>Dorm B</v>
      </c>
      <c r="D17" s="76" t="str">
        <f>IF($A17="","",IFERROR(IF(VLOOKUP($A17,StudentRegistry!$A:$D,4,FALSE)="Active","Yes","Inactive"),"No"))</f>
        <v>Yes</v>
      </c>
      <c r="E17" s="21"/>
      <c r="F17" s="21"/>
      <c r="G17" s="21"/>
    </row>
    <row r="18">
      <c r="A18" s="47" t="s">
        <v>211</v>
      </c>
      <c r="B18" s="19" t="s">
        <v>840</v>
      </c>
      <c r="C18" s="76" t="str">
        <f>IF($A18="","",IFERROR(VLOOKUP($A18,StudentRegistry!$A:$D,3,FALSE),"Not found"))</f>
        <v>Dorm B</v>
      </c>
      <c r="D18" s="76" t="str">
        <f>IF($A18="","",IFERROR(IF(VLOOKUP($A18,StudentRegistry!$A:$D,4,FALSE)="Active","Yes","Inactive"),"No"))</f>
        <v>Yes</v>
      </c>
      <c r="E18" s="21"/>
      <c r="F18" s="21"/>
      <c r="G18" s="21"/>
    </row>
    <row r="19">
      <c r="A19" s="47" t="s">
        <v>189</v>
      </c>
      <c r="B19" s="19" t="s">
        <v>840</v>
      </c>
      <c r="C19" s="76" t="str">
        <f>IF($A19="","",IFERROR(VLOOKUP($A19,StudentRegistry!$A:$D,3,FALSE),"Not found"))</f>
        <v>Dorm B</v>
      </c>
      <c r="D19" s="76" t="str">
        <f>IF($A19="","",IFERROR(IF(VLOOKUP($A19,StudentRegistry!$A:$D,4,FALSE)="Active","Yes","Inactive"),"No"))</f>
        <v>Yes</v>
      </c>
      <c r="E19" s="21"/>
      <c r="F19" s="21"/>
      <c r="G19" s="21"/>
    </row>
    <row r="20">
      <c r="A20" s="74"/>
      <c r="B20" s="21"/>
      <c r="C20" s="76" t="str">
        <f>IF($A20="","",IFERROR(VLOOKUP($A20,StudentRegistry!$A:$D,3,FALSE),"Not found"))</f>
        <v/>
      </c>
      <c r="D20" s="76" t="str">
        <f>IF($A20="","",IFERROR(IF(VLOOKUP($A20,StudentRegistry!$A:$D,4,FALSE)="Active","Yes","Inactive"),"No"))</f>
        <v/>
      </c>
      <c r="E20" s="21"/>
      <c r="F20" s="21"/>
      <c r="G20" s="21"/>
    </row>
    <row r="21" ht="15.75" customHeight="1">
      <c r="A21" s="74"/>
      <c r="B21" s="21"/>
      <c r="C21" s="76" t="str">
        <f>IF($A21="","",IFERROR(VLOOKUP($A21,StudentRegistry!$A:$D,3,FALSE),"Not found"))</f>
        <v/>
      </c>
      <c r="D21" s="76" t="str">
        <f>IF($A21="","",IFERROR(IF(VLOOKUP($A21,StudentRegistry!$A:$D,4,FALSE)="Active","Yes","Inactive"),"No"))</f>
        <v/>
      </c>
      <c r="E21" s="21"/>
      <c r="F21" s="21"/>
      <c r="G21" s="21"/>
    </row>
    <row r="22" ht="15.75" customHeight="1">
      <c r="A22" s="74"/>
      <c r="B22" s="21"/>
      <c r="C22" s="76" t="str">
        <f>IF($A22="","",IFERROR(VLOOKUP($A22,StudentRegistry!$A:$D,3,FALSE),"Not found"))</f>
        <v/>
      </c>
      <c r="D22" s="76" t="str">
        <f>IF($A22="","",IFERROR(IF(VLOOKUP($A22,StudentRegistry!$A:$D,4,FALSE)="Active","Yes","Inactive"),"No"))</f>
        <v/>
      </c>
      <c r="E22" s="21"/>
      <c r="F22" s="21"/>
      <c r="G22" s="21"/>
    </row>
    <row r="23" ht="15.75" customHeight="1">
      <c r="A23" s="74"/>
      <c r="B23" s="21"/>
      <c r="C23" s="76" t="str">
        <f>IF($A23="","",IFERROR(VLOOKUP($A23,StudentRegistry!$A:$D,3,FALSE),"Not found"))</f>
        <v/>
      </c>
      <c r="D23" s="76" t="str">
        <f>IF($A23="","",IFERROR(IF(VLOOKUP($A23,StudentRegistry!$A:$D,4,FALSE)="Active","Yes","Inactive"),"No"))</f>
        <v/>
      </c>
      <c r="E23" s="21"/>
      <c r="F23" s="21"/>
      <c r="G23" s="21"/>
    </row>
    <row r="24" ht="15.75" customHeight="1">
      <c r="A24" s="74"/>
      <c r="B24" s="21"/>
      <c r="C24" s="76" t="str">
        <f>IF($A24="","",IFERROR(VLOOKUP($A24,StudentRegistry!$A:$D,3,FALSE),"Not found"))</f>
        <v/>
      </c>
      <c r="D24" s="76" t="str">
        <f>IF($A24="","",IFERROR(IF(VLOOKUP($A24,StudentRegistry!$A:$D,4,FALSE)="Active","Yes","Inactive"),"No"))</f>
        <v/>
      </c>
      <c r="E24" s="21"/>
      <c r="F24" s="21"/>
      <c r="G24" s="21"/>
    </row>
    <row r="25" ht="15.75" customHeight="1">
      <c r="A25" s="74"/>
      <c r="B25" s="21"/>
      <c r="C25" s="76" t="str">
        <f>IF($A25="","",IFERROR(VLOOKUP($A25,StudentRegistry!$A:$D,3,FALSE),"Not found"))</f>
        <v/>
      </c>
      <c r="D25" s="76" t="str">
        <f>IF($A25="","",IFERROR(IF(VLOOKUP($A25,StudentRegistry!$A:$D,4,FALSE)="Active","Yes","Inactive"),"No"))</f>
        <v/>
      </c>
      <c r="E25" s="21"/>
      <c r="F25" s="21"/>
      <c r="G25" s="21"/>
    </row>
    <row r="26" ht="15.75" customHeight="1">
      <c r="A26" s="74"/>
      <c r="B26" s="21"/>
      <c r="C26" s="76" t="str">
        <f>IF($A26="","",IFERROR(VLOOKUP($A26,StudentRegistry!$A:$D,3,FALSE),"Not found"))</f>
        <v/>
      </c>
      <c r="D26" s="76" t="str">
        <f>IF($A26="","",IFERROR(IF(VLOOKUP($A26,StudentRegistry!$A:$D,4,FALSE)="Active","Yes","Inactive"),"No"))</f>
        <v/>
      </c>
      <c r="E26" s="21"/>
      <c r="F26" s="21"/>
      <c r="G26" s="21"/>
    </row>
    <row r="27" ht="15.75" customHeight="1">
      <c r="A27" s="74"/>
      <c r="B27" s="21"/>
      <c r="C27" s="76" t="str">
        <f>IF($A27="","",IFERROR(VLOOKUP($A27,StudentRegistry!$A:$D,3,FALSE),"Not found"))</f>
        <v/>
      </c>
      <c r="D27" s="76" t="str">
        <f>IF($A27="","",IFERROR(IF(VLOOKUP($A27,StudentRegistry!$A:$D,4,FALSE)="Active","Yes","Inactive"),"No"))</f>
        <v/>
      </c>
      <c r="E27" s="21"/>
      <c r="F27" s="21"/>
      <c r="G27" s="21"/>
    </row>
    <row r="28" ht="15.75" customHeight="1">
      <c r="A28" s="74"/>
      <c r="B28" s="21"/>
      <c r="C28" s="76" t="str">
        <f>IF($A28="","",IFERROR(VLOOKUP($A28,StudentRegistry!$A:$D,3,FALSE),"Not found"))</f>
        <v/>
      </c>
      <c r="D28" s="76" t="str">
        <f>IF($A28="","",IFERROR(IF(VLOOKUP($A28,StudentRegistry!$A:$D,4,FALSE)="Active","Yes","Inactive"),"No"))</f>
        <v/>
      </c>
      <c r="E28" s="21"/>
      <c r="F28" s="21"/>
      <c r="G28" s="21"/>
    </row>
    <row r="29" ht="15.75" customHeight="1">
      <c r="A29" s="74"/>
      <c r="B29" s="21"/>
      <c r="C29" s="76" t="str">
        <f>IF($A29="","",IFERROR(VLOOKUP($A29,StudentRegistry!$A:$D,3,FALSE),"Not found"))</f>
        <v/>
      </c>
      <c r="D29" s="76" t="str">
        <f>IF($A29="","",IFERROR(IF(VLOOKUP($A29,StudentRegistry!$A:$D,4,FALSE)="Active","Yes","Inactive"),"No"))</f>
        <v/>
      </c>
      <c r="E29" s="21"/>
      <c r="F29" s="21"/>
      <c r="G29" s="21"/>
    </row>
    <row r="30" ht="15.75" customHeight="1">
      <c r="A30" s="74"/>
      <c r="B30" s="21"/>
      <c r="C30" s="76" t="str">
        <f>IF($A30="","",IFERROR(VLOOKUP($A30,StudentRegistry!$A:$D,3,FALSE),"Not found"))</f>
        <v/>
      </c>
      <c r="D30" s="76" t="str">
        <f>IF($A30="","",IFERROR(IF(VLOOKUP($A30,StudentRegistry!$A:$D,4,FALSE)="Active","Yes","Inactive"),"No"))</f>
        <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1" width="17.63"/>
    <col customWidth="1" min="2" max="2" width="24.0"/>
    <col customWidth="1" min="3" max="5" width="17.63"/>
    <col customWidth="1" min="6" max="25" width="8.63"/>
  </cols>
  <sheetData>
    <row r="1" ht="27.75" customHeight="1">
      <c r="A1" s="17" t="s">
        <v>400</v>
      </c>
      <c r="F1" s="21"/>
      <c r="G1" s="21"/>
    </row>
    <row r="2">
      <c r="A2" s="21"/>
      <c r="B2" s="21"/>
      <c r="C2" s="21"/>
      <c r="D2" s="21"/>
      <c r="E2" s="21"/>
      <c r="F2" s="21"/>
      <c r="G2" s="21"/>
    </row>
    <row r="3">
      <c r="A3" s="37" t="s">
        <v>364</v>
      </c>
      <c r="B3" s="47" t="s">
        <v>397</v>
      </c>
      <c r="C3" s="21"/>
      <c r="D3" s="37" t="s">
        <v>71</v>
      </c>
      <c r="E3" s="74"/>
      <c r="F3" s="21"/>
      <c r="G3" s="21"/>
    </row>
    <row r="4">
      <c r="A4" s="37" t="s">
        <v>70</v>
      </c>
      <c r="B4" s="84">
        <v>46305.33333333333</v>
      </c>
      <c r="C4" s="21"/>
      <c r="D4" s="37" t="s">
        <v>401</v>
      </c>
      <c r="E4" s="85">
        <v>200.0</v>
      </c>
      <c r="F4" s="21"/>
      <c r="G4" s="21"/>
    </row>
    <row r="5">
      <c r="A5" s="37" t="s">
        <v>69</v>
      </c>
      <c r="B5" s="47" t="s">
        <v>398</v>
      </c>
      <c r="C5" s="21"/>
      <c r="D5" s="37" t="s">
        <v>402</v>
      </c>
      <c r="E5" s="85">
        <v>164.0</v>
      </c>
      <c r="F5" s="21"/>
      <c r="G5" s="21"/>
    </row>
    <row r="6">
      <c r="A6" s="21"/>
      <c r="B6" s="21"/>
      <c r="C6" s="21"/>
      <c r="D6" s="37" t="s">
        <v>403</v>
      </c>
      <c r="E6" s="74"/>
      <c r="F6" s="21"/>
      <c r="G6" s="21"/>
    </row>
    <row r="7">
      <c r="A7" s="24" t="s">
        <v>50</v>
      </c>
      <c r="B7" s="24" t="s">
        <v>404</v>
      </c>
      <c r="C7" s="24" t="s">
        <v>405</v>
      </c>
      <c r="D7" s="24" t="s">
        <v>406</v>
      </c>
      <c r="E7" s="24" t="s">
        <v>407</v>
      </c>
      <c r="F7" s="21"/>
      <c r="G7" s="21"/>
    </row>
    <row r="8">
      <c r="A8" s="47" t="s">
        <v>123</v>
      </c>
      <c r="C8" s="76" t="str">
        <f>IF($A8="","",IFERROR(VLOOKUP($A8,StudentRegistry!$A:$D,3,FALSE),"Not found"))</f>
        <v>Dorm A</v>
      </c>
      <c r="D8" s="76" t="str">
        <f>IF($A8="","",IFERROR(IF(VLOOKUP($A8,StudentRegistry!$A:$D,4,FALSE)="Active","Yes","Inactive"),"No"))</f>
        <v>Yes</v>
      </c>
      <c r="E8" s="21"/>
      <c r="F8" s="21"/>
      <c r="G8" s="21"/>
    </row>
    <row r="9">
      <c r="A9" s="47" t="s">
        <v>127</v>
      </c>
      <c r="C9" s="76" t="str">
        <f>IF($A9="","",IFERROR(VLOOKUP($A9,StudentRegistry!$A:$D,3,FALSE),"Not found"))</f>
        <v>Dorm A</v>
      </c>
      <c r="D9" s="76" t="str">
        <f>IF($A9="","",IFERROR(IF(VLOOKUP($A9,StudentRegistry!$A:$D,4,FALSE)="Active","Yes","Inactive"),"No"))</f>
        <v>Yes</v>
      </c>
      <c r="E9" s="21"/>
      <c r="F9" s="21"/>
      <c r="G9" s="21"/>
    </row>
    <row r="10">
      <c r="A10" s="47" t="s">
        <v>133</v>
      </c>
      <c r="C10" s="76" t="str">
        <f>IF($A10="","",IFERROR(VLOOKUP($A10,StudentRegistry!$A:$D,3,FALSE),"Not found"))</f>
        <v>Dorm A</v>
      </c>
      <c r="D10" s="76" t="str">
        <f>IF($A10="","",IFERROR(IF(VLOOKUP($A10,StudentRegistry!$A:$D,4,FALSE)="Active","Yes","Inactive"),"No"))</f>
        <v>Yes</v>
      </c>
      <c r="E10" s="21"/>
      <c r="F10" s="21"/>
      <c r="G10" s="21"/>
    </row>
    <row r="11">
      <c r="A11" s="47" t="s">
        <v>134</v>
      </c>
      <c r="C11" s="76" t="str">
        <f>IF($A11="","",IFERROR(VLOOKUP($A11,StudentRegistry!$A:$D,3,FALSE),"Not found"))</f>
        <v>Dorm A</v>
      </c>
      <c r="D11" s="76" t="str">
        <f>IF($A11="","",IFERROR(IF(VLOOKUP($A11,StudentRegistry!$A:$D,4,FALSE)="Active","Yes","Inactive"),"No"))</f>
        <v>Yes</v>
      </c>
      <c r="E11" s="21"/>
      <c r="F11" s="21"/>
      <c r="G11" s="21"/>
    </row>
    <row r="12">
      <c r="A12" s="47" t="s">
        <v>135</v>
      </c>
      <c r="C12" s="76" t="str">
        <f>IF($A12="","",IFERROR(VLOOKUP($A12,StudentRegistry!$A:$D,3,FALSE),"Not found"))</f>
        <v>Dorm A</v>
      </c>
      <c r="D12" s="76" t="str">
        <f>IF($A12="","",IFERROR(IF(VLOOKUP($A12,StudentRegistry!$A:$D,4,FALSE)="Active","Yes","Inactive"),"No"))</f>
        <v>Yes</v>
      </c>
      <c r="E12" s="21"/>
      <c r="F12" s="21"/>
      <c r="G12" s="21"/>
    </row>
    <row r="13">
      <c r="A13" s="47" t="s">
        <v>137</v>
      </c>
      <c r="C13" s="76" t="str">
        <f>IF($A13="","",IFERROR(VLOOKUP($A13,StudentRegistry!$A:$D,3,FALSE),"Not found"))</f>
        <v>Dorm A</v>
      </c>
      <c r="D13" s="76" t="str">
        <f>IF($A13="","",IFERROR(IF(VLOOKUP($A13,StudentRegistry!$A:$D,4,FALSE)="Active","Yes","Inactive"),"No"))</f>
        <v>Yes</v>
      </c>
      <c r="E13" s="21"/>
      <c r="F13" s="21"/>
      <c r="G13" s="21"/>
    </row>
    <row r="14">
      <c r="A14" s="47" t="s">
        <v>138</v>
      </c>
      <c r="C14" s="76" t="str">
        <f>IF($A14="","",IFERROR(VLOOKUP($A14,StudentRegistry!$A:$D,3,FALSE),"Not found"))</f>
        <v>Dorm A</v>
      </c>
      <c r="D14" s="76" t="str">
        <f>IF($A14="","",IFERROR(IF(VLOOKUP($A14,StudentRegistry!$A:$D,4,FALSE)="Active","Yes","Inactive"),"No"))</f>
        <v>Yes</v>
      </c>
      <c r="E14" s="21"/>
      <c r="F14" s="21"/>
      <c r="G14" s="21"/>
    </row>
    <row r="15">
      <c r="A15" s="47" t="s">
        <v>139</v>
      </c>
      <c r="C15" s="76" t="str">
        <f>IF($A15="","",IFERROR(VLOOKUP($A15,StudentRegistry!$A:$D,3,FALSE),"Not found"))</f>
        <v>Dorm A</v>
      </c>
      <c r="D15" s="76" t="str">
        <f>IF($A15="","",IFERROR(IF(VLOOKUP($A15,StudentRegistry!$A:$D,4,FALSE)="Active","Yes","Inactive"),"No"))</f>
        <v>Yes</v>
      </c>
      <c r="E15" s="21"/>
      <c r="F15" s="21"/>
      <c r="G15" s="21"/>
    </row>
    <row r="16">
      <c r="A16" s="47" t="s">
        <v>140</v>
      </c>
      <c r="C16" s="76" t="str">
        <f>IF($A16="","",IFERROR(VLOOKUP($A16,StudentRegistry!$A:$D,3,FALSE),"Not found"))</f>
        <v>Dorm A</v>
      </c>
      <c r="D16" s="76" t="str">
        <f>IF($A16="","",IFERROR(IF(VLOOKUP($A16,StudentRegistry!$A:$D,4,FALSE)="Active","Yes","Inactive"),"No"))</f>
        <v>Yes</v>
      </c>
      <c r="E16" s="21"/>
      <c r="F16" s="21"/>
      <c r="G16" s="21"/>
    </row>
    <row r="17">
      <c r="A17" s="47" t="s">
        <v>145</v>
      </c>
      <c r="C17" s="76" t="str">
        <f>IF($A17="","",IFERROR(VLOOKUP($A17,StudentRegistry!$A:$D,3,FALSE),"Not found"))</f>
        <v>Dorm A</v>
      </c>
      <c r="D17" s="76" t="str">
        <f>IF($A17="","",IFERROR(IF(VLOOKUP($A17,StudentRegistry!$A:$D,4,FALSE)="Active","Yes","Inactive"),"No"))</f>
        <v>Yes</v>
      </c>
      <c r="E17" s="21"/>
      <c r="F17" s="21"/>
      <c r="G17" s="21"/>
    </row>
    <row r="18">
      <c r="A18" s="47" t="s">
        <v>146</v>
      </c>
      <c r="C18" s="76" t="str">
        <f>IF($A18="","",IFERROR(VLOOKUP($A18,StudentRegistry!$A:$D,3,FALSE),"Not found"))</f>
        <v>Dorm A</v>
      </c>
      <c r="D18" s="76" t="str">
        <f>IF($A18="","",IFERROR(IF(VLOOKUP($A18,StudentRegistry!$A:$D,4,FALSE)="Active","Yes","Inactive"),"No"))</f>
        <v>Yes</v>
      </c>
      <c r="E18" s="21"/>
      <c r="F18" s="21"/>
      <c r="G18" s="21"/>
    </row>
    <row r="19">
      <c r="A19" s="47" t="s">
        <v>149</v>
      </c>
      <c r="C19" s="76" t="str">
        <f>IF($A19="","",IFERROR(VLOOKUP($A19,StudentRegistry!$A:$D,3,FALSE),"Not found"))</f>
        <v>Dorm A</v>
      </c>
      <c r="D19" s="76" t="str">
        <f>IF($A19="","",IFERROR(IF(VLOOKUP($A19,StudentRegistry!$A:$D,4,FALSE)="Active","Yes","Inactive"),"No"))</f>
        <v>Yes</v>
      </c>
      <c r="E19" s="21"/>
      <c r="F19" s="21"/>
      <c r="G19" s="21"/>
    </row>
    <row r="20">
      <c r="A20" s="47" t="s">
        <v>152</v>
      </c>
      <c r="C20" s="76" t="str">
        <f>IF($A20="","",IFERROR(VLOOKUP($A20,StudentRegistry!$A:$D,3,FALSE),"Not found"))</f>
        <v>Dorm A</v>
      </c>
      <c r="D20" s="76" t="str">
        <f>IF($A20="","",IFERROR(IF(VLOOKUP($A20,StudentRegistry!$A:$D,4,FALSE)="Active","Yes","Inactive"),"No"))</f>
        <v>Yes</v>
      </c>
      <c r="E20" s="21"/>
      <c r="F20" s="21"/>
      <c r="G20" s="21"/>
    </row>
    <row r="21" ht="15.75" customHeight="1">
      <c r="A21" s="47" t="s">
        <v>153</v>
      </c>
      <c r="C21" s="76" t="str">
        <f>IF($A21="","",IFERROR(VLOOKUP($A21,StudentRegistry!$A:$D,3,FALSE),"Not found"))</f>
        <v>Dorm A</v>
      </c>
      <c r="D21" s="76" t="str">
        <f>IF($A21="","",IFERROR(IF(VLOOKUP($A21,StudentRegistry!$A:$D,4,FALSE)="Active","Yes","Inactive"),"No"))</f>
        <v>Yes</v>
      </c>
      <c r="E21" s="21"/>
      <c r="F21" s="21"/>
      <c r="G21" s="21"/>
    </row>
    <row r="22" ht="15.75" customHeight="1">
      <c r="A22" s="47" t="s">
        <v>155</v>
      </c>
      <c r="C22" s="76" t="str">
        <f>IF($A22="","",IFERROR(VLOOKUP($A22,StudentRegistry!$A:$D,3,FALSE),"Not found"))</f>
        <v>Dorm A</v>
      </c>
      <c r="D22" s="76" t="str">
        <f>IF($A22="","",IFERROR(IF(VLOOKUP($A22,StudentRegistry!$A:$D,4,FALSE)="Active","Yes","Inactive"),"No"))</f>
        <v>Yes</v>
      </c>
      <c r="E22" s="21"/>
      <c r="F22" s="21"/>
      <c r="G22" s="21"/>
    </row>
    <row r="23" ht="15.75" customHeight="1">
      <c r="A23" s="47" t="s">
        <v>156</v>
      </c>
      <c r="C23" s="76" t="str">
        <f>IF($A23="","",IFERROR(VLOOKUP($A23,StudentRegistry!$A:$D,3,FALSE),"Not found"))</f>
        <v>Dorm A</v>
      </c>
      <c r="D23" s="76" t="str">
        <f>IF($A23="","",IFERROR(IF(VLOOKUP($A23,StudentRegistry!$A:$D,4,FALSE)="Active","Yes","Inactive"),"No"))</f>
        <v>Yes</v>
      </c>
      <c r="E23" s="21"/>
      <c r="F23" s="21"/>
      <c r="G23" s="21"/>
    </row>
    <row r="24" ht="15.75" customHeight="1">
      <c r="A24" s="47" t="s">
        <v>158</v>
      </c>
      <c r="C24" s="76" t="str">
        <f>IF($A24="","",IFERROR(VLOOKUP($A24,StudentRegistry!$A:$D,3,FALSE),"Not found"))</f>
        <v>Dorm A</v>
      </c>
      <c r="D24" s="76" t="str">
        <f>IF($A24="","",IFERROR(IF(VLOOKUP($A24,StudentRegistry!$A:$D,4,FALSE)="Active","Yes","Inactive"),"No"))</f>
        <v>Yes</v>
      </c>
      <c r="E24" s="21"/>
      <c r="F24" s="21"/>
      <c r="G24" s="21"/>
    </row>
    <row r="25" ht="15.75" customHeight="1">
      <c r="A25" s="47" t="s">
        <v>159</v>
      </c>
      <c r="C25" s="76" t="str">
        <f>IF($A25="","",IFERROR(VLOOKUP($A25,StudentRegistry!$A:$D,3,FALSE),"Not found"))</f>
        <v>Dorm A</v>
      </c>
      <c r="D25" s="76" t="str">
        <f>IF($A25="","",IFERROR(IF(VLOOKUP($A25,StudentRegistry!$A:$D,4,FALSE)="Active","Yes","Inactive"),"No"))</f>
        <v>Yes</v>
      </c>
      <c r="E25" s="21"/>
      <c r="F25" s="21"/>
      <c r="G25" s="21"/>
    </row>
    <row r="26" ht="15.75" customHeight="1">
      <c r="A26" s="47" t="s">
        <v>160</v>
      </c>
      <c r="C26" s="76" t="str">
        <f>IF($A26="","",IFERROR(VLOOKUP($A26,StudentRegistry!$A:$D,3,FALSE),"Not found"))</f>
        <v>Dorm A</v>
      </c>
      <c r="D26" s="76" t="str">
        <f>IF($A26="","",IFERROR(IF(VLOOKUP($A26,StudentRegistry!$A:$D,4,FALSE)="Active","Yes","Inactive"),"No"))</f>
        <v>Yes</v>
      </c>
      <c r="E26" s="21"/>
      <c r="F26" s="21"/>
      <c r="G26" s="21"/>
    </row>
    <row r="27" ht="15.75" customHeight="1">
      <c r="A27" s="47" t="s">
        <v>161</v>
      </c>
      <c r="C27" s="76" t="str">
        <f>IF($A27="","",IFERROR(VLOOKUP($A27,StudentRegistry!$A:$D,3,FALSE),"Not found"))</f>
        <v>Dorm A</v>
      </c>
      <c r="D27" s="76" t="str">
        <f>IF($A27="","",IFERROR(IF(VLOOKUP($A27,StudentRegistry!$A:$D,4,FALSE)="Active","Yes","Inactive"),"No"))</f>
        <v>Yes</v>
      </c>
      <c r="E27" s="21"/>
      <c r="F27" s="21"/>
      <c r="G27" s="21"/>
    </row>
    <row r="28" ht="15.75" customHeight="1">
      <c r="A28" s="47" t="s">
        <v>162</v>
      </c>
      <c r="C28" s="76" t="str">
        <f>IF($A28="","",IFERROR(VLOOKUP($A28,StudentRegistry!$A:$D,3,FALSE),"Not found"))</f>
        <v>Dorm A</v>
      </c>
      <c r="D28" s="76" t="str">
        <f>IF($A28="","",IFERROR(IF(VLOOKUP($A28,StudentRegistry!$A:$D,4,FALSE)="Active","Yes","Inactive"),"No"))</f>
        <v>Yes</v>
      </c>
      <c r="E28" s="21"/>
      <c r="F28" s="21"/>
      <c r="G28" s="21"/>
    </row>
    <row r="29" ht="15.75" customHeight="1">
      <c r="A29" s="47" t="s">
        <v>165</v>
      </c>
      <c r="C29" s="76" t="str">
        <f>IF($A29="","",IFERROR(VLOOKUP($A29,StudentRegistry!$A:$D,3,FALSE),"Not found"))</f>
        <v>Dorm A</v>
      </c>
      <c r="D29" s="76" t="str">
        <f>IF($A29="","",IFERROR(IF(VLOOKUP($A29,StudentRegistry!$A:$D,4,FALSE)="Active","Yes","Inactive"),"No"))</f>
        <v>Yes</v>
      </c>
      <c r="E29" s="21"/>
      <c r="F29" s="21"/>
      <c r="G29" s="21"/>
    </row>
    <row r="30" ht="15.75" customHeight="1">
      <c r="A30" s="47" t="s">
        <v>166</v>
      </c>
      <c r="C30" s="76" t="str">
        <f>IF($A30="","",IFERROR(VLOOKUP($A30,StudentRegistry!$A:$D,3,FALSE),"Not found"))</f>
        <v>Dorm A</v>
      </c>
      <c r="D30" s="76" t="str">
        <f>IF($A30="","",IFERROR(IF(VLOOKUP($A30,StudentRegistry!$A:$D,4,FALSE)="Active","Yes","Inactive"),"No"))</f>
        <v>Yes</v>
      </c>
      <c r="E30" s="21"/>
      <c r="F30" s="21"/>
      <c r="G30" s="21"/>
    </row>
    <row r="31" ht="15.75" customHeight="1">
      <c r="A31" s="47" t="s">
        <v>167</v>
      </c>
      <c r="C31" s="76" t="str">
        <f>IF($A31="","",IFERROR(VLOOKUP($A31,StudentRegistry!$A:$D,3,FALSE),"Not found"))</f>
        <v>Dorm A</v>
      </c>
      <c r="D31" s="76" t="str">
        <f>IF($A31="","",IFERROR(IF(VLOOKUP($A31,StudentRegistry!$A:$D,4,FALSE)="Active","Yes","Inactive"),"No"))</f>
        <v>Yes</v>
      </c>
      <c r="E31" s="21"/>
      <c r="F31" s="21"/>
      <c r="G31" s="21"/>
    </row>
    <row r="32" ht="15.75" customHeight="1">
      <c r="A32" s="47" t="s">
        <v>168</v>
      </c>
      <c r="C32" s="76" t="str">
        <f>IF($A32="","",IFERROR(VLOOKUP($A32,StudentRegistry!$A:$D,3,FALSE),"Not found"))</f>
        <v>Dorm A</v>
      </c>
      <c r="D32" s="76" t="str">
        <f>IF($A32="","",IFERROR(IF(VLOOKUP($A32,StudentRegistry!$A:$D,4,FALSE)="Active","Yes","Inactive"),"No"))</f>
        <v>Yes</v>
      </c>
      <c r="E32" s="21"/>
      <c r="F32" s="21"/>
      <c r="G32" s="21"/>
    </row>
    <row r="33" ht="15.75" customHeight="1">
      <c r="A33" s="47" t="s">
        <v>183</v>
      </c>
      <c r="C33" s="76" t="str">
        <f>IF($A33="","",IFERROR(VLOOKUP($A33,StudentRegistry!$A:$D,3,FALSE),"Not found"))</f>
        <v>Dorm B</v>
      </c>
      <c r="D33" s="76" t="str">
        <f>IF($A33="","",IFERROR(IF(VLOOKUP($A33,StudentRegistry!$A:$D,4,FALSE)="Active","Yes","Inactive"),"No"))</f>
        <v>Yes</v>
      </c>
      <c r="E33" s="21"/>
      <c r="F33" s="21"/>
      <c r="G33" s="21"/>
    </row>
    <row r="34" ht="15.75" customHeight="1">
      <c r="A34" s="47" t="s">
        <v>184</v>
      </c>
      <c r="C34" s="76" t="str">
        <f>IF($A34="","",IFERROR(VLOOKUP($A34,StudentRegistry!$A:$D,3,FALSE),"Not found"))</f>
        <v>Dorm B</v>
      </c>
      <c r="D34" s="76" t="str">
        <f>IF($A34="","",IFERROR(IF(VLOOKUP($A34,StudentRegistry!$A:$D,4,FALSE)="Active","Yes","Inactive"),"No"))</f>
        <v>Yes</v>
      </c>
      <c r="E34" s="21"/>
      <c r="F34" s="21"/>
      <c r="G34" s="21"/>
    </row>
    <row r="35" ht="15.75" customHeight="1">
      <c r="A35" s="47" t="s">
        <v>189</v>
      </c>
      <c r="C35" s="76" t="str">
        <f>IF($A35="","",IFERROR(VLOOKUP($A35,StudentRegistry!$A:$D,3,FALSE),"Not found"))</f>
        <v>Dorm B</v>
      </c>
      <c r="D35" s="76" t="str">
        <f>IF($A35="","",IFERROR(IF(VLOOKUP($A35,StudentRegistry!$A:$D,4,FALSE)="Active","Yes","Inactive"),"No"))</f>
        <v>Yes</v>
      </c>
      <c r="E35" s="21"/>
      <c r="F35" s="21"/>
      <c r="G35" s="21"/>
    </row>
    <row r="36" ht="15.75" customHeight="1">
      <c r="A36" s="47" t="s">
        <v>190</v>
      </c>
      <c r="C36" s="76" t="str">
        <f>IF($A36="","",IFERROR(VLOOKUP($A36,StudentRegistry!$A:$D,3,FALSE),"Not found"))</f>
        <v>Dorm B</v>
      </c>
      <c r="D36" s="76" t="str">
        <f>IF($A36="","",IFERROR(IF(VLOOKUP($A36,StudentRegistry!$A:$D,4,FALSE)="Active","Yes","Inactive"),"No"))</f>
        <v>Yes</v>
      </c>
      <c r="E36" s="21"/>
      <c r="F36" s="21"/>
      <c r="G36" s="21"/>
    </row>
    <row r="37" ht="15.75" customHeight="1">
      <c r="A37" s="47" t="s">
        <v>191</v>
      </c>
      <c r="C37" s="76" t="str">
        <f>IF($A37="","",IFERROR(VLOOKUP($A37,StudentRegistry!$A:$D,3,FALSE),"Not found"))</f>
        <v>Dorm B</v>
      </c>
      <c r="D37" s="76" t="str">
        <f>IF($A37="","",IFERROR(IF(VLOOKUP($A37,StudentRegistry!$A:$D,4,FALSE)="Active","Yes","Inactive"),"No"))</f>
        <v>Yes</v>
      </c>
      <c r="E37" s="21"/>
      <c r="F37" s="21"/>
      <c r="G37" s="21"/>
    </row>
    <row r="38" ht="15.75" customHeight="1">
      <c r="A38" s="47" t="s">
        <v>194</v>
      </c>
      <c r="C38" s="76" t="str">
        <f>IF($A38="","",IFERROR(VLOOKUP($A38,StudentRegistry!$A:$D,3,FALSE),"Not found"))</f>
        <v>Dorm B</v>
      </c>
      <c r="D38" s="76" t="str">
        <f>IF($A38="","",IFERROR(IF(VLOOKUP($A38,StudentRegistry!$A:$D,4,FALSE)="Active","Yes","Inactive"),"No"))</f>
        <v>Yes</v>
      </c>
      <c r="E38" s="21"/>
      <c r="F38" s="21"/>
      <c r="G38" s="21"/>
    </row>
    <row r="39" ht="15.75" customHeight="1">
      <c r="A39" s="47" t="s">
        <v>195</v>
      </c>
      <c r="C39" s="76" t="str">
        <f>IF($A39="","",IFERROR(VLOOKUP($A39,StudentRegistry!$A:$D,3,FALSE),"Not found"))</f>
        <v>Dorm B</v>
      </c>
      <c r="D39" s="76" t="str">
        <f>IF($A39="","",IFERROR(IF(VLOOKUP($A39,StudentRegistry!$A:$D,4,FALSE)="Active","Yes","Inactive"),"No"))</f>
        <v>Yes</v>
      </c>
      <c r="E39" s="21"/>
      <c r="F39" s="21"/>
      <c r="G39" s="21"/>
    </row>
    <row r="40" ht="15.75" customHeight="1">
      <c r="A40" s="47" t="s">
        <v>198</v>
      </c>
      <c r="C40" s="76" t="str">
        <f>IF($A40="","",IFERROR(VLOOKUP($A40,StudentRegistry!$A:$D,3,FALSE),"Not found"))</f>
        <v>Dorm B</v>
      </c>
      <c r="D40" s="76" t="str">
        <f>IF($A40="","",IFERROR(IF(VLOOKUP($A40,StudentRegistry!$A:$D,4,FALSE)="Active","Yes","Inactive"),"No"))</f>
        <v>Yes</v>
      </c>
      <c r="E40" s="21"/>
      <c r="F40" s="21"/>
      <c r="G40" s="21"/>
    </row>
    <row r="41" ht="15.75" customHeight="1">
      <c r="A41" s="47" t="s">
        <v>199</v>
      </c>
      <c r="C41" s="76" t="str">
        <f>IF($A41="","",IFERROR(VLOOKUP($A41,StudentRegistry!$A:$D,3,FALSE),"Not found"))</f>
        <v>Dorm B</v>
      </c>
      <c r="D41" s="76" t="str">
        <f>IF($A41="","",IFERROR(IF(VLOOKUP($A41,StudentRegistry!$A:$D,4,FALSE)="Active","Yes","Inactive"),"No"))</f>
        <v>Yes</v>
      </c>
      <c r="E41" s="21"/>
      <c r="F41" s="21"/>
      <c r="G41" s="21"/>
    </row>
    <row r="42" ht="15.75" customHeight="1">
      <c r="A42" s="47" t="s">
        <v>200</v>
      </c>
      <c r="C42" s="76" t="str">
        <f>IF($A42="","",IFERROR(VLOOKUP($A42,StudentRegistry!$A:$D,3,FALSE),"Not found"))</f>
        <v>Dorm B</v>
      </c>
      <c r="D42" s="76" t="str">
        <f>IF($A42="","",IFERROR(IF(VLOOKUP($A42,StudentRegistry!$A:$D,4,FALSE)="Active","Yes","Inactive"),"No"))</f>
        <v>Yes</v>
      </c>
      <c r="E42" s="21"/>
      <c r="F42" s="21"/>
      <c r="G42" s="21"/>
    </row>
    <row r="43" ht="15.75" customHeight="1">
      <c r="A43" s="47" t="s">
        <v>201</v>
      </c>
      <c r="C43" s="76" t="str">
        <f>IF($A43="","",IFERROR(VLOOKUP($A43,StudentRegistry!$A:$D,3,FALSE),"Not found"))</f>
        <v>Dorm B</v>
      </c>
      <c r="D43" s="76" t="str">
        <f>IF($A43="","",IFERROR(IF(VLOOKUP($A43,StudentRegistry!$A:$D,4,FALSE)="Active","Yes","Inactive"),"No"))</f>
        <v>Yes</v>
      </c>
      <c r="E43" s="21"/>
      <c r="F43" s="21"/>
      <c r="G43" s="21"/>
    </row>
    <row r="44" ht="15.75" customHeight="1">
      <c r="A44" s="47" t="s">
        <v>202</v>
      </c>
      <c r="C44" s="76" t="str">
        <f>IF($A44="","",IFERROR(VLOOKUP($A44,StudentRegistry!$A:$D,3,FALSE),"Not found"))</f>
        <v>Dorm B</v>
      </c>
      <c r="D44" s="76" t="str">
        <f>IF($A44="","",IFERROR(IF(VLOOKUP($A44,StudentRegistry!$A:$D,4,FALSE)="Active","Yes","Inactive"),"No"))</f>
        <v>Yes</v>
      </c>
      <c r="E44" s="21"/>
      <c r="F44" s="21"/>
      <c r="G44" s="21"/>
    </row>
    <row r="45" ht="15.75" customHeight="1">
      <c r="A45" s="47" t="s">
        <v>204</v>
      </c>
      <c r="C45" s="76" t="str">
        <f>IF($A45="","",IFERROR(VLOOKUP($A45,StudentRegistry!$A:$D,3,FALSE),"Not found"))</f>
        <v>Dorm B</v>
      </c>
      <c r="D45" s="76" t="str">
        <f>IF($A45="","",IFERROR(IF(VLOOKUP($A45,StudentRegistry!$A:$D,4,FALSE)="Active","Yes","Inactive"),"No"))</f>
        <v>Yes</v>
      </c>
      <c r="E45" s="21"/>
      <c r="F45" s="21"/>
      <c r="G45" s="21"/>
    </row>
    <row r="46" ht="15.75" customHeight="1">
      <c r="A46" s="47" t="s">
        <v>206</v>
      </c>
      <c r="C46" s="76" t="str">
        <f>IF($A46="","",IFERROR(VLOOKUP($A46,StudentRegistry!$A:$D,3,FALSE),"Not found"))</f>
        <v>Dorm B</v>
      </c>
      <c r="D46" s="76" t="str">
        <f>IF($A46="","",IFERROR(IF(VLOOKUP($A46,StudentRegistry!$A:$D,4,FALSE)="Active","Yes","Inactive"),"No"))</f>
        <v>Yes</v>
      </c>
      <c r="E46" s="21"/>
      <c r="F46" s="21"/>
      <c r="G46" s="21"/>
    </row>
    <row r="47" ht="15.75" customHeight="1">
      <c r="A47" s="47" t="s">
        <v>207</v>
      </c>
      <c r="C47" s="76" t="str">
        <f>IF($A47="","",IFERROR(VLOOKUP($A47,StudentRegistry!$A:$D,3,FALSE),"Not found"))</f>
        <v>Dorm B</v>
      </c>
      <c r="D47" s="76" t="str">
        <f>IF($A47="","",IFERROR(IF(VLOOKUP($A47,StudentRegistry!$A:$D,4,FALSE)="Active","Yes","Inactive"),"No"))</f>
        <v>Yes</v>
      </c>
      <c r="E47" s="21"/>
      <c r="F47" s="21"/>
      <c r="G47" s="21"/>
    </row>
    <row r="48" ht="15.75" customHeight="1">
      <c r="A48" s="47" t="s">
        <v>208</v>
      </c>
      <c r="C48" s="76" t="str">
        <f>IF($A48="","",IFERROR(VLOOKUP($A48,StudentRegistry!$A:$D,3,FALSE),"Not found"))</f>
        <v>Dorm B</v>
      </c>
      <c r="D48" s="76" t="str">
        <f>IF($A48="","",IFERROR(IF(VLOOKUP($A48,StudentRegistry!$A:$D,4,FALSE)="Active","Yes","Inactive"),"No"))</f>
        <v>Yes</v>
      </c>
      <c r="E48" s="21"/>
      <c r="F48" s="21"/>
      <c r="G48" s="21"/>
    </row>
    <row r="49" ht="15.75" customHeight="1">
      <c r="A49" s="47" t="s">
        <v>210</v>
      </c>
      <c r="C49" s="76" t="str">
        <f>IF($A49="","",IFERROR(VLOOKUP($A49,StudentRegistry!$A:$D,3,FALSE),"Not found"))</f>
        <v>Dorm B</v>
      </c>
      <c r="D49" s="76" t="str">
        <f>IF($A49="","",IFERROR(IF(VLOOKUP($A49,StudentRegistry!$A:$D,4,FALSE)="Active","Yes","Inactive"),"No"))</f>
        <v>Yes</v>
      </c>
      <c r="E49" s="21"/>
      <c r="F49" s="21"/>
      <c r="G49" s="21"/>
    </row>
    <row r="50" ht="15.75" customHeight="1">
      <c r="A50" s="47" t="s">
        <v>214</v>
      </c>
      <c r="C50" s="76" t="str">
        <f>IF($A50="","",IFERROR(VLOOKUP($A50,StudentRegistry!$A:$D,3,FALSE),"Not found"))</f>
        <v>Dorm B</v>
      </c>
      <c r="D50" s="76" t="str">
        <f>IF($A50="","",IFERROR(IF(VLOOKUP($A50,StudentRegistry!$A:$D,4,FALSE)="Active","Yes","Inactive"),"No"))</f>
        <v>Yes</v>
      </c>
      <c r="E50" s="21"/>
      <c r="F50" s="21"/>
      <c r="G50" s="21"/>
    </row>
    <row r="51" ht="15.75" customHeight="1">
      <c r="A51" s="47" t="s">
        <v>841</v>
      </c>
      <c r="C51" s="76" t="str">
        <f>IF($A51="","",IFERROR(VLOOKUP($A51,StudentRegistry!$A:$D,3,FALSE),"Not found"))</f>
        <v>Not found</v>
      </c>
      <c r="D51" s="76" t="str">
        <f>IF($A51="","",IFERROR(IF(VLOOKUP($A51,StudentRegistry!$A:$D,4,FALSE)="Active","Yes","Inactive"),"No"))</f>
        <v>No</v>
      </c>
      <c r="E51" s="21"/>
      <c r="F51" s="21"/>
      <c r="G51" s="21"/>
    </row>
    <row r="52" ht="15.75" customHeight="1">
      <c r="A52" s="47" t="s">
        <v>842</v>
      </c>
      <c r="C52" s="76" t="str">
        <f>IF($A52="","",IFERROR(VLOOKUP($A52,StudentRegistry!$A:$D,3,FALSE),"Not found"))</f>
        <v>Not found</v>
      </c>
      <c r="D52" s="76" t="str">
        <f>IF($A52="","",IFERROR(IF(VLOOKUP($A52,StudentRegistry!$A:$D,4,FALSE)="Active","Yes","Inactive"),"No"))</f>
        <v>No</v>
      </c>
      <c r="E52" s="21"/>
      <c r="F52" s="21"/>
      <c r="G52" s="21"/>
    </row>
    <row r="53" ht="15.75" customHeight="1">
      <c r="A53" s="47" t="s">
        <v>843</v>
      </c>
      <c r="C53" s="76" t="str">
        <f>IF($A53="","",IFERROR(VLOOKUP($A53,StudentRegistry!$A:$D,3,FALSE),"Not found"))</f>
        <v>Not found</v>
      </c>
      <c r="D53" s="76" t="str">
        <f>IF($A53="","",IFERROR(IF(VLOOKUP($A53,StudentRegistry!$A:$D,4,FALSE)="Active","Yes","Inactive"),"No"))</f>
        <v>No</v>
      </c>
      <c r="E53" s="21"/>
      <c r="F53" s="21"/>
      <c r="G53" s="21"/>
    </row>
    <row r="54" ht="15.75" customHeight="1">
      <c r="A54" s="47" t="s">
        <v>838</v>
      </c>
      <c r="C54" s="76" t="str">
        <f>IF($A54="","",IFERROR(VLOOKUP($A54,StudentRegistry!$A:$D,3,FALSE),"Not found"))</f>
        <v>Not found</v>
      </c>
      <c r="D54" s="76" t="str">
        <f>IF($A54="","",IFERROR(IF(VLOOKUP($A54,StudentRegistry!$A:$D,4,FALSE)="Active","Yes","Inactive"),"No"))</f>
        <v>No</v>
      </c>
      <c r="E54" s="21"/>
      <c r="F54" s="21"/>
      <c r="G54" s="21"/>
    </row>
    <row r="55" ht="15.75" customHeight="1">
      <c r="A55" s="47" t="s">
        <v>844</v>
      </c>
      <c r="C55" s="76" t="str">
        <f>IF($A55="","",IFERROR(VLOOKUP($A55,StudentRegistry!$A:$D,3,FALSE),"Not found"))</f>
        <v>Not found</v>
      </c>
      <c r="D55" s="76" t="str">
        <f>IF($A55="","",IFERROR(IF(VLOOKUP($A55,StudentRegistry!$A:$D,4,FALSE)="Active","Yes","Inactive"),"No"))</f>
        <v>No</v>
      </c>
      <c r="E55" s="21"/>
      <c r="F55" s="21"/>
      <c r="G55" s="21"/>
    </row>
    <row r="56" ht="15.75" customHeight="1">
      <c r="A56" s="47" t="s">
        <v>845</v>
      </c>
      <c r="C56" s="76" t="str">
        <f>IF($A56="","",IFERROR(VLOOKUP($A56,StudentRegistry!$A:$D,3,FALSE),"Not found"))</f>
        <v>Not found</v>
      </c>
      <c r="D56" s="76" t="str">
        <f>IF($A56="","",IFERROR(IF(VLOOKUP($A56,StudentRegistry!$A:$D,4,FALSE)="Active","Yes","Inactive"),"No"))</f>
        <v>No</v>
      </c>
      <c r="E56" s="21"/>
      <c r="F56" s="21"/>
      <c r="G56" s="21"/>
    </row>
    <row r="57" ht="15.75" customHeight="1">
      <c r="A57" s="47" t="s">
        <v>835</v>
      </c>
      <c r="C57" s="76" t="str">
        <f>IF($A57="","",IFERROR(VLOOKUP($A57,StudentRegistry!$A:$D,3,FALSE),"Not found"))</f>
        <v>Not found</v>
      </c>
      <c r="D57" s="76" t="str">
        <f>IF($A57="","",IFERROR(IF(VLOOKUP($A57,StudentRegistry!$A:$D,4,FALSE)="Active","Yes","Inactive"),"No"))</f>
        <v>No</v>
      </c>
      <c r="E57" s="21"/>
      <c r="F57" s="21"/>
      <c r="G57" s="21"/>
    </row>
    <row r="58" ht="15.75" customHeight="1">
      <c r="A58" s="47" t="s">
        <v>846</v>
      </c>
      <c r="C58" s="76" t="str">
        <f>IF($A58="","",IFERROR(VLOOKUP($A58,StudentRegistry!$A:$D,3,FALSE),"Not found"))</f>
        <v>Not found</v>
      </c>
      <c r="D58" s="76" t="str">
        <f>IF($A58="","",IFERROR(IF(VLOOKUP($A58,StudentRegistry!$A:$D,4,FALSE)="Active","Yes","Inactive"),"No"))</f>
        <v>No</v>
      </c>
      <c r="E58" s="21"/>
      <c r="F58" s="21"/>
      <c r="G58" s="21"/>
    </row>
    <row r="59" ht="15.75" customHeight="1">
      <c r="A59" s="47" t="s">
        <v>847</v>
      </c>
      <c r="C59" s="76" t="str">
        <f>IF($A59="","",IFERROR(VLOOKUP($A59,StudentRegistry!$A:$D,3,FALSE),"Not found"))</f>
        <v>Not found</v>
      </c>
      <c r="D59" s="76" t="str">
        <f>IF($A59="","",IFERROR(IF(VLOOKUP($A59,StudentRegistry!$A:$D,4,FALSE)="Active","Yes","Inactive"),"No"))</f>
        <v>No</v>
      </c>
      <c r="E59" s="21"/>
      <c r="F59" s="21"/>
      <c r="G59" s="21"/>
    </row>
    <row r="60" ht="15.75" customHeight="1">
      <c r="A60" s="47" t="s">
        <v>848</v>
      </c>
      <c r="C60" s="76" t="str">
        <f>IF($A60="","",IFERROR(VLOOKUP($A60,StudentRegistry!$A:$D,3,FALSE),"Not found"))</f>
        <v>Not found</v>
      </c>
      <c r="D60" s="76" t="str">
        <f>IF($A60="","",IFERROR(IF(VLOOKUP($A60,StudentRegistry!$A:$D,4,FALSE)="Active","Yes","Inactive"),"No"))</f>
        <v>No</v>
      </c>
      <c r="E60" s="21"/>
      <c r="F60" s="21"/>
      <c r="G60" s="21"/>
    </row>
    <row r="61" ht="15.75" customHeight="1">
      <c r="A61" s="47" t="s">
        <v>849</v>
      </c>
      <c r="C61" s="76" t="str">
        <f>IF($A61="","",IFERROR(VLOOKUP($A61,StudentRegistry!$A:$D,3,FALSE),"Not found"))</f>
        <v>Not found</v>
      </c>
      <c r="D61" s="76" t="str">
        <f>IF($A61="","",IFERROR(IF(VLOOKUP($A61,StudentRegistry!$A:$D,4,FALSE)="Active","Yes","Inactive"),"No"))</f>
        <v>No</v>
      </c>
      <c r="E61" s="21"/>
      <c r="F61" s="21"/>
      <c r="G61" s="21"/>
    </row>
    <row r="62" ht="15.75" customHeight="1">
      <c r="A62" s="47" t="s">
        <v>850</v>
      </c>
      <c r="C62" s="76" t="str">
        <f>IF($A62="","",IFERROR(VLOOKUP($A62,StudentRegistry!$A:$D,3,FALSE),"Not found"))</f>
        <v>Not found</v>
      </c>
      <c r="D62" s="76" t="str">
        <f>IF($A62="","",IFERROR(IF(VLOOKUP($A62,StudentRegistry!$A:$D,4,FALSE)="Active","Yes","Inactive"),"No"))</f>
        <v>No</v>
      </c>
      <c r="E62" s="21"/>
      <c r="F62" s="21"/>
      <c r="G62" s="21"/>
    </row>
    <row r="63" ht="15.75" customHeight="1">
      <c r="A63" s="47" t="s">
        <v>851</v>
      </c>
      <c r="C63" s="76" t="str">
        <f>IF($A63="","",IFERROR(VLOOKUP($A63,StudentRegistry!$A:$D,3,FALSE),"Not found"))</f>
        <v>Not found</v>
      </c>
      <c r="D63" s="76" t="str">
        <f>IF($A63="","",IFERROR(IF(VLOOKUP($A63,StudentRegistry!$A:$D,4,FALSE)="Active","Yes","Inactive"),"No"))</f>
        <v>No</v>
      </c>
      <c r="E63" s="21"/>
      <c r="F63" s="21"/>
      <c r="G63" s="21"/>
    </row>
    <row r="64" ht="15.75" customHeight="1">
      <c r="A64" s="47" t="s">
        <v>852</v>
      </c>
      <c r="C64" s="76" t="str">
        <f>IF($A64="","",IFERROR(VLOOKUP($A64,StudentRegistry!$A:$D,3,FALSE),"Not found"))</f>
        <v>Not found</v>
      </c>
      <c r="D64" s="76" t="str">
        <f>IF($A64="","",IFERROR(IF(VLOOKUP($A64,StudentRegistry!$A:$D,4,FALSE)="Active","Yes","Inactive"),"No"))</f>
        <v>No</v>
      </c>
      <c r="E64" s="21"/>
      <c r="F64" s="21"/>
      <c r="G64" s="21"/>
    </row>
    <row r="65" ht="15.75" customHeight="1">
      <c r="A65" s="47" t="s">
        <v>233</v>
      </c>
      <c r="C65" s="76" t="str">
        <f>IF($A65="","",IFERROR(VLOOKUP($A65,StudentRegistry!$A:$D,3,FALSE),"Not found"))</f>
        <v>Dorm D</v>
      </c>
      <c r="D65" s="76" t="str">
        <f>IF($A65="","",IFERROR(IF(VLOOKUP($A65,StudentRegistry!$A:$D,4,FALSE)="Active","Yes","Inactive"),"No"))</f>
        <v>Yes</v>
      </c>
      <c r="E65" s="21"/>
      <c r="F65" s="21"/>
      <c r="G65" s="21"/>
    </row>
    <row r="66" ht="15.75" customHeight="1">
      <c r="A66" s="47" t="s">
        <v>235</v>
      </c>
      <c r="C66" s="76" t="str">
        <f>IF($A66="","",IFERROR(VLOOKUP($A66,StudentRegistry!$A:$D,3,FALSE),"Not found"))</f>
        <v>Dorm D</v>
      </c>
      <c r="D66" s="76" t="str">
        <f>IF($A66="","",IFERROR(IF(VLOOKUP($A66,StudentRegistry!$A:$D,4,FALSE)="Active","Yes","Inactive"),"No"))</f>
        <v>Yes</v>
      </c>
      <c r="E66" s="21"/>
      <c r="F66" s="21"/>
      <c r="G66" s="21"/>
    </row>
    <row r="67" ht="15.75" customHeight="1">
      <c r="A67" s="47" t="s">
        <v>239</v>
      </c>
      <c r="C67" s="76" t="str">
        <f>IF($A67="","",IFERROR(VLOOKUP($A67,StudentRegistry!$A:$D,3,FALSE),"Not found"))</f>
        <v>Dorm D</v>
      </c>
      <c r="D67" s="76" t="str">
        <f>IF($A67="","",IFERROR(IF(VLOOKUP($A67,StudentRegistry!$A:$D,4,FALSE)="Active","Yes","Inactive"),"No"))</f>
        <v>Yes</v>
      </c>
      <c r="E67" s="21"/>
      <c r="F67" s="21"/>
      <c r="G67" s="21"/>
    </row>
    <row r="68" ht="15.75" customHeight="1">
      <c r="A68" s="47" t="s">
        <v>241</v>
      </c>
      <c r="C68" s="76" t="str">
        <f>IF($A68="","",IFERROR(VLOOKUP($A68,StudentRegistry!$A:$D,3,FALSE),"Not found"))</f>
        <v>Dorm D</v>
      </c>
      <c r="D68" s="76" t="str">
        <f>IF($A68="","",IFERROR(IF(VLOOKUP($A68,StudentRegistry!$A:$D,4,FALSE)="Active","Yes","Inactive"),"No"))</f>
        <v>Yes</v>
      </c>
      <c r="E68" s="21"/>
      <c r="F68" s="21"/>
      <c r="G68" s="21"/>
    </row>
    <row r="69" ht="15.75" customHeight="1">
      <c r="A69" s="47" t="s">
        <v>243</v>
      </c>
      <c r="C69" s="76" t="str">
        <f>IF($A69="","",IFERROR(VLOOKUP($A69,StudentRegistry!$A:$D,3,FALSE),"Not found"))</f>
        <v>Dorm D</v>
      </c>
      <c r="D69" s="76" t="str">
        <f>IF($A69="","",IFERROR(IF(VLOOKUP($A69,StudentRegistry!$A:$D,4,FALSE)="Active","Yes","Inactive"),"No"))</f>
        <v>Yes</v>
      </c>
      <c r="E69" s="21"/>
      <c r="F69" s="21"/>
      <c r="G69" s="21"/>
    </row>
    <row r="70" ht="15.75" customHeight="1">
      <c r="A70" s="47" t="s">
        <v>245</v>
      </c>
      <c r="C70" s="76" t="str">
        <f>IF($A70="","",IFERROR(VLOOKUP($A70,StudentRegistry!$A:$D,3,FALSE),"Not found"))</f>
        <v>Dorm D</v>
      </c>
      <c r="D70" s="76" t="str">
        <f>IF($A70="","",IFERROR(IF(VLOOKUP($A70,StudentRegistry!$A:$D,4,FALSE)="Active","Yes","Inactive"),"No"))</f>
        <v>Yes</v>
      </c>
      <c r="E70" s="21"/>
      <c r="F70" s="21"/>
      <c r="G70" s="21"/>
    </row>
    <row r="71" ht="15.75" customHeight="1">
      <c r="A71" s="47" t="s">
        <v>247</v>
      </c>
      <c r="C71" s="76" t="str">
        <f>IF($A71="","",IFERROR(VLOOKUP($A71,StudentRegistry!$A:$D,3,FALSE),"Not found"))</f>
        <v>Dorm D</v>
      </c>
      <c r="D71" s="76" t="str">
        <f>IF($A71="","",IFERROR(IF(VLOOKUP($A71,StudentRegistry!$A:$D,4,FALSE)="Active","Yes","Inactive"),"No"))</f>
        <v>Yes</v>
      </c>
      <c r="E71" s="21"/>
      <c r="F71" s="21"/>
      <c r="G71" s="21"/>
    </row>
    <row r="72" ht="15.75" customHeight="1">
      <c r="A72" s="47" t="s">
        <v>248</v>
      </c>
      <c r="C72" s="76" t="str">
        <f>IF($A72="","",IFERROR(VLOOKUP($A72,StudentRegistry!$A:$D,3,FALSE),"Not found"))</f>
        <v>Dorm D</v>
      </c>
      <c r="D72" s="76" t="str">
        <f>IF($A72="","",IFERROR(IF(VLOOKUP($A72,StudentRegistry!$A:$D,4,FALSE)="Active","Yes","Inactive"),"No"))</f>
        <v>Yes</v>
      </c>
      <c r="E72" s="21"/>
      <c r="F72" s="21"/>
      <c r="G72" s="21"/>
    </row>
    <row r="73" ht="15.75" customHeight="1">
      <c r="A73" s="47" t="s">
        <v>81</v>
      </c>
      <c r="C73" s="76" t="str">
        <f>IF($A73="","",IFERROR(VLOOKUP($A73,StudentRegistry!$A:$D,3,FALSE),"Not found"))</f>
        <v>Dorm D</v>
      </c>
      <c r="D73" s="76" t="str">
        <f>IF($A73="","",IFERROR(IF(VLOOKUP($A73,StudentRegistry!$A:$D,4,FALSE)="Active","Yes","Inactive"),"No"))</f>
        <v>Yes</v>
      </c>
      <c r="E73" s="21"/>
      <c r="F73" s="21"/>
      <c r="G73" s="21"/>
    </row>
    <row r="74" ht="15.75" customHeight="1">
      <c r="A74" s="47" t="s">
        <v>249</v>
      </c>
      <c r="C74" s="76" t="str">
        <f>IF($A74="","",IFERROR(VLOOKUP($A74,StudentRegistry!$A:$D,3,FALSE),"Not found"))</f>
        <v>Dorm D</v>
      </c>
      <c r="D74" s="76" t="str">
        <f>IF($A74="","",IFERROR(IF(VLOOKUP($A74,StudentRegistry!$A:$D,4,FALSE)="Active","Yes","Inactive"),"No"))</f>
        <v>Yes</v>
      </c>
      <c r="E74" s="21"/>
      <c r="F74" s="21"/>
      <c r="G74" s="21"/>
    </row>
    <row r="75" ht="15.75" customHeight="1">
      <c r="A75" s="47" t="s">
        <v>90</v>
      </c>
      <c r="C75" s="76" t="str">
        <f>IF($A75="","",IFERROR(VLOOKUP($A75,StudentRegistry!$A:$D,3,FALSE),"Not found"))</f>
        <v>Dorm D</v>
      </c>
      <c r="D75" s="76" t="str">
        <f>IF($A75="","",IFERROR(IF(VLOOKUP($A75,StudentRegistry!$A:$D,4,FALSE)="Active","Yes","Inactive"),"No"))</f>
        <v>Yes</v>
      </c>
      <c r="E75" s="21"/>
      <c r="F75" s="21"/>
      <c r="G75" s="21"/>
    </row>
    <row r="76" ht="15.75" customHeight="1">
      <c r="A76" s="47" t="s">
        <v>251</v>
      </c>
      <c r="C76" s="76" t="str">
        <f>IF($A76="","",IFERROR(VLOOKUP($A76,StudentRegistry!$A:$D,3,FALSE),"Not found"))</f>
        <v>Dorm D</v>
      </c>
      <c r="D76" s="76" t="str">
        <f>IF($A76="","",IFERROR(IF(VLOOKUP($A76,StudentRegistry!$A:$D,4,FALSE)="Active","Yes","Inactive"),"No"))</f>
        <v>Yes</v>
      </c>
      <c r="E76" s="21"/>
      <c r="F76" s="21"/>
      <c r="G76" s="21"/>
    </row>
    <row r="77" ht="15.75" customHeight="1">
      <c r="A77" s="47" t="s">
        <v>252</v>
      </c>
      <c r="C77" s="76" t="str">
        <f>IF($A77="","",IFERROR(VLOOKUP($A77,StudentRegistry!$A:$D,3,FALSE),"Not found"))</f>
        <v>Dorm D</v>
      </c>
      <c r="D77" s="76" t="str">
        <f>IF($A77="","",IFERROR(IF(VLOOKUP($A77,StudentRegistry!$A:$D,4,FALSE)="Active","Yes","Inactive"),"No"))</f>
        <v>Yes</v>
      </c>
      <c r="E77" s="21"/>
      <c r="F77" s="21"/>
      <c r="G77" s="21"/>
    </row>
    <row r="78" ht="15.75" customHeight="1">
      <c r="A78" s="47" t="s">
        <v>253</v>
      </c>
      <c r="C78" s="76" t="str">
        <f>IF($A78="","",IFERROR(VLOOKUP($A78,StudentRegistry!$A:$D,3,FALSE),"Not found"))</f>
        <v>Dorm D</v>
      </c>
      <c r="D78" s="76" t="str">
        <f>IF($A78="","",IFERROR(IF(VLOOKUP($A78,StudentRegistry!$A:$D,4,FALSE)="Active","Yes","Inactive"),"No"))</f>
        <v>Yes</v>
      </c>
      <c r="E78" s="21"/>
      <c r="F78" s="21"/>
      <c r="G78" s="21"/>
    </row>
    <row r="79" ht="15.75" customHeight="1">
      <c r="A79" s="47" t="s">
        <v>95</v>
      </c>
      <c r="C79" s="76" t="str">
        <f>IF($A79="","",IFERROR(VLOOKUP($A79,StudentRegistry!$A:$D,3,FALSE),"Not found"))</f>
        <v>Dorm D</v>
      </c>
      <c r="D79" s="76" t="str">
        <f>IF($A79="","",IFERROR(IF(VLOOKUP($A79,StudentRegistry!$A:$D,4,FALSE)="Active","Yes","Inactive"),"No"))</f>
        <v>Yes</v>
      </c>
      <c r="E79" s="21"/>
      <c r="F79" s="21"/>
      <c r="G79" s="21"/>
    </row>
    <row r="80" ht="15.75" customHeight="1">
      <c r="A80" s="47" t="s">
        <v>92</v>
      </c>
      <c r="C80" s="76" t="str">
        <f>IF($A80="","",IFERROR(VLOOKUP($A80,StudentRegistry!$A:$D,3,FALSE),"Not found"))</f>
        <v>Dorm D</v>
      </c>
      <c r="D80" s="76" t="str">
        <f>IF($A80="","",IFERROR(IF(VLOOKUP($A80,StudentRegistry!$A:$D,4,FALSE)="Active","Yes","Inactive"),"No"))</f>
        <v>Yes</v>
      </c>
      <c r="E80" s="21"/>
      <c r="F80" s="21"/>
      <c r="G80" s="21"/>
    </row>
    <row r="81" ht="15.75" customHeight="1">
      <c r="A81" s="47" t="s">
        <v>256</v>
      </c>
      <c r="C81" s="76" t="str">
        <f>IF($A81="","",IFERROR(VLOOKUP($A81,StudentRegistry!$A:$D,3,FALSE),"Not found"))</f>
        <v>Dorm D</v>
      </c>
      <c r="D81" s="76" t="str">
        <f>IF($A81="","",IFERROR(IF(VLOOKUP($A81,StudentRegistry!$A:$D,4,FALSE)="Active","Yes","Inactive"),"No"))</f>
        <v>Yes</v>
      </c>
      <c r="E81" s="21"/>
      <c r="F81" s="21"/>
      <c r="G81" s="21"/>
    </row>
    <row r="82" ht="15.75" customHeight="1">
      <c r="A82" s="47" t="s">
        <v>257</v>
      </c>
      <c r="C82" s="76" t="str">
        <f>IF($A82="","",IFERROR(VLOOKUP($A82,StudentRegistry!$A:$D,3,FALSE),"Not found"))</f>
        <v>Dorm D</v>
      </c>
      <c r="D82" s="76" t="str">
        <f>IF($A82="","",IFERROR(IF(VLOOKUP($A82,StudentRegistry!$A:$D,4,FALSE)="Active","Yes","Inactive"),"No"))</f>
        <v>Yes</v>
      </c>
      <c r="E82" s="21"/>
      <c r="F82" s="21"/>
      <c r="G82" s="21"/>
    </row>
    <row r="83" ht="15.75" customHeight="1">
      <c r="A83" s="47" t="s">
        <v>99</v>
      </c>
      <c r="C83" s="76" t="str">
        <f>IF($A83="","",IFERROR(VLOOKUP($A83,StudentRegistry!$A:$D,3,FALSE),"Not found"))</f>
        <v>Dorm D</v>
      </c>
      <c r="D83" s="76" t="str">
        <f>IF($A83="","",IFERROR(IF(VLOOKUP($A83,StudentRegistry!$A:$D,4,FALSE)="Active","Yes","Inactive"),"No"))</f>
        <v>Yes</v>
      </c>
      <c r="E83" s="21"/>
      <c r="F83" s="21"/>
      <c r="G83" s="21"/>
    </row>
    <row r="84" ht="15.75" customHeight="1">
      <c r="A84" s="47" t="s">
        <v>259</v>
      </c>
      <c r="C84" s="76" t="str">
        <f>IF($A84="","",IFERROR(VLOOKUP($A84,StudentRegistry!$A:$D,3,FALSE),"Not found"))</f>
        <v>Dorm D</v>
      </c>
      <c r="D84" s="76" t="str">
        <f>IF($A84="","",IFERROR(IF(VLOOKUP($A84,StudentRegistry!$A:$D,4,FALSE)="Active","Yes","Inactive"),"No"))</f>
        <v>Yes</v>
      </c>
      <c r="E84" s="21"/>
      <c r="F84" s="21"/>
      <c r="G84" s="21"/>
    </row>
    <row r="85" ht="15.75" customHeight="1">
      <c r="A85" s="47" t="s">
        <v>262</v>
      </c>
      <c r="C85" s="76" t="str">
        <f>IF($A85="","",IFERROR(VLOOKUP($A85,StudentRegistry!$A:$D,3,FALSE),"Not found"))</f>
        <v>Dorm D</v>
      </c>
      <c r="D85" s="76" t="str">
        <f>IF($A85="","",IFERROR(IF(VLOOKUP($A85,StudentRegistry!$A:$D,4,FALSE)="Active","Yes","Inactive"),"No"))</f>
        <v>Yes</v>
      </c>
      <c r="E85" s="21"/>
      <c r="F85" s="21"/>
      <c r="G85" s="21"/>
    </row>
    <row r="86" ht="15.75" customHeight="1">
      <c r="A86" s="47" t="s">
        <v>263</v>
      </c>
      <c r="C86" s="76" t="str">
        <f>IF($A86="","",IFERROR(VLOOKUP($A86,StudentRegistry!$A:$D,3,FALSE),"Not found"))</f>
        <v>Dorm D</v>
      </c>
      <c r="D86" s="76" t="str">
        <f>IF($A86="","",IFERROR(IF(VLOOKUP($A86,StudentRegistry!$A:$D,4,FALSE)="Active","Yes","Inactive"),"No"))</f>
        <v>Yes</v>
      </c>
      <c r="E86" s="21"/>
      <c r="F86" s="21"/>
      <c r="G86" s="21"/>
    </row>
    <row r="87" ht="15.75" customHeight="1">
      <c r="A87" s="47" t="s">
        <v>264</v>
      </c>
      <c r="C87" s="76" t="str">
        <f>IF($A87="","",IFERROR(VLOOKUP($A87,StudentRegistry!$A:$D,3,FALSE),"Not found"))</f>
        <v>Dorm D</v>
      </c>
      <c r="D87" s="76" t="str">
        <f>IF($A87="","",IFERROR(IF(VLOOKUP($A87,StudentRegistry!$A:$D,4,FALSE)="Active","Yes","Inactive"),"No"))</f>
        <v>Yes</v>
      </c>
      <c r="E87" s="21"/>
      <c r="F87" s="21"/>
      <c r="G87" s="21"/>
    </row>
    <row r="88" ht="15.75" customHeight="1">
      <c r="A88" s="47" t="s">
        <v>265</v>
      </c>
      <c r="C88" s="76" t="str">
        <f>IF($A88="","",IFERROR(VLOOKUP($A88,StudentRegistry!$A:$D,3,FALSE),"Not found"))</f>
        <v>Dorm D</v>
      </c>
      <c r="D88" s="76" t="str">
        <f>IF($A88="","",IFERROR(IF(VLOOKUP($A88,StudentRegistry!$A:$D,4,FALSE)="Active","Yes","Inactive"),"No"))</f>
        <v>Yes</v>
      </c>
      <c r="E88" s="21"/>
      <c r="F88" s="21"/>
      <c r="G88" s="21"/>
    </row>
    <row r="89" ht="15.75" customHeight="1">
      <c r="A89" s="47" t="s">
        <v>266</v>
      </c>
      <c r="C89" s="76" t="str">
        <f>IF($A89="","",IFERROR(VLOOKUP($A89,StudentRegistry!$A:$D,3,FALSE),"Not found"))</f>
        <v>Dorm D</v>
      </c>
      <c r="D89" s="76" t="str">
        <f>IF($A89="","",IFERROR(IF(VLOOKUP($A89,StudentRegistry!$A:$D,4,FALSE)="Active","Yes","Inactive"),"No"))</f>
        <v>Yes</v>
      </c>
      <c r="E89" s="21"/>
      <c r="F89" s="21"/>
      <c r="G89" s="21"/>
    </row>
    <row r="90" ht="15.75" customHeight="1">
      <c r="A90" s="47" t="s">
        <v>267</v>
      </c>
      <c r="C90" s="76" t="str">
        <f>IF($A90="","",IFERROR(VLOOKUP($A90,StudentRegistry!$A:$D,3,FALSE),"Not found"))</f>
        <v>Dorm D</v>
      </c>
      <c r="D90" s="76" t="str">
        <f>IF($A90="","",IFERROR(IF(VLOOKUP($A90,StudentRegistry!$A:$D,4,FALSE)="Active","Yes","Inactive"),"No"))</f>
        <v>Yes</v>
      </c>
      <c r="E90" s="21"/>
      <c r="F90" s="21"/>
      <c r="G90" s="21"/>
    </row>
    <row r="91" ht="15.75" customHeight="1">
      <c r="A91" s="47" t="s">
        <v>853</v>
      </c>
      <c r="C91" s="76" t="str">
        <f>IF($A91="","",IFERROR(VLOOKUP($A91,StudentRegistry!$A:$D,3,FALSE),"Not found"))</f>
        <v>Not found</v>
      </c>
      <c r="D91" s="76" t="str">
        <f>IF($A91="","",IFERROR(IF(VLOOKUP($A91,StudentRegistry!$A:$D,4,FALSE)="Active","Yes","Inactive"),"No"))</f>
        <v>No</v>
      </c>
      <c r="E91" s="21"/>
      <c r="F91" s="21"/>
      <c r="G91" s="21"/>
    </row>
    <row r="92" ht="15.75" customHeight="1">
      <c r="A92" s="47" t="s">
        <v>854</v>
      </c>
      <c r="C92" s="76" t="str">
        <f>IF($A92="","",IFERROR(VLOOKUP($A92,StudentRegistry!$A:$D,3,FALSE),"Not found"))</f>
        <v>Not found</v>
      </c>
      <c r="D92" s="76" t="str">
        <f>IF($A92="","",IFERROR(IF(VLOOKUP($A92,StudentRegistry!$A:$D,4,FALSE)="Active","Yes","Inactive"),"No"))</f>
        <v>No</v>
      </c>
      <c r="E92" s="21"/>
      <c r="F92" s="21"/>
      <c r="G92" s="21"/>
    </row>
    <row r="93" ht="15.75" customHeight="1">
      <c r="A93" s="47" t="s">
        <v>260</v>
      </c>
      <c r="C93" s="76" t="str">
        <f>IF($A93="","",IFERROR(VLOOKUP($A93,StudentRegistry!$A:$D,3,FALSE),"Not found"))</f>
        <v>Dorm D</v>
      </c>
      <c r="D93" s="76" t="str">
        <f>IF($A93="","",IFERROR(IF(VLOOKUP($A93,StudentRegistry!$A:$D,4,FALSE)="Active","Yes","Inactive"),"No"))</f>
        <v>Yes</v>
      </c>
      <c r="E93" s="21"/>
      <c r="F93" s="21"/>
      <c r="G93" s="21"/>
    </row>
    <row r="94" ht="15.75" customHeight="1">
      <c r="A94" s="47" t="s">
        <v>87</v>
      </c>
      <c r="C94" s="76" t="str">
        <f>IF($A94="","",IFERROR(VLOOKUP($A94,StudentRegistry!$A:$D,3,FALSE),"Not found"))</f>
        <v>Not found</v>
      </c>
      <c r="D94" s="76" t="str">
        <f>IF($A94="","",IFERROR(IF(VLOOKUP($A94,StudentRegistry!$A:$D,4,FALSE)="Active","Yes","Inactive"),"No"))</f>
        <v>No</v>
      </c>
      <c r="E94" s="21"/>
      <c r="F94" s="21"/>
      <c r="G94" s="21"/>
    </row>
    <row r="95" ht="15.75" customHeight="1">
      <c r="A95" s="47" t="s">
        <v>236</v>
      </c>
      <c r="C95" s="76" t="str">
        <f>IF($A95="","",IFERROR(VLOOKUP($A95,StudentRegistry!$A:$D,3,FALSE),"Not found"))</f>
        <v>Dorm D</v>
      </c>
      <c r="D95" s="76" t="str">
        <f>IF($A95="","",IFERROR(IF(VLOOKUP($A95,StudentRegistry!$A:$D,4,FALSE)="Active","Yes","Inactive"),"No"))</f>
        <v>Yes</v>
      </c>
      <c r="E95" s="21"/>
      <c r="F95" s="21"/>
      <c r="G95" s="21"/>
    </row>
    <row r="96" ht="15.75" customHeight="1">
      <c r="A96" s="47" t="s">
        <v>855</v>
      </c>
      <c r="C96" s="76" t="str">
        <f>IF($A96="","",IFERROR(VLOOKUP($A96,StudentRegistry!$A:$D,3,FALSE),"Not found"))</f>
        <v>Not found</v>
      </c>
      <c r="D96" s="76" t="str">
        <f>IF($A96="","",IFERROR(IF(VLOOKUP($A96,StudentRegistry!$A:$D,4,FALSE)="Active","Yes","Inactive"),"No"))</f>
        <v>No</v>
      </c>
      <c r="E96" s="21"/>
      <c r="F96" s="21"/>
      <c r="G96" s="21"/>
    </row>
    <row r="97" ht="15.75" customHeight="1">
      <c r="A97" s="47" t="s">
        <v>280</v>
      </c>
      <c r="C97" s="76" t="str">
        <f>IF($A97="","",IFERROR(VLOOKUP($A97,StudentRegistry!$A:$D,3,FALSE),"Not found"))</f>
        <v>Dorm E</v>
      </c>
      <c r="D97" s="76" t="str">
        <f>IF($A97="","",IFERROR(IF(VLOOKUP($A97,StudentRegistry!$A:$D,4,FALSE)="Active","Yes","Inactive"),"No"))</f>
        <v>Yes</v>
      </c>
      <c r="E97" s="21"/>
      <c r="F97" s="21"/>
      <c r="G97" s="21"/>
    </row>
    <row r="98" ht="15.75" customHeight="1">
      <c r="A98" s="47" t="s">
        <v>281</v>
      </c>
      <c r="C98" s="76" t="str">
        <f>IF($A98="","",IFERROR(VLOOKUP($A98,StudentRegistry!$A:$D,3,FALSE),"Not found"))</f>
        <v>Dorm E</v>
      </c>
      <c r="D98" s="76" t="str">
        <f>IF($A98="","",IFERROR(IF(VLOOKUP($A98,StudentRegistry!$A:$D,4,FALSE)="Active","Yes","Inactive"),"No"))</f>
        <v>Yes</v>
      </c>
      <c r="E98" s="21"/>
      <c r="F98" s="21"/>
      <c r="G98" s="21"/>
    </row>
    <row r="99" ht="15.75" customHeight="1">
      <c r="A99" s="47" t="s">
        <v>282</v>
      </c>
      <c r="C99" s="76" t="str">
        <f>IF($A99="","",IFERROR(VLOOKUP($A99,StudentRegistry!$A:$D,3,FALSE),"Not found"))</f>
        <v>Dorm E</v>
      </c>
      <c r="D99" s="76" t="str">
        <f>IF($A99="","",IFERROR(IF(VLOOKUP($A99,StudentRegistry!$A:$D,4,FALSE)="Active","Yes","Inactive"),"No"))</f>
        <v>Yes</v>
      </c>
      <c r="E99" s="21"/>
      <c r="F99" s="21"/>
      <c r="G99" s="21"/>
    </row>
    <row r="100" ht="15.75" customHeight="1">
      <c r="A100" s="47" t="s">
        <v>283</v>
      </c>
      <c r="C100" s="76" t="str">
        <f>IF($A100="","",IFERROR(VLOOKUP($A100,StudentRegistry!$A:$D,3,FALSE),"Not found"))</f>
        <v>Dorm E</v>
      </c>
      <c r="D100" s="76" t="str">
        <f>IF($A100="","",IFERROR(IF(VLOOKUP($A100,StudentRegistry!$A:$D,4,FALSE)="Active","Yes","Inactive"),"No"))</f>
        <v>Yes</v>
      </c>
      <c r="E100" s="21"/>
      <c r="F100" s="21"/>
      <c r="G100" s="21"/>
    </row>
    <row r="101" ht="15.75" customHeight="1">
      <c r="A101" s="47" t="s">
        <v>284</v>
      </c>
      <c r="C101" s="77" t="str">
        <f>IF($A101="","",IFERROR(VLOOKUP($A101,StudentRegistry!$A:$D,3,FALSE),"Not found"))</f>
        <v>Dorm E</v>
      </c>
      <c r="D101" s="77" t="str">
        <f>IF($A101="","",IFERROR(IF(VLOOKUP($A101,StudentRegistry!$A:$D,4,FALSE)="Active","Yes","Inactive"),"No"))</f>
        <v>Yes</v>
      </c>
      <c r="E101" s="21"/>
    </row>
    <row r="102" ht="15.75" customHeight="1">
      <c r="A102" s="47" t="s">
        <v>286</v>
      </c>
      <c r="C102" s="77" t="str">
        <f>IF($A102="","",IFERROR(VLOOKUP($A102,StudentRegistry!$A:$D,3,FALSE),"Not found"))</f>
        <v>Dorm E</v>
      </c>
      <c r="D102" s="77" t="str">
        <f>IF($A102="","",IFERROR(IF(VLOOKUP($A102,StudentRegistry!$A:$D,4,FALSE)="Active","Yes","Inactive"),"No"))</f>
        <v>Yes</v>
      </c>
      <c r="E102" s="21"/>
    </row>
    <row r="103" ht="15.75" customHeight="1">
      <c r="A103" s="47" t="s">
        <v>288</v>
      </c>
      <c r="C103" s="77" t="str">
        <f>IF($A103="","",IFERROR(VLOOKUP($A103,StudentRegistry!$A:$D,3,FALSE),"Not found"))</f>
        <v>Dorm E</v>
      </c>
      <c r="D103" s="77" t="str">
        <f>IF($A103="","",IFERROR(IF(VLOOKUP($A103,StudentRegistry!$A:$D,4,FALSE)="Active","Yes","Inactive"),"No"))</f>
        <v>Yes</v>
      </c>
      <c r="E103" s="21"/>
    </row>
    <row r="104" ht="15.75" customHeight="1">
      <c r="A104" s="47" t="s">
        <v>290</v>
      </c>
      <c r="C104" s="77" t="str">
        <f>IF($A104="","",IFERROR(VLOOKUP($A104,StudentRegistry!$A:$D,3,FALSE),"Not found"))</f>
        <v>Dorm E</v>
      </c>
      <c r="D104" s="77" t="str">
        <f>IF($A104="","",IFERROR(IF(VLOOKUP($A104,StudentRegistry!$A:$D,4,FALSE)="Active","Yes","Inactive"),"No"))</f>
        <v>Yes</v>
      </c>
      <c r="E104" s="21"/>
    </row>
    <row r="105" ht="15.75" customHeight="1">
      <c r="A105" s="47" t="s">
        <v>292</v>
      </c>
      <c r="C105" s="77" t="str">
        <f>IF($A105="","",IFERROR(VLOOKUP($A105,StudentRegistry!$A:$D,3,FALSE),"Not found"))</f>
        <v>Dorm E</v>
      </c>
      <c r="D105" s="77" t="str">
        <f>IF($A105="","",IFERROR(IF(VLOOKUP($A105,StudentRegistry!$A:$D,4,FALSE)="Active","Yes","Inactive"),"No"))</f>
        <v>Yes</v>
      </c>
      <c r="E105" s="21"/>
    </row>
    <row r="106" ht="15.75" customHeight="1">
      <c r="A106" s="47" t="s">
        <v>294</v>
      </c>
      <c r="C106" s="77" t="str">
        <f>IF($A106="","",IFERROR(VLOOKUP($A106,StudentRegistry!$A:$D,3,FALSE),"Not found"))</f>
        <v>Dorm E</v>
      </c>
      <c r="D106" s="77" t="str">
        <f>IF($A106="","",IFERROR(IF(VLOOKUP($A106,StudentRegistry!$A:$D,4,FALSE)="Active","Yes","Inactive"),"No"))</f>
        <v>Yes</v>
      </c>
      <c r="E106" s="21"/>
    </row>
    <row r="107" ht="15.75" customHeight="1">
      <c r="A107" s="47" t="s">
        <v>295</v>
      </c>
      <c r="C107" s="77" t="str">
        <f>IF($A107="","",IFERROR(VLOOKUP($A107,StudentRegistry!$A:$D,3,FALSE),"Not found"))</f>
        <v>Dorm E</v>
      </c>
      <c r="D107" s="77" t="str">
        <f>IF($A107="","",IFERROR(IF(VLOOKUP($A107,StudentRegistry!$A:$D,4,FALSE)="Active","Yes","Inactive"),"No"))</f>
        <v>Yes</v>
      </c>
      <c r="E107" s="21"/>
    </row>
    <row r="108" ht="15.75" customHeight="1">
      <c r="A108" s="47" t="s">
        <v>296</v>
      </c>
      <c r="C108" s="77" t="str">
        <f>IF($A108="","",IFERROR(VLOOKUP($A108,StudentRegistry!$A:$D,3,FALSE),"Not found"))</f>
        <v>Dorm E</v>
      </c>
      <c r="D108" s="77" t="str">
        <f>IF($A108="","",IFERROR(IF(VLOOKUP($A108,StudentRegistry!$A:$D,4,FALSE)="Active","Yes","Inactive"),"No"))</f>
        <v>Yes</v>
      </c>
      <c r="E108" s="21"/>
    </row>
    <row r="109" ht="15.75" customHeight="1">
      <c r="A109" s="47" t="s">
        <v>298</v>
      </c>
      <c r="C109" s="77" t="str">
        <f>IF($A109="","",IFERROR(VLOOKUP($A109,StudentRegistry!$A:$D,3,FALSE),"Not found"))</f>
        <v>Dorm E</v>
      </c>
      <c r="D109" s="77" t="str">
        <f>IF($A109="","",IFERROR(IF(VLOOKUP($A109,StudentRegistry!$A:$D,4,FALSE)="Active","Yes","Inactive"),"No"))</f>
        <v>Yes</v>
      </c>
      <c r="E109" s="21"/>
    </row>
    <row r="110" ht="15.75" customHeight="1">
      <c r="A110" s="47" t="s">
        <v>303</v>
      </c>
      <c r="C110" s="77" t="str">
        <f>IF($A110="","",IFERROR(VLOOKUP($A110,StudentRegistry!$A:$D,3,FALSE),"Not found"))</f>
        <v>Dorm E</v>
      </c>
      <c r="D110" s="77" t="str">
        <f>IF($A110="","",IFERROR(IF(VLOOKUP($A110,StudentRegistry!$A:$D,4,FALSE)="Active","Yes","Inactive"),"No"))</f>
        <v>Yes</v>
      </c>
      <c r="E110" s="21"/>
    </row>
    <row r="111" ht="15.75" customHeight="1">
      <c r="A111" s="47" t="s">
        <v>300</v>
      </c>
      <c r="C111" s="77" t="str">
        <f>IF($A111="","",IFERROR(VLOOKUP($A111,StudentRegistry!$A:$D,3,FALSE),"Not found"))</f>
        <v>Dorm E</v>
      </c>
      <c r="D111" s="77" t="str">
        <f>IF($A111="","",IFERROR(IF(VLOOKUP($A111,StudentRegistry!$A:$D,4,FALSE)="Active","Yes","Inactive"),"No"))</f>
        <v>Yes</v>
      </c>
      <c r="E111" s="21"/>
    </row>
    <row r="112" ht="15.75" customHeight="1">
      <c r="A112" s="47" t="s">
        <v>299</v>
      </c>
      <c r="C112" s="77" t="str">
        <f>IF($A112="","",IFERROR(VLOOKUP($A112,StudentRegistry!$A:$D,3,FALSE),"Not found"))</f>
        <v>Dorm E</v>
      </c>
      <c r="D112" s="77" t="str">
        <f>IF($A112="","",IFERROR(IF(VLOOKUP($A112,StudentRegistry!$A:$D,4,FALSE)="Active","Yes","Inactive"),"No"))</f>
        <v>Yes</v>
      </c>
      <c r="E112" s="21"/>
    </row>
    <row r="113" ht="15.75" customHeight="1">
      <c r="A113" s="47" t="s">
        <v>856</v>
      </c>
      <c r="C113" s="77" t="str">
        <f>IF($A113="","",IFERROR(VLOOKUP($A113,StudentRegistry!$A:$D,3,FALSE),"Not found"))</f>
        <v>Not found</v>
      </c>
      <c r="D113" s="77" t="str">
        <f>IF($A113="","",IFERROR(IF(VLOOKUP($A113,StudentRegistry!$A:$D,4,FALSE)="Active","Yes","Inactive"),"No"))</f>
        <v>No</v>
      </c>
      <c r="E113" s="21"/>
    </row>
    <row r="114" ht="15.75" customHeight="1">
      <c r="A114" s="47" t="s">
        <v>833</v>
      </c>
      <c r="C114" s="77" t="str">
        <f>IF($A114="","",IFERROR(VLOOKUP($A114,StudentRegistry!$A:$D,3,FALSE),"Not found"))</f>
        <v>Not found</v>
      </c>
      <c r="D114" s="77" t="str">
        <f>IF($A114="","",IFERROR(IF(VLOOKUP($A114,StudentRegistry!$A:$D,4,FALSE)="Active","Yes","Inactive"),"No"))</f>
        <v>No</v>
      </c>
      <c r="E114" s="21"/>
    </row>
    <row r="115" ht="15.75" customHeight="1">
      <c r="A115" s="47" t="s">
        <v>832</v>
      </c>
      <c r="C115" s="77" t="str">
        <f>IF($A115="","",IFERROR(VLOOKUP($A115,StudentRegistry!$A:$D,3,FALSE),"Not found"))</f>
        <v>Not found</v>
      </c>
      <c r="D115" s="77" t="str">
        <f>IF($A115="","",IFERROR(IF(VLOOKUP($A115,StudentRegistry!$A:$D,4,FALSE)="Active","Yes","Inactive"),"No"))</f>
        <v>No</v>
      </c>
      <c r="E115" s="21"/>
    </row>
    <row r="116" ht="15.75" customHeight="1">
      <c r="A116" s="47" t="s">
        <v>820</v>
      </c>
      <c r="C116" s="77" t="str">
        <f>IF($A116="","",IFERROR(VLOOKUP($A116,StudentRegistry!$A:$D,3,FALSE),"Not found"))</f>
        <v>Not found</v>
      </c>
      <c r="D116" s="77" t="str">
        <f>IF($A116="","",IFERROR(IF(VLOOKUP($A116,StudentRegistry!$A:$D,4,FALSE)="Active","Yes","Inactive"),"No"))</f>
        <v>No</v>
      </c>
      <c r="E116" s="21"/>
    </row>
    <row r="117" ht="15.75" customHeight="1">
      <c r="A117" s="47" t="s">
        <v>813</v>
      </c>
      <c r="C117" s="77" t="str">
        <f>IF($A117="","",IFERROR(VLOOKUP($A117,StudentRegistry!$A:$D,3,FALSE),"Not found"))</f>
        <v>Not found</v>
      </c>
      <c r="D117" s="77" t="str">
        <f>IF($A117="","",IFERROR(IF(VLOOKUP($A117,StudentRegistry!$A:$D,4,FALSE)="Active","Yes","Inactive"),"No"))</f>
        <v>No</v>
      </c>
      <c r="E117" s="21"/>
    </row>
    <row r="118" ht="15.75" customHeight="1">
      <c r="A118" s="47" t="s">
        <v>821</v>
      </c>
      <c r="C118" s="77" t="str">
        <f>IF($A118="","",IFERROR(VLOOKUP($A118,StudentRegistry!$A:$D,3,FALSE),"Not found"))</f>
        <v>Not found</v>
      </c>
      <c r="D118" s="77" t="str">
        <f>IF($A118="","",IFERROR(IF(VLOOKUP($A118,StudentRegistry!$A:$D,4,FALSE)="Active","Yes","Inactive"),"No"))</f>
        <v>No</v>
      </c>
      <c r="E118" s="21"/>
    </row>
    <row r="119" ht="15.75" customHeight="1">
      <c r="A119" s="47" t="s">
        <v>812</v>
      </c>
      <c r="C119" s="77" t="str">
        <f>IF($A119="","",IFERROR(VLOOKUP($A119,StudentRegistry!$A:$D,3,FALSE),"Not found"))</f>
        <v>Not found</v>
      </c>
      <c r="D119" s="77" t="str">
        <f>IF($A119="","",IFERROR(IF(VLOOKUP($A119,StudentRegistry!$A:$D,4,FALSE)="Active","Yes","Inactive"),"No"))</f>
        <v>No</v>
      </c>
      <c r="E119" s="21"/>
    </row>
    <row r="120" ht="15.75" customHeight="1">
      <c r="A120" s="47" t="s">
        <v>310</v>
      </c>
      <c r="C120" s="77" t="str">
        <f>IF($A120="","",IFERROR(VLOOKUP($A120,StudentRegistry!$A:$D,3,FALSE),"Not found"))</f>
        <v>Meikokan</v>
      </c>
      <c r="D120" s="77" t="str">
        <f>IF($A120="","",IFERROR(IF(VLOOKUP($A120,StudentRegistry!$A:$D,4,FALSE)="Active","Yes","Inactive"),"No"))</f>
        <v>Yes</v>
      </c>
      <c r="E120" s="21"/>
    </row>
    <row r="121" ht="15.75" customHeight="1">
      <c r="A121" s="47" t="s">
        <v>311</v>
      </c>
      <c r="C121" s="77" t="str">
        <f>IF($A121="","",IFERROR(VLOOKUP($A121,StudentRegistry!$A:$D,3,FALSE),"Not found"))</f>
        <v>Meikokan</v>
      </c>
      <c r="D121" s="77" t="str">
        <f>IF($A121="","",IFERROR(IF(VLOOKUP($A121,StudentRegistry!$A:$D,4,FALSE)="Active","Yes","Inactive"),"No"))</f>
        <v>Yes</v>
      </c>
      <c r="E121" s="21"/>
    </row>
    <row r="122" ht="15.75" customHeight="1">
      <c r="A122" s="47" t="s">
        <v>814</v>
      </c>
      <c r="C122" s="77" t="str">
        <f>IF($A122="","",IFERROR(VLOOKUP($A122,StudentRegistry!$A:$D,3,FALSE),"Not found"))</f>
        <v>Not found</v>
      </c>
      <c r="D122" s="77" t="str">
        <f>IF($A122="","",IFERROR(IF(VLOOKUP($A122,StudentRegistry!$A:$D,4,FALSE)="Active","Yes","Inactive"),"No"))</f>
        <v>No</v>
      </c>
      <c r="E122" s="21"/>
    </row>
    <row r="123" ht="15.75" customHeight="1">
      <c r="A123" s="47" t="s">
        <v>314</v>
      </c>
      <c r="C123" s="77" t="str">
        <f>IF($A123="","",IFERROR(VLOOKUP($A123,StudentRegistry!$A:$D,3,FALSE),"Not found"))</f>
        <v>Meikokan</v>
      </c>
      <c r="D123" s="77" t="str">
        <f>IF($A123="","",IFERROR(IF(VLOOKUP($A123,StudentRegistry!$A:$D,4,FALSE)="Active","Yes","Inactive"),"No"))</f>
        <v>Yes</v>
      </c>
      <c r="E123" s="21"/>
    </row>
    <row r="124" ht="15.75" customHeight="1">
      <c r="A124" s="47" t="s">
        <v>321</v>
      </c>
      <c r="C124" s="77" t="str">
        <f>IF($A124="","",IFERROR(VLOOKUP($A124,StudentRegistry!$A:$D,3,FALSE),"Not found"))</f>
        <v>Meikokan</v>
      </c>
      <c r="D124" s="77" t="str">
        <f>IF($A124="","",IFERROR(IF(VLOOKUP($A124,StudentRegistry!$A:$D,4,FALSE)="Active","Yes","Inactive"),"No"))</f>
        <v>Yes</v>
      </c>
      <c r="E124" s="21"/>
    </row>
    <row r="125" ht="15.75" customHeight="1">
      <c r="A125" s="47" t="s">
        <v>327</v>
      </c>
      <c r="C125" s="77" t="str">
        <f>IF($A125="","",IFERROR(VLOOKUP($A125,StudentRegistry!$A:$D,3,FALSE),"Not found"))</f>
        <v>Meikokan</v>
      </c>
      <c r="D125" s="77" t="str">
        <f>IF($A125="","",IFERROR(IF(VLOOKUP($A125,StudentRegistry!$A:$D,4,FALSE)="Active","Yes","Inactive"),"No"))</f>
        <v>Yes</v>
      </c>
      <c r="E125" s="21"/>
    </row>
    <row r="126" ht="15.75" customHeight="1">
      <c r="A126" s="47" t="s">
        <v>328</v>
      </c>
      <c r="C126" s="77" t="str">
        <f>IF($A126="","",IFERROR(VLOOKUP($A126,StudentRegistry!$A:$D,3,FALSE),"Not found"))</f>
        <v>Meikokan</v>
      </c>
      <c r="D126" s="77" t="str">
        <f>IF($A126="","",IFERROR(IF(VLOOKUP($A126,StudentRegistry!$A:$D,4,FALSE)="Active","Yes","Inactive"),"No"))</f>
        <v>Yes</v>
      </c>
      <c r="E126" s="21"/>
    </row>
    <row r="127" ht="15.75" customHeight="1">
      <c r="A127" s="47" t="s">
        <v>330</v>
      </c>
      <c r="C127" s="77" t="str">
        <f>IF($A127="","",IFERROR(VLOOKUP($A127,StudentRegistry!$A:$D,3,FALSE),"Not found"))</f>
        <v>Meikokan</v>
      </c>
      <c r="D127" s="77" t="str">
        <f>IF($A127="","",IFERROR(IF(VLOOKUP($A127,StudentRegistry!$A:$D,4,FALSE)="Active","Yes","Inactive"),"No"))</f>
        <v>Yes</v>
      </c>
      <c r="E127" s="21"/>
    </row>
    <row r="128" ht="15.75" customHeight="1">
      <c r="A128" s="47" t="s">
        <v>331</v>
      </c>
      <c r="C128" s="77" t="str">
        <f>IF($A128="","",IFERROR(VLOOKUP($A128,StudentRegistry!$A:$D,3,FALSE),"Not found"))</f>
        <v>Meikokan</v>
      </c>
      <c r="D128" s="77" t="str">
        <f>IF($A128="","",IFERROR(IF(VLOOKUP($A128,StudentRegistry!$A:$D,4,FALSE)="Active","Yes","Inactive"),"No"))</f>
        <v>Yes</v>
      </c>
      <c r="E128" s="21"/>
    </row>
    <row r="129" ht="15.75" customHeight="1">
      <c r="A129" s="47" t="s">
        <v>823</v>
      </c>
      <c r="C129" s="77" t="str">
        <f>IF($A129="","",IFERROR(VLOOKUP($A129,StudentRegistry!$A:$D,3,FALSE),"Not found"))</f>
        <v>Not found</v>
      </c>
      <c r="D129" s="77" t="str">
        <f>IF($A129="","",IFERROR(IF(VLOOKUP($A129,StudentRegistry!$A:$D,4,FALSE)="Active","Yes","Inactive"),"No"))</f>
        <v>No</v>
      </c>
      <c r="E129" s="21"/>
    </row>
    <row r="130" ht="15.75" customHeight="1">
      <c r="A130" s="47" t="s">
        <v>857</v>
      </c>
      <c r="C130" s="77" t="str">
        <f>IF($A130="","",IFERROR(VLOOKUP($A130,StudentRegistry!$A:$D,3,FALSE),"Not found"))</f>
        <v>Not found</v>
      </c>
      <c r="D130" s="77" t="str">
        <f>IF($A130="","",IFERROR(IF(VLOOKUP($A130,StudentRegistry!$A:$D,4,FALSE)="Active","Yes","Inactive"),"No"))</f>
        <v>No</v>
      </c>
      <c r="E130" s="21"/>
    </row>
    <row r="131" ht="15.75" customHeight="1">
      <c r="A131" s="47" t="s">
        <v>858</v>
      </c>
      <c r="C131" s="77" t="str">
        <f>IF($A131="","",IFERROR(VLOOKUP($A131,StudentRegistry!$A:$D,3,FALSE),"Not found"))</f>
        <v>Not found</v>
      </c>
      <c r="D131" s="77" t="str">
        <f>IF($A131="","",IFERROR(IF(VLOOKUP($A131,StudentRegistry!$A:$D,4,FALSE)="Active","Yes","Inactive"),"No"))</f>
        <v>No</v>
      </c>
      <c r="E131" s="21"/>
    </row>
    <row r="132" ht="15.75" customHeight="1">
      <c r="A132" s="47" t="s">
        <v>822</v>
      </c>
      <c r="C132" s="77" t="str">
        <f>IF($A132="","",IFERROR(VLOOKUP($A132,StudentRegistry!$A:$D,3,FALSE),"Not found"))</f>
        <v>Not found</v>
      </c>
      <c r="D132" s="77" t="str">
        <f>IF($A132="","",IFERROR(IF(VLOOKUP($A132,StudentRegistry!$A:$D,4,FALSE)="Active","Yes","Inactive"),"No"))</f>
        <v>No</v>
      </c>
      <c r="E132" s="21"/>
    </row>
    <row r="133" ht="15.75" customHeight="1">
      <c r="A133" s="47" t="s">
        <v>839</v>
      </c>
      <c r="C133" s="77" t="str">
        <f>IF($A133="","",IFERROR(VLOOKUP($A133,StudentRegistry!$A:$D,3,FALSE),"Not found"))</f>
        <v>Not found</v>
      </c>
      <c r="D133" s="77" t="str">
        <f>IF($A133="","",IFERROR(IF(VLOOKUP($A133,StudentRegistry!$A:$D,4,FALSE)="Active","Yes","Inactive"),"No"))</f>
        <v>No</v>
      </c>
      <c r="E133" s="21"/>
    </row>
    <row r="134" ht="15.75" customHeight="1">
      <c r="A134" s="47" t="s">
        <v>315</v>
      </c>
      <c r="C134" s="77" t="str">
        <f>IF($A134="","",IFERROR(VLOOKUP($A134,StudentRegistry!$A:$D,3,FALSE),"Not found"))</f>
        <v>Meikokan</v>
      </c>
      <c r="D134" s="77" t="str">
        <f>IF($A134="","",IFERROR(IF(VLOOKUP($A134,StudentRegistry!$A:$D,4,FALSE)="Active","Yes","Inactive"),"No"))</f>
        <v>Yes</v>
      </c>
      <c r="E134" s="21"/>
    </row>
    <row r="135" ht="15.75" customHeight="1">
      <c r="A135" s="47" t="s">
        <v>818</v>
      </c>
      <c r="C135" s="77" t="str">
        <f>IF($A135="","",IFERROR(VLOOKUP($A135,StudentRegistry!$A:$D,3,FALSE),"Not found"))</f>
        <v>Not found</v>
      </c>
      <c r="D135" s="77" t="str">
        <f>IF($A135="","",IFERROR(IF(VLOOKUP($A135,StudentRegistry!$A:$D,4,FALSE)="Active","Yes","Inactive"),"No"))</f>
        <v>No</v>
      </c>
      <c r="E135" s="21"/>
    </row>
    <row r="136" ht="15.75" customHeight="1">
      <c r="A136" s="47" t="s">
        <v>289</v>
      </c>
      <c r="C136" s="77" t="str">
        <f>IF($A136="","",IFERROR(VLOOKUP($A136,StudentRegistry!$A:$D,3,FALSE),"Not found"))</f>
        <v>Dorm E</v>
      </c>
      <c r="D136" s="77" t="str">
        <f>IF($A136="","",IFERROR(IF(VLOOKUP($A136,StudentRegistry!$A:$D,4,FALSE)="Active","Yes","Inactive"),"No"))</f>
        <v>Yes</v>
      </c>
      <c r="E136" s="21"/>
    </row>
    <row r="137" ht="15.75" customHeight="1">
      <c r="A137" s="47" t="s">
        <v>287</v>
      </c>
      <c r="C137" s="77" t="str">
        <f>IF($A137="","",IFERROR(VLOOKUP($A137,StudentRegistry!$A:$D,3,FALSE),"Not found"))</f>
        <v>Dorm E</v>
      </c>
      <c r="D137" s="77" t="str">
        <f>IF($A137="","",IFERROR(IF(VLOOKUP($A137,StudentRegistry!$A:$D,4,FALSE)="Active","Yes","Inactive"),"No"))</f>
        <v>Yes</v>
      </c>
      <c r="E137" s="21"/>
    </row>
    <row r="138" ht="15.75" customHeight="1">
      <c r="A138" s="47" t="s">
        <v>817</v>
      </c>
      <c r="C138" s="77" t="str">
        <f>IF($A138="","",IFERROR(VLOOKUP($A138,StudentRegistry!$A:$D,3,FALSE),"Not found"))</f>
        <v>Not found</v>
      </c>
      <c r="D138" s="77" t="str">
        <f>IF($A138="","",IFERROR(IF(VLOOKUP($A138,StudentRegistry!$A:$D,4,FALSE)="Active","Yes","Inactive"),"No"))</f>
        <v>No</v>
      </c>
      <c r="E138" s="21"/>
    </row>
    <row r="139" ht="15.75" customHeight="1">
      <c r="A139" s="47" t="s">
        <v>334</v>
      </c>
      <c r="C139" s="77" t="str">
        <f>IF($A139="","",IFERROR(VLOOKUP($A139,StudentRegistry!$A:$D,3,FALSE),"Not found"))</f>
        <v>Meikokan</v>
      </c>
      <c r="D139" s="77" t="str">
        <f>IF($A139="","",IFERROR(IF(VLOOKUP($A139,StudentRegistry!$A:$D,4,FALSE)="Active","Yes","Inactive"),"No"))</f>
        <v>Yes</v>
      </c>
      <c r="E139" s="21"/>
    </row>
    <row r="140" ht="15.75" customHeight="1">
      <c r="A140" s="47" t="s">
        <v>132</v>
      </c>
      <c r="C140" s="77" t="str">
        <f>IF($A140="","",IFERROR(VLOOKUP($A140,StudentRegistry!$A:$D,3,FALSE),"Not found"))</f>
        <v>Dorm A</v>
      </c>
      <c r="D140" s="77" t="str">
        <f>IF($A140="","",IFERROR(IF(VLOOKUP($A140,StudentRegistry!$A:$D,4,FALSE)="Active","Yes","Inactive"),"No"))</f>
        <v>Yes</v>
      </c>
      <c r="E140" s="21"/>
    </row>
    <row r="141" ht="15.75" customHeight="1">
      <c r="A141" s="47" t="s">
        <v>246</v>
      </c>
      <c r="C141" s="77" t="str">
        <f>IF($A141="","",IFERROR(VLOOKUP($A141,StudentRegistry!$A:$D,3,FALSE),"Not found"))</f>
        <v>Dorm D</v>
      </c>
      <c r="D141" s="77" t="str">
        <f>IF($A141="","",IFERROR(IF(VLOOKUP($A141,StudentRegistry!$A:$D,4,FALSE)="Active","Yes","Inactive"),"No"))</f>
        <v>Yes</v>
      </c>
      <c r="E141" s="21"/>
    </row>
    <row r="142" ht="15.75" customHeight="1">
      <c r="A142" s="47" t="s">
        <v>216</v>
      </c>
      <c r="C142" s="77" t="str">
        <f>IF($A142="","",IFERROR(VLOOKUP($A142,StudentRegistry!$A:$D,3,FALSE),"Not found"))</f>
        <v>Dorm B</v>
      </c>
      <c r="D142" s="77" t="str">
        <f>IF($A142="","",IFERROR(IF(VLOOKUP($A142,StudentRegistry!$A:$D,4,FALSE)="Active","Yes","Inactive"),"No"))</f>
        <v>Yes</v>
      </c>
      <c r="E142" s="21"/>
    </row>
    <row r="143" ht="15.75" customHeight="1">
      <c r="A143" s="47" t="s">
        <v>144</v>
      </c>
      <c r="C143" s="77" t="str">
        <f>IF($A143="","",IFERROR(VLOOKUP($A143,StudentRegistry!$A:$D,3,FALSE),"Not found"))</f>
        <v>Dorm A</v>
      </c>
      <c r="D143" s="77" t="str">
        <f>IF($A143="","",IFERROR(IF(VLOOKUP($A143,StudentRegistry!$A:$D,4,FALSE)="Active","Yes","Inactive"),"No"))</f>
        <v>Yes</v>
      </c>
      <c r="E143" s="21"/>
    </row>
    <row r="144" ht="15.75" customHeight="1">
      <c r="A144" s="47" t="s">
        <v>242</v>
      </c>
      <c r="C144" s="77" t="str">
        <f>IF($A144="","",IFERROR(VLOOKUP($A144,StudentRegistry!$A:$D,3,FALSE),"Not found"))</f>
        <v>Dorm D</v>
      </c>
      <c r="D144" s="77" t="str">
        <f>IF($A144="","",IFERROR(IF(VLOOKUP($A144,StudentRegistry!$A:$D,4,FALSE)="Active","Yes","Inactive"),"No"))</f>
        <v>Yes</v>
      </c>
      <c r="E144" s="21"/>
    </row>
    <row r="145" ht="15.75" customHeight="1">
      <c r="A145" s="47" t="s">
        <v>312</v>
      </c>
      <c r="C145" s="77" t="str">
        <f>IF($A145="","",IFERROR(VLOOKUP($A145,StudentRegistry!$A:$D,3,FALSE),"Not found"))</f>
        <v>Meikokan</v>
      </c>
      <c r="D145" s="77" t="str">
        <f>IF($A145="","",IFERROR(IF(VLOOKUP($A145,StudentRegistry!$A:$D,4,FALSE)="Active","Yes","Inactive"),"No"))</f>
        <v>Yes</v>
      </c>
      <c r="E145" s="21"/>
    </row>
    <row r="146" ht="15.75" customHeight="1">
      <c r="A146" s="47" t="s">
        <v>335</v>
      </c>
      <c r="C146" s="77" t="str">
        <f>IF($A146="","",IFERROR(VLOOKUP($A146,StudentRegistry!$A:$D,3,FALSE),"Not found"))</f>
        <v>Meikokan</v>
      </c>
      <c r="D146" s="77" t="str">
        <f>IF($A146="","",IFERROR(IF(VLOOKUP($A146,StudentRegistry!$A:$D,4,FALSE)="Active","Yes","Inactive"),"No"))</f>
        <v>Yes</v>
      </c>
      <c r="E146" s="21"/>
    </row>
    <row r="147" ht="15.75" customHeight="1">
      <c r="A147" s="47" t="s">
        <v>859</v>
      </c>
      <c r="C147" s="77" t="str">
        <f>IF($A147="","",IFERROR(VLOOKUP($A147,StudentRegistry!$A:$D,3,FALSE),"Not found"))</f>
        <v>Not found</v>
      </c>
      <c r="D147" s="77" t="str">
        <f>IF($A147="","",IFERROR(IF(VLOOKUP($A147,StudentRegistry!$A:$D,4,FALSE)="Active","Yes","Inactive"),"No"))</f>
        <v>No</v>
      </c>
      <c r="E147" s="21"/>
    </row>
    <row r="148" ht="15.75" customHeight="1">
      <c r="A148" s="47" t="s">
        <v>163</v>
      </c>
      <c r="C148" s="77" t="str">
        <f>IF($A148="","",IFERROR(VLOOKUP($A148,StudentRegistry!$A:$D,3,FALSE),"Not found"))</f>
        <v>Dorm A</v>
      </c>
      <c r="D148" s="77" t="str">
        <f>IF($A148="","",IFERROR(IF(VLOOKUP($A148,StudentRegistry!$A:$D,4,FALSE)="Active","Yes","Inactive"),"No"))</f>
        <v>Yes</v>
      </c>
      <c r="E148" s="21"/>
    </row>
    <row r="149" ht="15.75" customHeight="1">
      <c r="A149" s="47" t="s">
        <v>261</v>
      </c>
      <c r="C149" s="77" t="str">
        <f>IF($A149="","",IFERROR(VLOOKUP($A149,StudentRegistry!$A:$D,3,FALSE),"Not found"))</f>
        <v>Dorm D</v>
      </c>
      <c r="D149" s="77" t="str">
        <f>IF($A149="","",IFERROR(IF(VLOOKUP($A149,StudentRegistry!$A:$D,4,FALSE)="Active","Yes","Inactive"),"No"))</f>
        <v>Yes</v>
      </c>
      <c r="E149" s="21"/>
    </row>
    <row r="150" ht="15.75" customHeight="1">
      <c r="A150" s="47" t="s">
        <v>860</v>
      </c>
      <c r="C150" s="77" t="str">
        <f>IF($A150="","",IFERROR(VLOOKUP($A150,StudentRegistry!$A:$D,3,FALSE),"Not found"))</f>
        <v>Not found</v>
      </c>
      <c r="D150" s="77" t="str">
        <f>IF($A150="","",IFERROR(IF(VLOOKUP($A150,StudentRegistry!$A:$D,4,FALSE)="Active","Yes","Inactive"),"No"))</f>
        <v>No</v>
      </c>
      <c r="E150" s="21"/>
    </row>
    <row r="151" ht="15.75" customHeight="1">
      <c r="A151" s="47" t="s">
        <v>212</v>
      </c>
      <c r="C151" s="77" t="str">
        <f>IF($A151="","",IFERROR(VLOOKUP($A151,StudentRegistry!$A:$D,3,FALSE),"Not found"))</f>
        <v>Dorm B</v>
      </c>
      <c r="D151" s="77" t="str">
        <f>IF($A151="","",IFERROR(IF(VLOOKUP($A151,StudentRegistry!$A:$D,4,FALSE)="Active","Yes","Inactive"),"No"))</f>
        <v>Yes</v>
      </c>
      <c r="E151" s="21"/>
    </row>
    <row r="152" ht="15.75" customHeight="1">
      <c r="A152" s="47" t="s">
        <v>258</v>
      </c>
      <c r="C152" s="77" t="str">
        <f>IF($A152="","",IFERROR(VLOOKUP($A152,StudentRegistry!$A:$D,3,FALSE),"Not found"))</f>
        <v>Dorm D</v>
      </c>
      <c r="D152" s="77" t="str">
        <f>IF($A152="","",IFERROR(IF(VLOOKUP($A152,StudentRegistry!$A:$D,4,FALSE)="Active","Yes","Inactive"),"No"))</f>
        <v>Yes</v>
      </c>
      <c r="E152" s="21"/>
    </row>
    <row r="153" ht="15.75" customHeight="1">
      <c r="A153" s="47" t="s">
        <v>142</v>
      </c>
      <c r="C153" s="77" t="str">
        <f>IF($A153="","",IFERROR(VLOOKUP($A153,StudentRegistry!$A:$D,3,FALSE),"Not found"))</f>
        <v>Dorm A</v>
      </c>
      <c r="D153" s="77" t="str">
        <f>IF($A153="","",IFERROR(IF(VLOOKUP($A153,StudentRegistry!$A:$D,4,FALSE)="Active","Yes","Inactive"),"No"))</f>
        <v>Yes</v>
      </c>
      <c r="E153" s="21"/>
    </row>
    <row r="154" ht="15.75" customHeight="1">
      <c r="A154" s="47" t="s">
        <v>157</v>
      </c>
      <c r="C154" s="77" t="str">
        <f>IF($A154="","",IFERROR(VLOOKUP($A154,StudentRegistry!$A:$D,3,FALSE),"Not found"))</f>
        <v>Dorm A</v>
      </c>
      <c r="D154" s="77" t="str">
        <f>IF($A154="","",IFERROR(IF(VLOOKUP($A154,StudentRegistry!$A:$D,4,FALSE)="Active","Yes","Inactive"),"No"))</f>
        <v>Yes</v>
      </c>
      <c r="E154" s="21"/>
    </row>
    <row r="155" ht="15.75" customHeight="1">
      <c r="A155" s="47" t="s">
        <v>130</v>
      </c>
      <c r="C155" s="77" t="str">
        <f>IF($A155="","",IFERROR(VLOOKUP($A155,StudentRegistry!$A:$D,3,FALSE),"Not found"))</f>
        <v>Dorm A</v>
      </c>
      <c r="D155" s="77" t="str">
        <f>IF($A155="","",IFERROR(IF(VLOOKUP($A155,StudentRegistry!$A:$D,4,FALSE)="Active","Yes","Inactive"),"No"))</f>
        <v>Yes</v>
      </c>
      <c r="E155" s="21"/>
    </row>
    <row r="156" ht="15.75" customHeight="1">
      <c r="A156" s="47" t="s">
        <v>187</v>
      </c>
      <c r="C156" s="77" t="str">
        <f>IF($A156="","",IFERROR(VLOOKUP($A156,StudentRegistry!$A:$D,3,FALSE),"Not found"))</f>
        <v>Dorm B</v>
      </c>
      <c r="D156" s="77" t="str">
        <f>IF($A156="","",IFERROR(IF(VLOOKUP($A156,StudentRegistry!$A:$D,4,FALSE)="Active","Yes","Inactive"),"No"))</f>
        <v>Yes</v>
      </c>
      <c r="E156" s="21"/>
    </row>
    <row r="157" ht="15.75" customHeight="1">
      <c r="A157" s="47" t="s">
        <v>250</v>
      </c>
      <c r="C157" s="77" t="str">
        <f>IF($A157="","",IFERROR(VLOOKUP($A157,StudentRegistry!$A:$D,3,FALSE),"Not found"))</f>
        <v>Dorm D</v>
      </c>
      <c r="D157" s="77" t="str">
        <f>IF($A157="","",IFERROR(IF(VLOOKUP($A157,StudentRegistry!$A:$D,4,FALSE)="Active","Yes","Inactive"),"No"))</f>
        <v>Yes</v>
      </c>
      <c r="E157" s="21"/>
    </row>
    <row r="158" ht="15.75" customHeight="1">
      <c r="A158" s="47" t="s">
        <v>237</v>
      </c>
      <c r="C158" s="77" t="str">
        <f>IF($A158="","",IFERROR(VLOOKUP($A158,StudentRegistry!$A:$D,3,FALSE),"Not found"))</f>
        <v>Dorm D</v>
      </c>
      <c r="D158" s="77" t="str">
        <f>IF($A158="","",IFERROR(IF(VLOOKUP($A158,StudentRegistry!$A:$D,4,FALSE)="Active","Yes","Inactive"),"No"))</f>
        <v>Yes</v>
      </c>
      <c r="E158" s="21"/>
    </row>
    <row r="159" ht="15.75" customHeight="1">
      <c r="A159" s="47" t="s">
        <v>84</v>
      </c>
      <c r="C159" s="77" t="str">
        <f>IF($A159="","",IFERROR(VLOOKUP($A159,StudentRegistry!$A:$D,3,FALSE),"Not found"))</f>
        <v>Dorm D</v>
      </c>
      <c r="D159" s="77" t="str">
        <f>IF($A159="","",IFERROR(IF(VLOOKUP($A159,StudentRegistry!$A:$D,4,FALSE)="Active","Yes","Inactive"),"No"))</f>
        <v>Yes</v>
      </c>
      <c r="E159" s="21"/>
    </row>
    <row r="160" ht="15.75" customHeight="1">
      <c r="A160" s="47" t="s">
        <v>126</v>
      </c>
      <c r="C160" s="77" t="str">
        <f>IF($A160="","",IFERROR(VLOOKUP($A160,StudentRegistry!$A:$D,3,FALSE),"Not found"))</f>
        <v>Dorm A</v>
      </c>
      <c r="D160" s="77" t="str">
        <f>IF($A160="","",IFERROR(IF(VLOOKUP($A160,StudentRegistry!$A:$D,4,FALSE)="Active","Yes","Inactive"),"No"))</f>
        <v>Yes</v>
      </c>
      <c r="E160" s="21"/>
    </row>
    <row r="161" ht="15.75" customHeight="1">
      <c r="A161" s="47" t="s">
        <v>240</v>
      </c>
      <c r="C161" s="77" t="str">
        <f>IF($A161="","",IFERROR(VLOOKUP($A161,StudentRegistry!$A:$D,3,FALSE),"Not found"))</f>
        <v>Dorm D</v>
      </c>
      <c r="D161" s="77" t="str">
        <f>IF($A161="","",IFERROR(IF(VLOOKUP($A161,StudentRegistry!$A:$D,4,FALSE)="Active","Yes","Inactive"),"No"))</f>
        <v>Yes</v>
      </c>
      <c r="E161" s="21"/>
    </row>
    <row r="162" ht="15.75" customHeight="1">
      <c r="A162" s="47" t="s">
        <v>154</v>
      </c>
      <c r="C162" s="77" t="str">
        <f>IF($A162="","",IFERROR(VLOOKUP($A162,StudentRegistry!$A:$D,3,FALSE),"Not found"))</f>
        <v>Dorm A</v>
      </c>
      <c r="D162" s="77" t="str">
        <f>IF($A162="","",IFERROR(IF(VLOOKUP($A162,StudentRegistry!$A:$D,4,FALSE)="Active","Yes","Inactive"),"No"))</f>
        <v>Yes</v>
      </c>
      <c r="E162" s="21"/>
    </row>
    <row r="163" ht="15.75" customHeight="1">
      <c r="A163" s="47" t="s">
        <v>861</v>
      </c>
      <c r="C163" s="77" t="str">
        <f>IF($A163="","",IFERROR(VLOOKUP($A163,StudentRegistry!$A:$D,3,FALSE),"Not found"))</f>
        <v>Not found</v>
      </c>
      <c r="D163" s="77" t="str">
        <f>IF($A163="","",IFERROR(IF(VLOOKUP($A163,StudentRegistry!$A:$D,4,FALSE)="Active","Yes","Inactive"),"No"))</f>
        <v>No</v>
      </c>
      <c r="E163" s="21"/>
    </row>
    <row r="164" ht="15.75" customHeight="1">
      <c r="A164" s="47" t="s">
        <v>151</v>
      </c>
      <c r="C164" s="77" t="str">
        <f>IF($A164="","",IFERROR(VLOOKUP($A164,StudentRegistry!$A:$D,3,FALSE),"Not found"))</f>
        <v>Dorm A</v>
      </c>
      <c r="D164" s="77" t="str">
        <f>IF($A164="","",IFERROR(IF(VLOOKUP($A164,StudentRegistry!$A:$D,4,FALSE)="Active","Yes","Inactive"),"No"))</f>
        <v>Yes</v>
      </c>
      <c r="E164" s="21"/>
    </row>
    <row r="165" ht="15.75" customHeight="1">
      <c r="A165" s="47" t="s">
        <v>862</v>
      </c>
      <c r="C165" s="77" t="str">
        <f>IF($A165="","",IFERROR(VLOOKUP($A165,StudentRegistry!$A:$D,3,FALSE),"Not found"))</f>
        <v>Not found</v>
      </c>
      <c r="D165" s="77" t="str">
        <f>IF($A165="","",IFERROR(IF(VLOOKUP($A165,StudentRegistry!$A:$D,4,FALSE)="Active","Yes","Inactive"),"No"))</f>
        <v>No</v>
      </c>
      <c r="E165" s="21"/>
    </row>
    <row r="166" ht="15.75" customHeight="1">
      <c r="A166" s="47" t="s">
        <v>863</v>
      </c>
      <c r="C166" s="77" t="str">
        <f>IF($A166="","",IFERROR(VLOOKUP($A166,StudentRegistry!$A:$D,3,FALSE),"Not found"))</f>
        <v>Not found</v>
      </c>
      <c r="D166" s="77" t="str">
        <f>IF($A166="","",IFERROR(IF(VLOOKUP($A166,StudentRegistry!$A:$D,4,FALSE)="Active","Yes","Inactive"),"No"))</f>
        <v>No</v>
      </c>
      <c r="E166" s="21"/>
    </row>
    <row r="167" ht="15.75" customHeight="1">
      <c r="A167" s="47" t="s">
        <v>864</v>
      </c>
      <c r="C167" s="77" t="str">
        <f>IF($A167="","",IFERROR(VLOOKUP($A167,StudentRegistry!$A:$D,3,FALSE),"Not found"))</f>
        <v>Not found</v>
      </c>
      <c r="D167" s="77" t="str">
        <f>IF($A167="","",IFERROR(IF(VLOOKUP($A167,StudentRegistry!$A:$D,4,FALSE)="Active","Yes","Inactive"),"No"))</f>
        <v>No</v>
      </c>
      <c r="E167" s="21"/>
    </row>
    <row r="168" ht="15.75" customHeight="1">
      <c r="A168" s="47" t="s">
        <v>865</v>
      </c>
      <c r="C168" s="77" t="str">
        <f>IF($A168="","",IFERROR(VLOOKUP($A168,StudentRegistry!$A:$D,3,FALSE),"Not found"))</f>
        <v>Not found</v>
      </c>
      <c r="D168" s="77" t="str">
        <f>IF($A168="","",IFERROR(IF(VLOOKUP($A168,StudentRegistry!$A:$D,4,FALSE)="Active","Yes","Inactive"),"No"))</f>
        <v>No</v>
      </c>
      <c r="E168" s="21"/>
    </row>
    <row r="169" ht="15.75" customHeight="1">
      <c r="A169" s="47" t="s">
        <v>866</v>
      </c>
      <c r="C169" s="77" t="str">
        <f>IF($A169="","",IFERROR(VLOOKUP($A169,StudentRegistry!$A:$D,3,FALSE),"Not found"))</f>
        <v>Not found</v>
      </c>
      <c r="D169" s="77" t="str">
        <f>IF($A169="","",IFERROR(IF(VLOOKUP($A169,StudentRegistry!$A:$D,4,FALSE)="Active","Yes","Inactive"),"No"))</f>
        <v>No</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389</v>
      </c>
      <c r="C3" s="21"/>
      <c r="D3" s="37" t="s">
        <v>71</v>
      </c>
      <c r="E3" s="47" t="s">
        <v>828</v>
      </c>
      <c r="F3" s="21"/>
      <c r="G3" s="21"/>
    </row>
    <row r="4">
      <c r="A4" s="37" t="s">
        <v>70</v>
      </c>
      <c r="B4" s="84">
        <v>46303.33333333333</v>
      </c>
      <c r="C4" s="21"/>
      <c r="D4" s="37" t="s">
        <v>401</v>
      </c>
      <c r="E4" s="85">
        <v>25.0</v>
      </c>
      <c r="F4" s="21"/>
      <c r="G4" s="21"/>
    </row>
    <row r="5">
      <c r="A5" s="37" t="s">
        <v>69</v>
      </c>
      <c r="B5" s="47" t="s">
        <v>390</v>
      </c>
      <c r="C5" s="21"/>
      <c r="D5" s="37" t="s">
        <v>402</v>
      </c>
      <c r="E5" s="85">
        <v>29.0</v>
      </c>
      <c r="F5" s="21"/>
      <c r="G5" s="21"/>
    </row>
    <row r="6">
      <c r="A6" s="21"/>
      <c r="B6" s="21"/>
      <c r="C6" s="21"/>
      <c r="D6" s="37" t="s">
        <v>403</v>
      </c>
      <c r="E6" s="47" t="s">
        <v>44</v>
      </c>
      <c r="F6" s="21"/>
      <c r="G6" s="21"/>
    </row>
    <row r="7">
      <c r="A7" s="24" t="s">
        <v>50</v>
      </c>
      <c r="B7" s="24" t="s">
        <v>404</v>
      </c>
      <c r="C7" s="24" t="s">
        <v>405</v>
      </c>
      <c r="D7" s="24" t="s">
        <v>406</v>
      </c>
      <c r="E7" s="24" t="s">
        <v>407</v>
      </c>
      <c r="F7" s="21"/>
      <c r="G7" s="21"/>
    </row>
    <row r="8">
      <c r="A8" s="47" t="s">
        <v>288</v>
      </c>
      <c r="B8" s="19" t="s">
        <v>829</v>
      </c>
      <c r="C8" s="76" t="str">
        <f>IF($A8="","",IFERROR(VLOOKUP($A8,StudentRegistry!$A:$D,3,FALSE),"Not found"))</f>
        <v>Dorm E</v>
      </c>
      <c r="D8" s="76" t="str">
        <f>IF($A8="","",IFERROR(IF(VLOOKUP($A8,StudentRegistry!$A:$D,4,FALSE)="Active","Yes","Inactive"),"No"))</f>
        <v>Yes</v>
      </c>
      <c r="E8" s="21"/>
      <c r="F8" s="21"/>
      <c r="G8" s="21"/>
    </row>
    <row r="9">
      <c r="A9" s="47" t="s">
        <v>284</v>
      </c>
      <c r="B9" s="19" t="s">
        <v>829</v>
      </c>
      <c r="C9" s="76" t="str">
        <f>IF($A9="","",IFERROR(VLOOKUP($A9,StudentRegistry!$A:$D,3,FALSE),"Not found"))</f>
        <v>Dorm E</v>
      </c>
      <c r="D9" s="76" t="str">
        <f>IF($A9="","",IFERROR(IF(VLOOKUP($A9,StudentRegistry!$A:$D,4,FALSE)="Active","Yes","Inactive"),"No"))</f>
        <v>Yes</v>
      </c>
      <c r="E9" s="21"/>
      <c r="F9" s="21"/>
      <c r="G9" s="21"/>
    </row>
    <row r="10">
      <c r="A10" s="47" t="s">
        <v>271</v>
      </c>
      <c r="B10" s="19" t="s">
        <v>829</v>
      </c>
      <c r="C10" s="76" t="str">
        <f>IF($A10="","",IFERROR(VLOOKUP($A10,StudentRegistry!$A:$D,3,FALSE),"Not found"))</f>
        <v>Dorm E</v>
      </c>
      <c r="D10" s="76" t="str">
        <f>IF($A10="","",IFERROR(IF(VLOOKUP($A10,StudentRegistry!$A:$D,4,FALSE)="Active","Yes","Inactive"),"No"))</f>
        <v>Yes</v>
      </c>
      <c r="E10" s="21"/>
      <c r="F10" s="21"/>
      <c r="G10" s="21"/>
    </row>
    <row r="11">
      <c r="A11" s="47" t="s">
        <v>299</v>
      </c>
      <c r="B11" s="19" t="s">
        <v>829</v>
      </c>
      <c r="C11" s="76" t="str">
        <f>IF($A11="","",IFERROR(VLOOKUP($A11,StudentRegistry!$A:$D,3,FALSE),"Not found"))</f>
        <v>Dorm E</v>
      </c>
      <c r="D11" s="76" t="str">
        <f>IF($A11="","",IFERROR(IF(VLOOKUP($A11,StudentRegistry!$A:$D,4,FALSE)="Active","Yes","Inactive"),"No"))</f>
        <v>Yes</v>
      </c>
      <c r="E11" s="21"/>
      <c r="F11" s="21"/>
      <c r="G11" s="21"/>
    </row>
    <row r="12">
      <c r="A12" s="47" t="s">
        <v>296</v>
      </c>
      <c r="B12" s="19" t="s">
        <v>829</v>
      </c>
      <c r="C12" s="76" t="str">
        <f>IF($A12="","",IFERROR(VLOOKUP($A12,StudentRegistry!$A:$D,3,FALSE),"Not found"))</f>
        <v>Dorm E</v>
      </c>
      <c r="D12" s="76" t="str">
        <f>IF($A12="","",IFERROR(IF(VLOOKUP($A12,StudentRegistry!$A:$D,4,FALSE)="Active","Yes","Inactive"),"No"))</f>
        <v>Yes</v>
      </c>
      <c r="E12" s="21"/>
      <c r="F12" s="21"/>
      <c r="G12" s="21"/>
    </row>
    <row r="13">
      <c r="A13" s="47" t="s">
        <v>289</v>
      </c>
      <c r="B13" s="19" t="s">
        <v>829</v>
      </c>
      <c r="C13" s="76" t="str">
        <f>IF($A13="","",IFERROR(VLOOKUP($A13,StudentRegistry!$A:$D,3,FALSE),"Not found"))</f>
        <v>Dorm E</v>
      </c>
      <c r="D13" s="76" t="str">
        <f>IF($A13="","",IFERROR(IF(VLOOKUP($A13,StudentRegistry!$A:$D,4,FALSE)="Active","Yes","Inactive"),"No"))</f>
        <v>Yes</v>
      </c>
      <c r="E13" s="21"/>
      <c r="F13" s="21"/>
      <c r="G13" s="21"/>
    </row>
    <row r="14">
      <c r="A14" s="47" t="s">
        <v>275</v>
      </c>
      <c r="B14" s="19" t="s">
        <v>829</v>
      </c>
      <c r="C14" s="76" t="str">
        <f>IF($A14="","",IFERROR(VLOOKUP($A14,StudentRegistry!$A:$D,3,FALSE),"Not found"))</f>
        <v>Dorm E</v>
      </c>
      <c r="D14" s="76" t="str">
        <f>IF($A14="","",IFERROR(IF(VLOOKUP($A14,StudentRegistry!$A:$D,4,FALSE)="Active","Yes","Inactive"),"No"))</f>
        <v>Yes</v>
      </c>
      <c r="E14" s="21"/>
      <c r="F14" s="21"/>
      <c r="G14" s="21"/>
    </row>
    <row r="15">
      <c r="A15" s="47" t="s">
        <v>293</v>
      </c>
      <c r="B15" s="19" t="s">
        <v>829</v>
      </c>
      <c r="C15" s="76" t="str">
        <f>IF($A15="","",IFERROR(VLOOKUP($A15,StudentRegistry!$A:$D,3,FALSE),"Not found"))</f>
        <v>Dorm E</v>
      </c>
      <c r="D15" s="76" t="str">
        <f>IF($A15="","",IFERROR(IF(VLOOKUP($A15,StudentRegistry!$A:$D,4,FALSE)="Active","Yes","Inactive"),"No"))</f>
        <v>Yes</v>
      </c>
      <c r="E15" s="21"/>
      <c r="F15" s="21"/>
      <c r="G15" s="21"/>
    </row>
    <row r="16">
      <c r="A16" s="47" t="s">
        <v>276</v>
      </c>
      <c r="B16" s="19" t="s">
        <v>829</v>
      </c>
      <c r="C16" s="76" t="str">
        <f>IF($A16="","",IFERROR(VLOOKUP($A16,StudentRegistry!$A:$D,3,FALSE),"Not found"))</f>
        <v>Dorm E</v>
      </c>
      <c r="D16" s="76" t="str">
        <f>IF($A16="","",IFERROR(IF(VLOOKUP($A16,StudentRegistry!$A:$D,4,FALSE)="Active","Yes","Inactive"),"No"))</f>
        <v>Yes</v>
      </c>
      <c r="E16" s="21"/>
      <c r="F16" s="21"/>
      <c r="G16" s="21"/>
    </row>
    <row r="17">
      <c r="A17" s="47" t="s">
        <v>297</v>
      </c>
      <c r="B17" s="19" t="s">
        <v>829</v>
      </c>
      <c r="C17" s="76" t="str">
        <f>IF($A17="","",IFERROR(VLOOKUP($A17,StudentRegistry!$A:$D,3,FALSE),"Not found"))</f>
        <v>Dorm E</v>
      </c>
      <c r="D17" s="76" t="str">
        <f>IF($A17="","",IFERROR(IF(VLOOKUP($A17,StudentRegistry!$A:$D,4,FALSE)="Active","Yes","Inactive"),"No"))</f>
        <v>Yes</v>
      </c>
      <c r="E17" s="21"/>
      <c r="F17" s="21"/>
      <c r="G17" s="21"/>
    </row>
    <row r="18">
      <c r="A18" s="47" t="s">
        <v>301</v>
      </c>
      <c r="B18" s="19" t="s">
        <v>829</v>
      </c>
      <c r="C18" s="76" t="str">
        <f>IF($A18="","",IFERROR(VLOOKUP($A18,StudentRegistry!$A:$D,3,FALSE),"Not found"))</f>
        <v>Dorm E</v>
      </c>
      <c r="D18" s="76" t="str">
        <f>IF($A18="","",IFERROR(IF(VLOOKUP($A18,StudentRegistry!$A:$D,4,FALSE)="Active","Yes","Inactive"),"No"))</f>
        <v>Yes</v>
      </c>
      <c r="E18" s="21"/>
      <c r="F18" s="21"/>
      <c r="G18" s="21"/>
    </row>
    <row r="19">
      <c r="A19" s="47" t="s">
        <v>303</v>
      </c>
      <c r="B19" s="19" t="s">
        <v>829</v>
      </c>
      <c r="C19" s="76" t="str">
        <f>IF($A19="","",IFERROR(VLOOKUP($A19,StudentRegistry!$A:$D,3,FALSE),"Not found"))</f>
        <v>Dorm E</v>
      </c>
      <c r="D19" s="76" t="str">
        <f>IF($A19="","",IFERROR(IF(VLOOKUP($A19,StudentRegistry!$A:$D,4,FALSE)="Active","Yes","Inactive"),"No"))</f>
        <v>Yes</v>
      </c>
      <c r="E19" s="21"/>
      <c r="F19" s="21"/>
      <c r="G19" s="21"/>
    </row>
    <row r="20">
      <c r="A20" s="47" t="s">
        <v>282</v>
      </c>
      <c r="B20" s="19" t="s">
        <v>829</v>
      </c>
      <c r="C20" s="76" t="str">
        <f>IF($A20="","",IFERROR(VLOOKUP($A20,StudentRegistry!$A:$D,3,FALSE),"Not found"))</f>
        <v>Dorm E</v>
      </c>
      <c r="D20" s="76" t="str">
        <f>IF($A20="","",IFERROR(IF(VLOOKUP($A20,StudentRegistry!$A:$D,4,FALSE)="Active","Yes","Inactive"),"No"))</f>
        <v>Yes</v>
      </c>
      <c r="E20" s="21"/>
      <c r="F20" s="21"/>
      <c r="G20" s="21"/>
    </row>
    <row r="21" ht="15.75" customHeight="1">
      <c r="A21" s="47" t="s">
        <v>290</v>
      </c>
      <c r="B21" s="19" t="s">
        <v>829</v>
      </c>
      <c r="C21" s="76" t="str">
        <f>IF($A21="","",IFERROR(VLOOKUP($A21,StudentRegistry!$A:$D,3,FALSE),"Not found"))</f>
        <v>Dorm E</v>
      </c>
      <c r="D21" s="76" t="str">
        <f>IF($A21="","",IFERROR(IF(VLOOKUP($A21,StudentRegistry!$A:$D,4,FALSE)="Active","Yes","Inactive"),"No"))</f>
        <v>Yes</v>
      </c>
      <c r="E21" s="21"/>
      <c r="F21" s="21"/>
      <c r="G21" s="21"/>
    </row>
    <row r="22" ht="15.75" customHeight="1">
      <c r="A22" s="47" t="s">
        <v>294</v>
      </c>
      <c r="B22" s="19" t="s">
        <v>829</v>
      </c>
      <c r="C22" s="76" t="str">
        <f>IF($A22="","",IFERROR(VLOOKUP($A22,StudentRegistry!$A:$D,3,FALSE),"Not found"))</f>
        <v>Dorm E</v>
      </c>
      <c r="D22" s="76" t="str">
        <f>IF($A22="","",IFERROR(IF(VLOOKUP($A22,StudentRegistry!$A:$D,4,FALSE)="Active","Yes","Inactive"),"No"))</f>
        <v>Yes</v>
      </c>
      <c r="E22" s="21"/>
      <c r="F22" s="21"/>
      <c r="G22" s="21"/>
    </row>
    <row r="23" ht="15.75" customHeight="1">
      <c r="A23" s="47" t="s">
        <v>286</v>
      </c>
      <c r="B23" s="19" t="s">
        <v>829</v>
      </c>
      <c r="C23" s="76" t="str">
        <f>IF($A23="","",IFERROR(VLOOKUP($A23,StudentRegistry!$A:$D,3,FALSE),"Not found"))</f>
        <v>Dorm E</v>
      </c>
      <c r="D23" s="76" t="str">
        <f>IF($A23="","",IFERROR(IF(VLOOKUP($A23,StudentRegistry!$A:$D,4,FALSE)="Active","Yes","Inactive"),"No"))</f>
        <v>Yes</v>
      </c>
      <c r="E23" s="21"/>
      <c r="F23" s="21"/>
      <c r="G23" s="21"/>
    </row>
    <row r="24" ht="15.75" customHeight="1">
      <c r="A24" s="47" t="s">
        <v>295</v>
      </c>
      <c r="B24" s="19" t="s">
        <v>829</v>
      </c>
      <c r="C24" s="76" t="str">
        <f>IF($A24="","",IFERROR(VLOOKUP($A24,StudentRegistry!$A:$D,3,FALSE),"Not found"))</f>
        <v>Dorm E</v>
      </c>
      <c r="D24" s="76" t="str">
        <f>IF($A24="","",IFERROR(IF(VLOOKUP($A24,StudentRegistry!$A:$D,4,FALSE)="Active","Yes","Inactive"),"No"))</f>
        <v>Yes</v>
      </c>
      <c r="E24" s="21"/>
      <c r="F24" s="21"/>
      <c r="G24" s="21"/>
    </row>
    <row r="25" ht="15.75" customHeight="1">
      <c r="A25" s="47" t="s">
        <v>291</v>
      </c>
      <c r="B25" s="19" t="s">
        <v>829</v>
      </c>
      <c r="C25" s="76" t="str">
        <f>IF($A25="","",IFERROR(VLOOKUP($A25,StudentRegistry!$A:$D,3,FALSE),"Not found"))</f>
        <v>Dorm E</v>
      </c>
      <c r="D25" s="76" t="str">
        <f>IF($A25="","",IFERROR(IF(VLOOKUP($A25,StudentRegistry!$A:$D,4,FALSE)="Active","Yes","Inactive"),"No"))</f>
        <v>Yes</v>
      </c>
      <c r="E25" s="21"/>
      <c r="F25" s="21"/>
      <c r="G25" s="21"/>
    </row>
    <row r="26" ht="15.75" customHeight="1">
      <c r="A26" s="47" t="s">
        <v>292</v>
      </c>
      <c r="B26" s="19" t="s">
        <v>829</v>
      </c>
      <c r="C26" s="76" t="str">
        <f>IF($A26="","",IFERROR(VLOOKUP($A26,StudentRegistry!$A:$D,3,FALSE),"Not found"))</f>
        <v>Dorm E</v>
      </c>
      <c r="D26" s="76" t="str">
        <f>IF($A26="","",IFERROR(IF(VLOOKUP($A26,StudentRegistry!$A:$D,4,FALSE)="Active","Yes","Inactive"),"No"))</f>
        <v>Yes</v>
      </c>
      <c r="E26" s="21"/>
      <c r="F26" s="21"/>
      <c r="G26" s="21"/>
    </row>
    <row r="27" ht="15.75" customHeight="1">
      <c r="A27" s="47" t="s">
        <v>300</v>
      </c>
      <c r="B27" s="19" t="s">
        <v>829</v>
      </c>
      <c r="C27" s="76" t="str">
        <f>IF($A27="","",IFERROR(VLOOKUP($A27,StudentRegistry!$A:$D,3,FALSE),"Not found"))</f>
        <v>Dorm E</v>
      </c>
      <c r="D27" s="76" t="str">
        <f>IF($A27="","",IFERROR(IF(VLOOKUP($A27,StudentRegistry!$A:$D,4,FALSE)="Active","Yes","Inactive"),"No"))</f>
        <v>Yes</v>
      </c>
      <c r="E27" s="21"/>
      <c r="F27" s="21"/>
      <c r="G27" s="21"/>
    </row>
    <row r="28" ht="15.75" customHeight="1">
      <c r="A28" s="47" t="s">
        <v>287</v>
      </c>
      <c r="B28" s="19" t="s">
        <v>829</v>
      </c>
      <c r="C28" s="76" t="str">
        <f>IF($A28="","",IFERROR(VLOOKUP($A28,StudentRegistry!$A:$D,3,FALSE),"Not found"))</f>
        <v>Dorm E</v>
      </c>
      <c r="D28" s="76" t="str">
        <f>IF($A28="","",IFERROR(IF(VLOOKUP($A28,StudentRegistry!$A:$D,4,FALSE)="Active","Yes","Inactive"),"No"))</f>
        <v>Yes</v>
      </c>
      <c r="E28" s="21"/>
      <c r="F28" s="21"/>
      <c r="G28" s="21"/>
    </row>
    <row r="29" ht="15.75" customHeight="1">
      <c r="A29" s="47" t="s">
        <v>274</v>
      </c>
      <c r="B29" s="19" t="s">
        <v>829</v>
      </c>
      <c r="C29" s="76" t="str">
        <f>IF($A29="","",IFERROR(VLOOKUP($A29,StudentRegistry!$A:$D,3,FALSE),"Not found"))</f>
        <v>Dorm E</v>
      </c>
      <c r="D29" s="76" t="str">
        <f>IF($A29="","",IFERROR(IF(VLOOKUP($A29,StudentRegistry!$A:$D,4,FALSE)="Active","Yes","Inactive"),"No"))</f>
        <v>Yes</v>
      </c>
      <c r="E29" s="21"/>
      <c r="F29" s="21"/>
      <c r="G29" s="21"/>
    </row>
    <row r="30" ht="15.75" customHeight="1">
      <c r="A30" s="47" t="s">
        <v>298</v>
      </c>
      <c r="B30" s="19" t="s">
        <v>829</v>
      </c>
      <c r="C30" s="76" t="str">
        <f>IF($A30="","",IFERROR(VLOOKUP($A30,StudentRegistry!$A:$D,3,FALSE),"Not found"))</f>
        <v>Dorm E</v>
      </c>
      <c r="D30" s="76" t="str">
        <f>IF($A30="","",IFERROR(IF(VLOOKUP($A30,StudentRegistry!$A:$D,4,FALSE)="Active","Yes","Inactive"),"No"))</f>
        <v>Yes</v>
      </c>
      <c r="E30" s="21"/>
      <c r="F30" s="21"/>
      <c r="G30" s="21"/>
    </row>
    <row r="31" ht="15.75" customHeight="1">
      <c r="A31" s="47" t="s">
        <v>280</v>
      </c>
      <c r="B31" s="19" t="s">
        <v>829</v>
      </c>
      <c r="C31" s="76" t="str">
        <f>IF($A31="","",IFERROR(VLOOKUP($A31,StudentRegistry!$A:$D,3,FALSE),"Not found"))</f>
        <v>Dorm E</v>
      </c>
      <c r="D31" s="76" t="str">
        <f>IF($A31="","",IFERROR(IF(VLOOKUP($A31,StudentRegistry!$A:$D,4,FALSE)="Active","Yes","Inactive"),"No"))</f>
        <v>Yes</v>
      </c>
      <c r="E31" s="21"/>
      <c r="F31" s="21"/>
      <c r="G31" s="21"/>
    </row>
    <row r="32" ht="15.75" customHeight="1">
      <c r="A32" s="47" t="s">
        <v>277</v>
      </c>
      <c r="B32" s="19" t="s">
        <v>829</v>
      </c>
      <c r="C32" s="76" t="str">
        <f>IF($A32="","",IFERROR(VLOOKUP($A32,StudentRegistry!$A:$D,3,FALSE),"Not found"))</f>
        <v>Dorm E</v>
      </c>
      <c r="D32" s="76" t="str">
        <f>IF($A32="","",IFERROR(IF(VLOOKUP($A32,StudentRegistry!$A:$D,4,FALSE)="Active","Yes","Inactive"),"No"))</f>
        <v>Yes</v>
      </c>
      <c r="E32" s="21"/>
      <c r="F32" s="21"/>
      <c r="G32" s="21"/>
    </row>
    <row r="33" ht="15.75" customHeight="1">
      <c r="A33" s="47" t="s">
        <v>285</v>
      </c>
      <c r="B33" s="19" t="s">
        <v>829</v>
      </c>
      <c r="C33" s="76" t="str">
        <f>IF($A33="","",IFERROR(VLOOKUP($A33,StudentRegistry!$A:$D,3,FALSE),"Not found"))</f>
        <v>Dorm E</v>
      </c>
      <c r="D33" s="76" t="str">
        <f>IF($A33="","",IFERROR(IF(VLOOKUP($A33,StudentRegistry!$A:$D,4,FALSE)="Active","Yes","Inactive"),"No"))</f>
        <v>Yes</v>
      </c>
      <c r="E33" s="21"/>
      <c r="F33" s="21"/>
      <c r="G33" s="21"/>
    </row>
    <row r="34" ht="15.75" customHeight="1">
      <c r="A34" s="47" t="s">
        <v>302</v>
      </c>
      <c r="B34" s="19" t="s">
        <v>829</v>
      </c>
      <c r="C34" s="76" t="str">
        <f>IF($A34="","",IFERROR(VLOOKUP($A34,StudentRegistry!$A:$D,3,FALSE),"Not found"))</f>
        <v>Dorm E</v>
      </c>
      <c r="D34" s="76" t="str">
        <f>IF($A34="","",IFERROR(IF(VLOOKUP($A34,StudentRegistry!$A:$D,4,FALSE)="Active","Yes","Inactive"),"No"))</f>
        <v>Yes</v>
      </c>
      <c r="E34" s="21"/>
      <c r="F34" s="21"/>
      <c r="G34" s="21"/>
    </row>
    <row r="35" ht="15.75" customHeight="1">
      <c r="A35" s="47" t="s">
        <v>278</v>
      </c>
      <c r="B35" s="19" t="s">
        <v>829</v>
      </c>
      <c r="C35" s="76" t="str">
        <f>IF($A35="","",IFERROR(VLOOKUP($A35,StudentRegistry!$A:$D,3,FALSE),"Not found"))</f>
        <v>Dorm E</v>
      </c>
      <c r="D35" s="76" t="str">
        <f>IF($A35="","",IFERROR(IF(VLOOKUP($A35,StudentRegistry!$A:$D,4,FALSE)="Active","Yes","Inactive"),"No"))</f>
        <v>Yes</v>
      </c>
      <c r="E35" s="21"/>
      <c r="F35" s="21"/>
      <c r="G35" s="21"/>
    </row>
    <row r="36" ht="15.75" customHeight="1">
      <c r="A36" s="47" t="s">
        <v>272</v>
      </c>
      <c r="B36" s="19" t="s">
        <v>829</v>
      </c>
      <c r="C36" s="76" t="str">
        <f>IF($A36="","",IFERROR(VLOOKUP($A36,StudentRegistry!$A:$D,3,FALSE),"Not found"))</f>
        <v>Dorm E</v>
      </c>
      <c r="D36" s="76" t="str">
        <f>IF($A36="","",IFERROR(IF(VLOOKUP($A36,StudentRegistry!$A:$D,4,FALSE)="Active","Yes","Inactive"),"No"))</f>
        <v>Yes</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2.63" defaultRowHeight="15.0"/>
  <cols>
    <col customWidth="1" min="1" max="5" width="17.63"/>
    <col customWidth="1" min="6" max="25" width="8.63"/>
  </cols>
  <sheetData>
    <row r="1" ht="27.75" customHeight="1">
      <c r="A1" s="17" t="s">
        <v>400</v>
      </c>
      <c r="F1" s="21"/>
      <c r="G1" s="21"/>
    </row>
    <row r="2">
      <c r="A2" s="21"/>
      <c r="B2" s="21"/>
      <c r="C2" s="21"/>
      <c r="D2" s="21"/>
      <c r="E2" s="21"/>
      <c r="F2" s="21"/>
      <c r="G2" s="21"/>
    </row>
    <row r="3">
      <c r="A3" s="37" t="s">
        <v>364</v>
      </c>
      <c r="B3" s="47" t="s">
        <v>392</v>
      </c>
      <c r="C3" s="21"/>
      <c r="D3" s="37" t="s">
        <v>71</v>
      </c>
      <c r="E3" s="47" t="s">
        <v>75</v>
      </c>
      <c r="F3" s="21"/>
      <c r="G3" s="21"/>
    </row>
    <row r="4">
      <c r="A4" s="37" t="s">
        <v>70</v>
      </c>
      <c r="B4" s="84">
        <v>46303.33333333333</v>
      </c>
      <c r="C4" s="21"/>
      <c r="D4" s="37" t="s">
        <v>401</v>
      </c>
      <c r="E4" s="85">
        <v>24.0</v>
      </c>
      <c r="F4" s="21"/>
      <c r="G4" s="21"/>
    </row>
    <row r="5">
      <c r="A5" s="37" t="s">
        <v>69</v>
      </c>
      <c r="B5" s="47" t="s">
        <v>74</v>
      </c>
      <c r="C5" s="21"/>
      <c r="D5" s="37" t="s">
        <v>402</v>
      </c>
      <c r="E5" s="85">
        <v>24.0</v>
      </c>
      <c r="F5" s="21"/>
      <c r="G5" s="21"/>
    </row>
    <row r="6">
      <c r="A6" s="21"/>
      <c r="B6" s="21"/>
      <c r="C6" s="21"/>
      <c r="D6" s="37" t="s">
        <v>403</v>
      </c>
      <c r="E6" s="47" t="s">
        <v>43</v>
      </c>
      <c r="F6" s="21"/>
      <c r="G6" s="21"/>
    </row>
    <row r="7">
      <c r="A7" s="24" t="s">
        <v>50</v>
      </c>
      <c r="B7" s="24" t="s">
        <v>404</v>
      </c>
      <c r="C7" s="24" t="s">
        <v>405</v>
      </c>
      <c r="D7" s="24" t="s">
        <v>406</v>
      </c>
      <c r="E7" s="24" t="s">
        <v>407</v>
      </c>
      <c r="F7" s="21"/>
      <c r="G7" s="21"/>
    </row>
    <row r="8">
      <c r="A8" s="47" t="s">
        <v>259</v>
      </c>
      <c r="B8" s="19" t="s">
        <v>826</v>
      </c>
      <c r="C8" s="76" t="str">
        <f>IF($A8="","",IFERROR(VLOOKUP($A8,StudentRegistry!$A:$D,3,FALSE),"Not found"))</f>
        <v>Dorm D</v>
      </c>
      <c r="D8" s="76" t="str">
        <f>IF($A8="","",IFERROR(IF(VLOOKUP($A8,StudentRegistry!$A:$D,4,FALSE)="Active","Yes","Inactive"),"No"))</f>
        <v>Yes</v>
      </c>
      <c r="E8" s="21"/>
      <c r="F8" s="21"/>
      <c r="G8" s="21"/>
    </row>
    <row r="9">
      <c r="A9" s="47" t="s">
        <v>253</v>
      </c>
      <c r="B9" s="19" t="s">
        <v>826</v>
      </c>
      <c r="C9" s="76" t="str">
        <f>IF($A9="","",IFERROR(VLOOKUP($A9,StudentRegistry!$A:$D,3,FALSE),"Not found"))</f>
        <v>Dorm D</v>
      </c>
      <c r="D9" s="76" t="str">
        <f>IF($A9="","",IFERROR(IF(VLOOKUP($A9,StudentRegistry!$A:$D,4,FALSE)="Active","Yes","Inactive"),"No"))</f>
        <v>Yes</v>
      </c>
      <c r="E9" s="21"/>
      <c r="F9" s="21"/>
      <c r="G9" s="21"/>
    </row>
    <row r="10">
      <c r="A10" s="47" t="s">
        <v>256</v>
      </c>
      <c r="B10" s="19" t="s">
        <v>826</v>
      </c>
      <c r="C10" s="76" t="str">
        <f>IF($A10="","",IFERROR(VLOOKUP($A10,StudentRegistry!$A:$D,3,FALSE),"Not found"))</f>
        <v>Dorm D</v>
      </c>
      <c r="D10" s="76" t="str">
        <f>IF($A10="","",IFERROR(IF(VLOOKUP($A10,StudentRegistry!$A:$D,4,FALSE)="Active","Yes","Inactive"),"No"))</f>
        <v>Yes</v>
      </c>
      <c r="E10" s="21"/>
      <c r="F10" s="21"/>
      <c r="G10" s="21"/>
    </row>
    <row r="11">
      <c r="A11" s="47" t="s">
        <v>81</v>
      </c>
      <c r="B11" s="19" t="s">
        <v>826</v>
      </c>
      <c r="C11" s="76" t="str">
        <f>IF($A11="","",IFERROR(VLOOKUP($A11,StudentRegistry!$A:$D,3,FALSE),"Not found"))</f>
        <v>Dorm D</v>
      </c>
      <c r="D11" s="76" t="str">
        <f>IF($A11="","",IFERROR(IF(VLOOKUP($A11,StudentRegistry!$A:$D,4,FALSE)="Active","Yes","Inactive"),"No"))</f>
        <v>Yes</v>
      </c>
      <c r="E11" s="21"/>
      <c r="F11" s="21"/>
      <c r="G11" s="21"/>
    </row>
    <row r="12">
      <c r="A12" s="47" t="s">
        <v>235</v>
      </c>
      <c r="B12" s="19" t="s">
        <v>826</v>
      </c>
      <c r="C12" s="76" t="str">
        <f>IF($A12="","",IFERROR(VLOOKUP($A12,StudentRegistry!$A:$D,3,FALSE),"Not found"))</f>
        <v>Dorm D</v>
      </c>
      <c r="D12" s="76" t="str">
        <f>IF($A12="","",IFERROR(IF(VLOOKUP($A12,StudentRegistry!$A:$D,4,FALSE)="Active","Yes","Inactive"),"No"))</f>
        <v>Yes</v>
      </c>
      <c r="E12" s="21"/>
      <c r="F12" s="21"/>
      <c r="G12" s="21"/>
    </row>
    <row r="13">
      <c r="A13" s="47" t="s">
        <v>268</v>
      </c>
      <c r="B13" s="19" t="s">
        <v>826</v>
      </c>
      <c r="C13" s="76" t="str">
        <f>IF($A13="","",IFERROR(VLOOKUP($A13,StudentRegistry!$A:$D,3,FALSE),"Not found"))</f>
        <v>Dorm D</v>
      </c>
      <c r="D13" s="76" t="str">
        <f>IF($A13="","",IFERROR(IF(VLOOKUP($A13,StudentRegistry!$A:$D,4,FALSE)="Active","Yes","Inactive"),"No"))</f>
        <v>Yes</v>
      </c>
      <c r="E13" s="21"/>
      <c r="F13" s="21"/>
      <c r="G13" s="21"/>
    </row>
    <row r="14">
      <c r="A14" s="47" t="s">
        <v>84</v>
      </c>
      <c r="B14" s="19" t="s">
        <v>826</v>
      </c>
      <c r="C14" s="76" t="str">
        <f>IF($A14="","",IFERROR(VLOOKUP($A14,StudentRegistry!$A:$D,3,FALSE),"Not found"))</f>
        <v>Dorm D</v>
      </c>
      <c r="D14" s="76" t="str">
        <f>IF($A14="","",IFERROR(IF(VLOOKUP($A14,StudentRegistry!$A:$D,4,FALSE)="Active","Yes","Inactive"),"No"))</f>
        <v>Yes</v>
      </c>
      <c r="E14" s="21"/>
      <c r="F14" s="21"/>
      <c r="G14" s="21"/>
    </row>
    <row r="15">
      <c r="A15" s="47" t="s">
        <v>260</v>
      </c>
      <c r="B15" s="19" t="s">
        <v>826</v>
      </c>
      <c r="C15" s="76" t="str">
        <f>IF($A15="","",IFERROR(VLOOKUP($A15,StudentRegistry!$A:$D,3,FALSE),"Not found"))</f>
        <v>Dorm D</v>
      </c>
      <c r="D15" s="76" t="str">
        <f>IF($A15="","",IFERROR(IF(VLOOKUP($A15,StudentRegistry!$A:$D,4,FALSE)="Active","Yes","Inactive"),"No"))</f>
        <v>Yes</v>
      </c>
      <c r="E15" s="21"/>
      <c r="F15" s="21"/>
      <c r="G15" s="21"/>
    </row>
    <row r="16">
      <c r="A16" s="47" t="s">
        <v>86</v>
      </c>
      <c r="B16" s="19" t="s">
        <v>826</v>
      </c>
      <c r="C16" s="76" t="str">
        <f>IF($A16="","",IFERROR(VLOOKUP($A16,StudentRegistry!$A:$D,3,FALSE),"Not found"))</f>
        <v>Dorm D</v>
      </c>
      <c r="D16" s="76" t="str">
        <f>IF($A16="","",IFERROR(IF(VLOOKUP($A16,StudentRegistry!$A:$D,4,FALSE)="Active","Yes","Inactive"),"No"))</f>
        <v>Yes</v>
      </c>
      <c r="E16" s="21"/>
      <c r="F16" s="21"/>
      <c r="G16" s="21"/>
    </row>
    <row r="17">
      <c r="A17" s="47" t="s">
        <v>87</v>
      </c>
      <c r="B17" s="19" t="s">
        <v>826</v>
      </c>
      <c r="C17" s="76" t="str">
        <f>IF($A17="","",IFERROR(VLOOKUP($A17,StudentRegistry!$A:$D,3,FALSE),"Not found"))</f>
        <v>Not found</v>
      </c>
      <c r="D17" s="76" t="str">
        <f>IF($A17="","",IFERROR(IF(VLOOKUP($A17,StudentRegistry!$A:$D,4,FALSE)="Active","Yes","Inactive"),"No"))</f>
        <v>No</v>
      </c>
      <c r="E17" s="21"/>
      <c r="F17" s="21"/>
      <c r="G17" s="21"/>
    </row>
    <row r="18">
      <c r="A18" s="47" t="s">
        <v>250</v>
      </c>
      <c r="B18" s="19" t="s">
        <v>826</v>
      </c>
      <c r="C18" s="76" t="str">
        <f>IF($A18="","",IFERROR(VLOOKUP($A18,StudentRegistry!$A:$D,3,FALSE),"Not found"))</f>
        <v>Dorm D</v>
      </c>
      <c r="D18" s="76" t="str">
        <f>IF($A18="","",IFERROR(IF(VLOOKUP($A18,StudentRegistry!$A:$D,4,FALSE)="Active","Yes","Inactive"),"No"))</f>
        <v>Yes</v>
      </c>
      <c r="E18" s="21"/>
      <c r="F18" s="21"/>
      <c r="G18" s="21"/>
    </row>
    <row r="19">
      <c r="A19" s="47" t="s">
        <v>245</v>
      </c>
      <c r="B19" s="19" t="s">
        <v>826</v>
      </c>
      <c r="C19" s="76" t="str">
        <f>IF($A19="","",IFERROR(VLOOKUP($A19,StudentRegistry!$A:$D,3,FALSE),"Not found"))</f>
        <v>Dorm D</v>
      </c>
      <c r="D19" s="76" t="str">
        <f>IF($A19="","",IFERROR(IF(VLOOKUP($A19,StudentRegistry!$A:$D,4,FALSE)="Active","Yes","Inactive"),"No"))</f>
        <v>Yes</v>
      </c>
      <c r="E19" s="21"/>
      <c r="F19" s="21"/>
      <c r="G19" s="21"/>
    </row>
    <row r="20">
      <c r="A20" s="47" t="s">
        <v>90</v>
      </c>
      <c r="B20" s="19" t="s">
        <v>826</v>
      </c>
      <c r="C20" s="76" t="str">
        <f>IF($A20="","",IFERROR(VLOOKUP($A20,StudentRegistry!$A:$D,3,FALSE),"Not found"))</f>
        <v>Dorm D</v>
      </c>
      <c r="D20" s="76" t="str">
        <f>IF($A20="","",IFERROR(IF(VLOOKUP($A20,StudentRegistry!$A:$D,4,FALSE)="Active","Yes","Inactive"),"No"))</f>
        <v>Yes</v>
      </c>
      <c r="E20" s="21"/>
      <c r="F20" s="21"/>
      <c r="G20" s="21"/>
    </row>
    <row r="21" ht="15.75" customHeight="1">
      <c r="A21" s="47" t="s">
        <v>247</v>
      </c>
      <c r="B21" s="19" t="s">
        <v>826</v>
      </c>
      <c r="C21" s="76" t="str">
        <f>IF($A21="","",IFERROR(VLOOKUP($A21,StudentRegistry!$A:$D,3,FALSE),"Not found"))</f>
        <v>Dorm D</v>
      </c>
      <c r="D21" s="76" t="str">
        <f>IF($A21="","",IFERROR(IF(VLOOKUP($A21,StudentRegistry!$A:$D,4,FALSE)="Active","Yes","Inactive"),"No"))</f>
        <v>Yes</v>
      </c>
      <c r="E21" s="21"/>
      <c r="F21" s="21"/>
      <c r="G21" s="21"/>
    </row>
    <row r="22" ht="15.75" customHeight="1">
      <c r="A22" s="47" t="s">
        <v>92</v>
      </c>
      <c r="B22" s="19" t="s">
        <v>826</v>
      </c>
      <c r="C22" s="76" t="str">
        <f>IF($A22="","",IFERROR(VLOOKUP($A22,StudentRegistry!$A:$D,3,FALSE),"Not found"))</f>
        <v>Dorm D</v>
      </c>
      <c r="D22" s="76" t="str">
        <f>IF($A22="","",IFERROR(IF(VLOOKUP($A22,StudentRegistry!$A:$D,4,FALSE)="Active","Yes","Inactive"),"No"))</f>
        <v>Yes</v>
      </c>
      <c r="E22" s="21"/>
      <c r="F22" s="21"/>
      <c r="G22" s="21"/>
    </row>
    <row r="23" ht="15.75" customHeight="1">
      <c r="A23" s="47" t="s">
        <v>242</v>
      </c>
      <c r="B23" s="19" t="s">
        <v>826</v>
      </c>
      <c r="C23" s="76" t="str">
        <f>IF($A23="","",IFERROR(VLOOKUP($A23,StudentRegistry!$A:$D,3,FALSE),"Not found"))</f>
        <v>Dorm D</v>
      </c>
      <c r="D23" s="76" t="str">
        <f>IF($A23="","",IFERROR(IF(VLOOKUP($A23,StudentRegistry!$A:$D,4,FALSE)="Active","Yes","Inactive"),"No"))</f>
        <v>Yes</v>
      </c>
      <c r="E23" s="21"/>
      <c r="F23" s="21"/>
      <c r="G23" s="21"/>
    </row>
    <row r="24" ht="15.75" customHeight="1">
      <c r="A24" s="47" t="s">
        <v>265</v>
      </c>
      <c r="B24" s="19" t="s">
        <v>826</v>
      </c>
      <c r="C24" s="76" t="str">
        <f>IF($A24="","",IFERROR(VLOOKUP($A24,StudentRegistry!$A:$D,3,FALSE),"Not found"))</f>
        <v>Dorm D</v>
      </c>
      <c r="D24" s="76" t="str">
        <f>IF($A24="","",IFERROR(IF(VLOOKUP($A24,StudentRegistry!$A:$D,4,FALSE)="Active","Yes","Inactive"),"No"))</f>
        <v>Yes</v>
      </c>
      <c r="E24" s="21"/>
      <c r="F24" s="21"/>
      <c r="G24" s="21"/>
    </row>
    <row r="25" ht="15.75" customHeight="1">
      <c r="A25" s="47" t="s">
        <v>95</v>
      </c>
      <c r="B25" s="19" t="s">
        <v>826</v>
      </c>
      <c r="C25" s="76" t="str">
        <f>IF($A25="","",IFERROR(VLOOKUP($A25,StudentRegistry!$A:$D,3,FALSE),"Not found"))</f>
        <v>Dorm D</v>
      </c>
      <c r="D25" s="76" t="str">
        <f>IF($A25="","",IFERROR(IF(VLOOKUP($A25,StudentRegistry!$A:$D,4,FALSE)="Active","Yes","Inactive"),"No"))</f>
        <v>Yes</v>
      </c>
      <c r="E25" s="21"/>
      <c r="F25" s="21"/>
      <c r="G25" s="21"/>
    </row>
    <row r="26" ht="15.75" customHeight="1">
      <c r="A26" s="47" t="s">
        <v>241</v>
      </c>
      <c r="B26" s="19" t="s">
        <v>826</v>
      </c>
      <c r="C26" s="76" t="str">
        <f>IF($A26="","",IFERROR(VLOOKUP($A26,StudentRegistry!$A:$D,3,FALSE),"Not found"))</f>
        <v>Dorm D</v>
      </c>
      <c r="D26" s="76" t="str">
        <f>IF($A26="","",IFERROR(IF(VLOOKUP($A26,StudentRegistry!$A:$D,4,FALSE)="Active","Yes","Inactive"),"No"))</f>
        <v>Yes</v>
      </c>
      <c r="E26" s="21"/>
      <c r="F26" s="21"/>
      <c r="G26" s="21"/>
    </row>
    <row r="27" ht="15.75" customHeight="1">
      <c r="A27" s="47" t="s">
        <v>257</v>
      </c>
      <c r="B27" s="19" t="s">
        <v>826</v>
      </c>
      <c r="C27" s="76" t="str">
        <f>IF($A27="","",IFERROR(VLOOKUP($A27,StudentRegistry!$A:$D,3,FALSE),"Not found"))</f>
        <v>Dorm D</v>
      </c>
      <c r="D27" s="76" t="str">
        <f>IF($A27="","",IFERROR(IF(VLOOKUP($A27,StudentRegistry!$A:$D,4,FALSE)="Active","Yes","Inactive"),"No"))</f>
        <v>Yes</v>
      </c>
      <c r="E27" s="21"/>
      <c r="F27" s="21"/>
      <c r="G27" s="21"/>
    </row>
    <row r="28" ht="15.75" customHeight="1">
      <c r="A28" s="47" t="s">
        <v>248</v>
      </c>
      <c r="B28" s="19" t="s">
        <v>826</v>
      </c>
      <c r="C28" s="76" t="str">
        <f>IF($A28="","",IFERROR(VLOOKUP($A28,StudentRegistry!$A:$D,3,FALSE),"Not found"))</f>
        <v>Dorm D</v>
      </c>
      <c r="D28" s="76" t="str">
        <f>IF($A28="","",IFERROR(IF(VLOOKUP($A28,StudentRegistry!$A:$D,4,FALSE)="Active","Yes","Inactive"),"No"))</f>
        <v>Yes</v>
      </c>
      <c r="E28" s="21"/>
      <c r="F28" s="21"/>
      <c r="G28" s="21"/>
    </row>
    <row r="29" ht="15.75" customHeight="1">
      <c r="A29" s="47" t="s">
        <v>99</v>
      </c>
      <c r="B29" s="19" t="s">
        <v>826</v>
      </c>
      <c r="C29" s="76" t="str">
        <f>IF($A29="","",IFERROR(VLOOKUP($A29,StudentRegistry!$A:$D,3,FALSE),"Not found"))</f>
        <v>Dorm D</v>
      </c>
      <c r="D29" s="76" t="str">
        <f>IF($A29="","",IFERROR(IF(VLOOKUP($A29,StudentRegistry!$A:$D,4,FALSE)="Active","Yes","Inactive"),"No"))</f>
        <v>Yes</v>
      </c>
      <c r="E29" s="21"/>
      <c r="F29" s="21"/>
      <c r="G29" s="21"/>
    </row>
    <row r="30" ht="15.75" customHeight="1">
      <c r="A30" s="74"/>
      <c r="B30" s="21"/>
      <c r="C30" s="76" t="str">
        <f>IF($A30="","",IFERROR(VLOOKUP($A30,StudentRegistry!$A:$D,3,FALSE),"Not found"))</f>
        <v/>
      </c>
      <c r="D30" s="76" t="str">
        <f>IF($A30="","",IFERROR(IF(VLOOKUP($A30,StudentRegistry!$A:$D,4,FALSE)="Active","Yes","Inactive"),"No"))</f>
        <v/>
      </c>
      <c r="E30" s="21"/>
      <c r="F30" s="21"/>
      <c r="G30" s="21"/>
    </row>
    <row r="31" ht="15.75" customHeight="1">
      <c r="A31" s="74"/>
      <c r="B31" s="21"/>
      <c r="C31" s="76" t="str">
        <f>IF($A31="","",IFERROR(VLOOKUP($A31,StudentRegistry!$A:$D,3,FALSE),"Not found"))</f>
        <v/>
      </c>
      <c r="D31" s="76" t="str">
        <f>IF($A31="","",IFERROR(IF(VLOOKUP($A31,StudentRegistry!$A:$D,4,FALSE)="Active","Yes","Inactive"),"No"))</f>
        <v/>
      </c>
      <c r="E31" s="21"/>
      <c r="F31" s="21"/>
      <c r="G31" s="21"/>
    </row>
    <row r="32" ht="15.75" customHeight="1">
      <c r="A32" s="74"/>
      <c r="B32" s="21"/>
      <c r="C32" s="76" t="str">
        <f>IF($A32="","",IFERROR(VLOOKUP($A32,StudentRegistry!$A:$D,3,FALSE),"Not found"))</f>
        <v/>
      </c>
      <c r="D32" s="76" t="str">
        <f>IF($A32="","",IFERROR(IF(VLOOKUP($A32,StudentRegistry!$A:$D,4,FALSE)="Active","Yes","Inactive"),"No"))</f>
        <v/>
      </c>
      <c r="E32" s="21"/>
      <c r="F32" s="21"/>
      <c r="G32" s="21"/>
    </row>
    <row r="33" ht="15.75" customHeight="1">
      <c r="A33" s="74"/>
      <c r="B33" s="21"/>
      <c r="C33" s="76" t="str">
        <f>IF($A33="","",IFERROR(VLOOKUP($A33,StudentRegistry!$A:$D,3,FALSE),"Not found"))</f>
        <v/>
      </c>
      <c r="D33" s="76" t="str">
        <f>IF($A33="","",IFERROR(IF(VLOOKUP($A33,StudentRegistry!$A:$D,4,FALSE)="Active","Yes","Inactive"),"No"))</f>
        <v/>
      </c>
      <c r="E33" s="21"/>
      <c r="F33" s="21"/>
      <c r="G33" s="21"/>
    </row>
    <row r="34" ht="15.75" customHeight="1">
      <c r="A34" s="74"/>
      <c r="B34" s="21"/>
      <c r="C34" s="76" t="str">
        <f>IF($A34="","",IFERROR(VLOOKUP($A34,StudentRegistry!$A:$D,3,FALSE),"Not found"))</f>
        <v/>
      </c>
      <c r="D34" s="76" t="str">
        <f>IF($A34="","",IFERROR(IF(VLOOKUP($A34,StudentRegistry!$A:$D,4,FALSE)="Active","Yes","Inactive"),"No"))</f>
        <v/>
      </c>
      <c r="E34" s="21"/>
      <c r="F34" s="21"/>
      <c r="G34" s="21"/>
    </row>
    <row r="35" ht="15.75" customHeight="1">
      <c r="A35" s="74"/>
      <c r="B35" s="21"/>
      <c r="C35" s="76" t="str">
        <f>IF($A35="","",IFERROR(VLOOKUP($A35,StudentRegistry!$A:$D,3,FALSE),"Not found"))</f>
        <v/>
      </c>
      <c r="D35" s="76" t="str">
        <f>IF($A35="","",IFERROR(IF(VLOOKUP($A35,StudentRegistry!$A:$D,4,FALSE)="Active","Yes","Inactive"),"No"))</f>
        <v/>
      </c>
      <c r="E35" s="21"/>
      <c r="F35" s="21"/>
      <c r="G35" s="21"/>
    </row>
    <row r="36" ht="15.75" customHeight="1">
      <c r="A36" s="74"/>
      <c r="B36" s="21"/>
      <c r="C36" s="76" t="str">
        <f>IF($A36="","",IFERROR(VLOOKUP($A36,StudentRegistry!$A:$D,3,FALSE),"Not found"))</f>
        <v/>
      </c>
      <c r="D36" s="76" t="str">
        <f>IF($A36="","",IFERROR(IF(VLOOKUP($A36,StudentRegistry!$A:$D,4,FALSE)="Active","Yes","Inactive"),"No"))</f>
        <v/>
      </c>
      <c r="E36" s="21"/>
      <c r="F36" s="21"/>
      <c r="G36" s="21"/>
    </row>
    <row r="37" ht="15.75" customHeight="1">
      <c r="A37" s="74"/>
      <c r="B37" s="21"/>
      <c r="C37" s="76" t="str">
        <f>IF($A37="","",IFERROR(VLOOKUP($A37,StudentRegistry!$A:$D,3,FALSE),"Not found"))</f>
        <v/>
      </c>
      <c r="D37" s="76" t="str">
        <f>IF($A37="","",IFERROR(IF(VLOOKUP($A37,StudentRegistry!$A:$D,4,FALSE)="Active","Yes","Inactive"),"No"))</f>
        <v/>
      </c>
      <c r="E37" s="21"/>
      <c r="F37" s="21"/>
      <c r="G37" s="21"/>
    </row>
    <row r="38" ht="15.75" customHeight="1">
      <c r="A38" s="74"/>
      <c r="B38" s="21"/>
      <c r="C38" s="76" t="str">
        <f>IF($A38="","",IFERROR(VLOOKUP($A38,StudentRegistry!$A:$D,3,FALSE),"Not found"))</f>
        <v/>
      </c>
      <c r="D38" s="76" t="str">
        <f>IF($A38="","",IFERROR(IF(VLOOKUP($A38,StudentRegistry!$A:$D,4,FALSE)="Active","Yes","Inactive"),"No"))</f>
        <v/>
      </c>
      <c r="E38" s="21"/>
      <c r="F38" s="21"/>
      <c r="G38" s="21"/>
    </row>
    <row r="39" ht="15.75" customHeight="1">
      <c r="A39" s="74"/>
      <c r="B39" s="21"/>
      <c r="C39" s="76" t="str">
        <f>IF($A39="","",IFERROR(VLOOKUP($A39,StudentRegistry!$A:$D,3,FALSE),"Not found"))</f>
        <v/>
      </c>
      <c r="D39" s="76" t="str">
        <f>IF($A39="","",IFERROR(IF(VLOOKUP($A39,StudentRegistry!$A:$D,4,FALSE)="Active","Yes","Inactive"),"No"))</f>
        <v/>
      </c>
      <c r="E39" s="21"/>
      <c r="F39" s="21"/>
      <c r="G39" s="21"/>
    </row>
    <row r="40" ht="15.75" customHeight="1">
      <c r="A40" s="74"/>
      <c r="B40" s="21"/>
      <c r="C40" s="76" t="str">
        <f>IF($A40="","",IFERROR(VLOOKUP($A40,StudentRegistry!$A:$D,3,FALSE),"Not found"))</f>
        <v/>
      </c>
      <c r="D40" s="76" t="str">
        <f>IF($A40="","",IFERROR(IF(VLOOKUP($A40,StudentRegistry!$A:$D,4,FALSE)="Active","Yes","Inactive"),"No"))</f>
        <v/>
      </c>
      <c r="E40" s="21"/>
      <c r="F40" s="21"/>
      <c r="G40" s="21"/>
    </row>
    <row r="41" ht="15.75" customHeight="1">
      <c r="A41" s="74"/>
      <c r="B41" s="21"/>
      <c r="C41" s="76" t="str">
        <f>IF($A41="","",IFERROR(VLOOKUP($A41,StudentRegistry!$A:$D,3,FALSE),"Not found"))</f>
        <v/>
      </c>
      <c r="D41" s="76" t="str">
        <f>IF($A41="","",IFERROR(IF(VLOOKUP($A41,StudentRegistry!$A:$D,4,FALSE)="Active","Yes","Inactive"),"No"))</f>
        <v/>
      </c>
      <c r="E41" s="21"/>
      <c r="F41" s="21"/>
      <c r="G41" s="21"/>
    </row>
    <row r="42" ht="15.75" customHeight="1">
      <c r="A42" s="74"/>
      <c r="B42" s="21"/>
      <c r="C42" s="76" t="str">
        <f>IF($A42="","",IFERROR(VLOOKUP($A42,StudentRegistry!$A:$D,3,FALSE),"Not found"))</f>
        <v/>
      </c>
      <c r="D42" s="76" t="str">
        <f>IF($A42="","",IFERROR(IF(VLOOKUP($A42,StudentRegistry!$A:$D,4,FALSE)="Active","Yes","Inactive"),"No"))</f>
        <v/>
      </c>
      <c r="E42" s="21"/>
      <c r="F42" s="21"/>
      <c r="G42" s="21"/>
    </row>
    <row r="43" ht="15.75" customHeight="1">
      <c r="A43" s="74"/>
      <c r="B43" s="21"/>
      <c r="C43" s="76" t="str">
        <f>IF($A43="","",IFERROR(VLOOKUP($A43,StudentRegistry!$A:$D,3,FALSE),"Not found"))</f>
        <v/>
      </c>
      <c r="D43" s="76" t="str">
        <f>IF($A43="","",IFERROR(IF(VLOOKUP($A43,StudentRegistry!$A:$D,4,FALSE)="Active","Yes","Inactive"),"No"))</f>
        <v/>
      </c>
      <c r="E43" s="21"/>
      <c r="F43" s="21"/>
      <c r="G43" s="21"/>
    </row>
    <row r="44" ht="15.75" customHeight="1">
      <c r="A44" s="74"/>
      <c r="B44" s="21"/>
      <c r="C44" s="76" t="str">
        <f>IF($A44="","",IFERROR(VLOOKUP($A44,StudentRegistry!$A:$D,3,FALSE),"Not found"))</f>
        <v/>
      </c>
      <c r="D44" s="76" t="str">
        <f>IF($A44="","",IFERROR(IF(VLOOKUP($A44,StudentRegistry!$A:$D,4,FALSE)="Active","Yes","Inactive"),"No"))</f>
        <v/>
      </c>
      <c r="E44" s="21"/>
      <c r="F44" s="21"/>
      <c r="G44" s="21"/>
    </row>
    <row r="45" ht="15.75" customHeight="1">
      <c r="A45" s="74"/>
      <c r="B45" s="21"/>
      <c r="C45" s="76" t="str">
        <f>IF($A45="","",IFERROR(VLOOKUP($A45,StudentRegistry!$A:$D,3,FALSE),"Not found"))</f>
        <v/>
      </c>
      <c r="D45" s="76" t="str">
        <f>IF($A45="","",IFERROR(IF(VLOOKUP($A45,StudentRegistry!$A:$D,4,FALSE)="Active","Yes","Inactive"),"No"))</f>
        <v/>
      </c>
      <c r="E45" s="21"/>
      <c r="F45" s="21"/>
      <c r="G45" s="21"/>
    </row>
    <row r="46" ht="15.75" customHeight="1">
      <c r="A46" s="74"/>
      <c r="B46" s="21"/>
      <c r="C46" s="76" t="str">
        <f>IF($A46="","",IFERROR(VLOOKUP($A46,StudentRegistry!$A:$D,3,FALSE),"Not found"))</f>
        <v/>
      </c>
      <c r="D46" s="76" t="str">
        <f>IF($A46="","",IFERROR(IF(VLOOKUP($A46,StudentRegistry!$A:$D,4,FALSE)="Active","Yes","Inactive"),"No"))</f>
        <v/>
      </c>
      <c r="E46" s="21"/>
      <c r="F46" s="21"/>
      <c r="G46" s="21"/>
    </row>
    <row r="47" ht="15.75" customHeight="1">
      <c r="A47" s="74"/>
      <c r="B47" s="21"/>
      <c r="C47" s="76" t="str">
        <f>IF($A47="","",IFERROR(VLOOKUP($A47,StudentRegistry!$A:$D,3,FALSE),"Not found"))</f>
        <v/>
      </c>
      <c r="D47" s="76" t="str">
        <f>IF($A47="","",IFERROR(IF(VLOOKUP($A47,StudentRegistry!$A:$D,4,FALSE)="Active","Yes","Inactive"),"No"))</f>
        <v/>
      </c>
      <c r="E47" s="21"/>
      <c r="F47" s="21"/>
      <c r="G47" s="21"/>
    </row>
    <row r="48" ht="15.75" customHeight="1">
      <c r="A48" s="74"/>
      <c r="B48" s="21"/>
      <c r="C48" s="76" t="str">
        <f>IF($A48="","",IFERROR(VLOOKUP($A48,StudentRegistry!$A:$D,3,FALSE),"Not found"))</f>
        <v/>
      </c>
      <c r="D48" s="76" t="str">
        <f>IF($A48="","",IFERROR(IF(VLOOKUP($A48,StudentRegistry!$A:$D,4,FALSE)="Active","Yes","Inactive"),"No"))</f>
        <v/>
      </c>
      <c r="E48" s="21"/>
      <c r="F48" s="21"/>
      <c r="G48" s="21"/>
    </row>
    <row r="49" ht="15.75" customHeight="1">
      <c r="A49" s="74"/>
      <c r="B49" s="21"/>
      <c r="C49" s="76" t="str">
        <f>IF($A49="","",IFERROR(VLOOKUP($A49,StudentRegistry!$A:$D,3,FALSE),"Not found"))</f>
        <v/>
      </c>
      <c r="D49" s="76" t="str">
        <f>IF($A49="","",IFERROR(IF(VLOOKUP($A49,StudentRegistry!$A:$D,4,FALSE)="Active","Yes","Inactive"),"No"))</f>
        <v/>
      </c>
      <c r="E49" s="21"/>
      <c r="F49" s="21"/>
      <c r="G49" s="21"/>
    </row>
    <row r="50" ht="15.75" customHeight="1">
      <c r="A50" s="74"/>
      <c r="B50" s="21"/>
      <c r="C50" s="76" t="str">
        <f>IF($A50="","",IFERROR(VLOOKUP($A50,StudentRegistry!$A:$D,3,FALSE),"Not found"))</f>
        <v/>
      </c>
      <c r="D50" s="76" t="str">
        <f>IF($A50="","",IFERROR(IF(VLOOKUP($A50,StudentRegistry!$A:$D,4,FALSE)="Active","Yes","Inactive"),"No"))</f>
        <v/>
      </c>
      <c r="E50" s="21"/>
      <c r="F50" s="21"/>
      <c r="G50" s="21"/>
    </row>
    <row r="51" ht="15.75" customHeight="1">
      <c r="A51" s="74"/>
      <c r="B51" s="21"/>
      <c r="C51" s="76" t="str">
        <f>IF($A51="","",IFERROR(VLOOKUP($A51,StudentRegistry!$A:$D,3,FALSE),"Not found"))</f>
        <v/>
      </c>
      <c r="D51" s="76" t="str">
        <f>IF($A51="","",IFERROR(IF(VLOOKUP($A51,StudentRegistry!$A:$D,4,FALSE)="Active","Yes","Inactive"),"No"))</f>
        <v/>
      </c>
      <c r="E51" s="21"/>
      <c r="F51" s="21"/>
      <c r="G51" s="21"/>
    </row>
    <row r="52" ht="15.75" customHeight="1">
      <c r="A52" s="74"/>
      <c r="B52" s="21"/>
      <c r="C52" s="76" t="str">
        <f>IF($A52="","",IFERROR(VLOOKUP($A52,StudentRegistry!$A:$D,3,FALSE),"Not found"))</f>
        <v/>
      </c>
      <c r="D52" s="76" t="str">
        <f>IF($A52="","",IFERROR(IF(VLOOKUP($A52,StudentRegistry!$A:$D,4,FALSE)="Active","Yes","Inactive"),"No"))</f>
        <v/>
      </c>
      <c r="E52" s="21"/>
      <c r="F52" s="21"/>
      <c r="G52" s="21"/>
    </row>
    <row r="53" ht="15.75" customHeight="1">
      <c r="A53" s="74"/>
      <c r="B53" s="21"/>
      <c r="C53" s="76" t="str">
        <f>IF($A53="","",IFERROR(VLOOKUP($A53,StudentRegistry!$A:$D,3,FALSE),"Not found"))</f>
        <v/>
      </c>
      <c r="D53" s="76" t="str">
        <f>IF($A53="","",IFERROR(IF(VLOOKUP($A53,StudentRegistry!$A:$D,4,FALSE)="Active","Yes","Inactive"),"No"))</f>
        <v/>
      </c>
      <c r="E53" s="21"/>
      <c r="F53" s="21"/>
      <c r="G53" s="21"/>
    </row>
    <row r="54" ht="15.75" customHeight="1">
      <c r="A54" s="74"/>
      <c r="B54" s="21"/>
      <c r="C54" s="76" t="str">
        <f>IF($A54="","",IFERROR(VLOOKUP($A54,StudentRegistry!$A:$D,3,FALSE),"Not found"))</f>
        <v/>
      </c>
      <c r="D54" s="76" t="str">
        <f>IF($A54="","",IFERROR(IF(VLOOKUP($A54,StudentRegistry!$A:$D,4,FALSE)="Active","Yes","Inactive"),"No"))</f>
        <v/>
      </c>
      <c r="E54" s="21"/>
      <c r="F54" s="21"/>
      <c r="G54" s="21"/>
    </row>
    <row r="55" ht="15.75" customHeight="1">
      <c r="A55" s="74"/>
      <c r="B55" s="21"/>
      <c r="C55" s="76" t="str">
        <f>IF($A55="","",IFERROR(VLOOKUP($A55,StudentRegistry!$A:$D,3,FALSE),"Not found"))</f>
        <v/>
      </c>
      <c r="D55" s="76" t="str">
        <f>IF($A55="","",IFERROR(IF(VLOOKUP($A55,StudentRegistry!$A:$D,4,FALSE)="Active","Yes","Inactive"),"No"))</f>
        <v/>
      </c>
      <c r="E55" s="21"/>
      <c r="F55" s="21"/>
      <c r="G55" s="21"/>
    </row>
    <row r="56" ht="15.75" customHeight="1">
      <c r="A56" s="74"/>
      <c r="B56" s="21"/>
      <c r="C56" s="76" t="str">
        <f>IF($A56="","",IFERROR(VLOOKUP($A56,StudentRegistry!$A:$D,3,FALSE),"Not found"))</f>
        <v/>
      </c>
      <c r="D56" s="76" t="str">
        <f>IF($A56="","",IFERROR(IF(VLOOKUP($A56,StudentRegistry!$A:$D,4,FALSE)="Active","Yes","Inactive"),"No"))</f>
        <v/>
      </c>
      <c r="E56" s="21"/>
      <c r="F56" s="21"/>
      <c r="G56" s="21"/>
    </row>
    <row r="57" ht="15.75" customHeight="1">
      <c r="A57" s="74"/>
      <c r="B57" s="21"/>
      <c r="C57" s="76" t="str">
        <f>IF($A57="","",IFERROR(VLOOKUP($A57,StudentRegistry!$A:$D,3,FALSE),"Not found"))</f>
        <v/>
      </c>
      <c r="D57" s="76" t="str">
        <f>IF($A57="","",IFERROR(IF(VLOOKUP($A57,StudentRegistry!$A:$D,4,FALSE)="Active","Yes","Inactive"),"No"))</f>
        <v/>
      </c>
      <c r="E57" s="21"/>
      <c r="F57" s="21"/>
      <c r="G57" s="21"/>
    </row>
    <row r="58" ht="15.75" customHeight="1">
      <c r="A58" s="74"/>
      <c r="B58" s="21"/>
      <c r="C58" s="76" t="str">
        <f>IF($A58="","",IFERROR(VLOOKUP($A58,StudentRegistry!$A:$D,3,FALSE),"Not found"))</f>
        <v/>
      </c>
      <c r="D58" s="76" t="str">
        <f>IF($A58="","",IFERROR(IF(VLOOKUP($A58,StudentRegistry!$A:$D,4,FALSE)="Active","Yes","Inactive"),"No"))</f>
        <v/>
      </c>
      <c r="E58" s="21"/>
      <c r="F58" s="21"/>
      <c r="G58" s="21"/>
    </row>
    <row r="59" ht="15.75" customHeight="1">
      <c r="A59" s="74"/>
      <c r="B59" s="21"/>
      <c r="C59" s="76" t="str">
        <f>IF($A59="","",IFERROR(VLOOKUP($A59,StudentRegistry!$A:$D,3,FALSE),"Not found"))</f>
        <v/>
      </c>
      <c r="D59" s="76" t="str">
        <f>IF($A59="","",IFERROR(IF(VLOOKUP($A59,StudentRegistry!$A:$D,4,FALSE)="Active","Yes","Inactive"),"No"))</f>
        <v/>
      </c>
      <c r="E59" s="21"/>
      <c r="F59" s="21"/>
      <c r="G59" s="21"/>
    </row>
    <row r="60" ht="15.75" customHeight="1">
      <c r="A60" s="74"/>
      <c r="B60" s="21"/>
      <c r="C60" s="76" t="str">
        <f>IF($A60="","",IFERROR(VLOOKUP($A60,StudentRegistry!$A:$D,3,FALSE),"Not found"))</f>
        <v/>
      </c>
      <c r="D60" s="76" t="str">
        <f>IF($A60="","",IFERROR(IF(VLOOKUP($A60,StudentRegistry!$A:$D,4,FALSE)="Active","Yes","Inactive"),"No"))</f>
        <v/>
      </c>
      <c r="E60" s="21"/>
      <c r="F60" s="21"/>
      <c r="G60" s="21"/>
    </row>
    <row r="61" ht="15.75" customHeight="1">
      <c r="A61" s="74"/>
      <c r="B61" s="21"/>
      <c r="C61" s="76" t="str">
        <f>IF($A61="","",IFERROR(VLOOKUP($A61,StudentRegistry!$A:$D,3,FALSE),"Not found"))</f>
        <v/>
      </c>
      <c r="D61" s="76" t="str">
        <f>IF($A61="","",IFERROR(IF(VLOOKUP($A61,StudentRegistry!$A:$D,4,FALSE)="Active","Yes","Inactive"),"No"))</f>
        <v/>
      </c>
      <c r="E61" s="21"/>
      <c r="F61" s="21"/>
      <c r="G61" s="21"/>
    </row>
    <row r="62" ht="15.75" customHeight="1">
      <c r="A62" s="74"/>
      <c r="B62" s="21"/>
      <c r="C62" s="76" t="str">
        <f>IF($A62="","",IFERROR(VLOOKUP($A62,StudentRegistry!$A:$D,3,FALSE),"Not found"))</f>
        <v/>
      </c>
      <c r="D62" s="76" t="str">
        <f>IF($A62="","",IFERROR(IF(VLOOKUP($A62,StudentRegistry!$A:$D,4,FALSE)="Active","Yes","Inactive"),"No"))</f>
        <v/>
      </c>
      <c r="E62" s="21"/>
      <c r="F62" s="21"/>
      <c r="G62" s="21"/>
    </row>
    <row r="63" ht="15.75" customHeight="1">
      <c r="A63" s="74"/>
      <c r="B63" s="21"/>
      <c r="C63" s="76" t="str">
        <f>IF($A63="","",IFERROR(VLOOKUP($A63,StudentRegistry!$A:$D,3,FALSE),"Not found"))</f>
        <v/>
      </c>
      <c r="D63" s="76" t="str">
        <f>IF($A63="","",IFERROR(IF(VLOOKUP($A63,StudentRegistry!$A:$D,4,FALSE)="Active","Yes","Inactive"),"No"))</f>
        <v/>
      </c>
      <c r="E63" s="21"/>
      <c r="F63" s="21"/>
      <c r="G63" s="21"/>
    </row>
    <row r="64" ht="15.75" customHeight="1">
      <c r="A64" s="74"/>
      <c r="B64" s="21"/>
      <c r="C64" s="76" t="str">
        <f>IF($A64="","",IFERROR(VLOOKUP($A64,StudentRegistry!$A:$D,3,FALSE),"Not found"))</f>
        <v/>
      </c>
      <c r="D64" s="76" t="str">
        <f>IF($A64="","",IFERROR(IF(VLOOKUP($A64,StudentRegistry!$A:$D,4,FALSE)="Active","Yes","Inactive"),"No"))</f>
        <v/>
      </c>
      <c r="E64" s="21"/>
      <c r="F64" s="21"/>
      <c r="G64" s="21"/>
    </row>
    <row r="65" ht="15.75" customHeight="1">
      <c r="A65" s="74"/>
      <c r="B65" s="21"/>
      <c r="C65" s="76" t="str">
        <f>IF($A65="","",IFERROR(VLOOKUP($A65,StudentRegistry!$A:$D,3,FALSE),"Not found"))</f>
        <v/>
      </c>
      <c r="D65" s="76" t="str">
        <f>IF($A65="","",IFERROR(IF(VLOOKUP($A65,StudentRegistry!$A:$D,4,FALSE)="Active","Yes","Inactive"),"No"))</f>
        <v/>
      </c>
      <c r="E65" s="21"/>
      <c r="F65" s="21"/>
      <c r="G65" s="21"/>
    </row>
    <row r="66" ht="15.75" customHeight="1">
      <c r="A66" s="74"/>
      <c r="B66" s="21"/>
      <c r="C66" s="76" t="str">
        <f>IF($A66="","",IFERROR(VLOOKUP($A66,StudentRegistry!$A:$D,3,FALSE),"Not found"))</f>
        <v/>
      </c>
      <c r="D66" s="76" t="str">
        <f>IF($A66="","",IFERROR(IF(VLOOKUP($A66,StudentRegistry!$A:$D,4,FALSE)="Active","Yes","Inactive"),"No"))</f>
        <v/>
      </c>
      <c r="E66" s="21"/>
      <c r="F66" s="21"/>
      <c r="G66" s="21"/>
    </row>
    <row r="67" ht="15.75" customHeight="1">
      <c r="A67" s="74"/>
      <c r="B67" s="21"/>
      <c r="C67" s="76" t="str">
        <f>IF($A67="","",IFERROR(VLOOKUP($A67,StudentRegistry!$A:$D,3,FALSE),"Not found"))</f>
        <v/>
      </c>
      <c r="D67" s="76" t="str">
        <f>IF($A67="","",IFERROR(IF(VLOOKUP($A67,StudentRegistry!$A:$D,4,FALSE)="Active","Yes","Inactive"),"No"))</f>
        <v/>
      </c>
      <c r="E67" s="21"/>
      <c r="F67" s="21"/>
      <c r="G67" s="21"/>
    </row>
    <row r="68" ht="15.75" customHeight="1">
      <c r="A68" s="74"/>
      <c r="B68" s="21"/>
      <c r="C68" s="76" t="str">
        <f>IF($A68="","",IFERROR(VLOOKUP($A68,StudentRegistry!$A:$D,3,FALSE),"Not found"))</f>
        <v/>
      </c>
      <c r="D68" s="76" t="str">
        <f>IF($A68="","",IFERROR(IF(VLOOKUP($A68,StudentRegistry!$A:$D,4,FALSE)="Active","Yes","Inactive"),"No"))</f>
        <v/>
      </c>
      <c r="E68" s="21"/>
      <c r="F68" s="21"/>
      <c r="G68" s="21"/>
    </row>
    <row r="69" ht="15.75" customHeight="1">
      <c r="A69" s="74"/>
      <c r="B69" s="21"/>
      <c r="C69" s="76" t="str">
        <f>IF($A69="","",IFERROR(VLOOKUP($A69,StudentRegistry!$A:$D,3,FALSE),"Not found"))</f>
        <v/>
      </c>
      <c r="D69" s="76" t="str">
        <f>IF($A69="","",IFERROR(IF(VLOOKUP($A69,StudentRegistry!$A:$D,4,FALSE)="Active","Yes","Inactive"),"No"))</f>
        <v/>
      </c>
      <c r="E69" s="21"/>
      <c r="F69" s="21"/>
      <c r="G69" s="21"/>
    </row>
    <row r="70" ht="15.75" customHeight="1">
      <c r="A70" s="74"/>
      <c r="B70" s="21"/>
      <c r="C70" s="76" t="str">
        <f>IF($A70="","",IFERROR(VLOOKUP($A70,StudentRegistry!$A:$D,3,FALSE),"Not found"))</f>
        <v/>
      </c>
      <c r="D70" s="76" t="str">
        <f>IF($A70="","",IFERROR(IF(VLOOKUP($A70,StudentRegistry!$A:$D,4,FALSE)="Active","Yes","Inactive"),"No"))</f>
        <v/>
      </c>
      <c r="E70" s="21"/>
      <c r="F70" s="21"/>
      <c r="G70" s="21"/>
    </row>
    <row r="71" ht="15.75" customHeight="1">
      <c r="A71" s="74"/>
      <c r="B71" s="21"/>
      <c r="C71" s="76" t="str">
        <f>IF($A71="","",IFERROR(VLOOKUP($A71,StudentRegistry!$A:$D,3,FALSE),"Not found"))</f>
        <v/>
      </c>
      <c r="D71" s="76" t="str">
        <f>IF($A71="","",IFERROR(IF(VLOOKUP($A71,StudentRegistry!$A:$D,4,FALSE)="Active","Yes","Inactive"),"No"))</f>
        <v/>
      </c>
      <c r="E71" s="21"/>
      <c r="F71" s="21"/>
      <c r="G71" s="21"/>
    </row>
    <row r="72" ht="15.75" customHeight="1">
      <c r="A72" s="74"/>
      <c r="B72" s="21"/>
      <c r="C72" s="76" t="str">
        <f>IF($A72="","",IFERROR(VLOOKUP($A72,StudentRegistry!$A:$D,3,FALSE),"Not found"))</f>
        <v/>
      </c>
      <c r="D72" s="76" t="str">
        <f>IF($A72="","",IFERROR(IF(VLOOKUP($A72,StudentRegistry!$A:$D,4,FALSE)="Active","Yes","Inactive"),"No"))</f>
        <v/>
      </c>
      <c r="E72" s="21"/>
      <c r="F72" s="21"/>
      <c r="G72" s="21"/>
    </row>
    <row r="73" ht="15.75" customHeight="1">
      <c r="A73" s="74"/>
      <c r="B73" s="21"/>
      <c r="C73" s="76" t="str">
        <f>IF($A73="","",IFERROR(VLOOKUP($A73,StudentRegistry!$A:$D,3,FALSE),"Not found"))</f>
        <v/>
      </c>
      <c r="D73" s="76" t="str">
        <f>IF($A73="","",IFERROR(IF(VLOOKUP($A73,StudentRegistry!$A:$D,4,FALSE)="Active","Yes","Inactive"),"No"))</f>
        <v/>
      </c>
      <c r="E73" s="21"/>
      <c r="F73" s="21"/>
      <c r="G73" s="21"/>
    </row>
    <row r="74" ht="15.75" customHeight="1">
      <c r="A74" s="74"/>
      <c r="B74" s="21"/>
      <c r="C74" s="76" t="str">
        <f>IF($A74="","",IFERROR(VLOOKUP($A74,StudentRegistry!$A:$D,3,FALSE),"Not found"))</f>
        <v/>
      </c>
      <c r="D74" s="76" t="str">
        <f>IF($A74="","",IFERROR(IF(VLOOKUP($A74,StudentRegistry!$A:$D,4,FALSE)="Active","Yes","Inactive"),"No"))</f>
        <v/>
      </c>
      <c r="E74" s="21"/>
      <c r="F74" s="21"/>
      <c r="G74" s="21"/>
    </row>
    <row r="75" ht="15.75" customHeight="1">
      <c r="A75" s="74"/>
      <c r="B75" s="21"/>
      <c r="C75" s="76" t="str">
        <f>IF($A75="","",IFERROR(VLOOKUP($A75,StudentRegistry!$A:$D,3,FALSE),"Not found"))</f>
        <v/>
      </c>
      <c r="D75" s="76" t="str">
        <f>IF($A75="","",IFERROR(IF(VLOOKUP($A75,StudentRegistry!$A:$D,4,FALSE)="Active","Yes","Inactive"),"No"))</f>
        <v/>
      </c>
      <c r="E75" s="21"/>
      <c r="F75" s="21"/>
      <c r="G75" s="21"/>
    </row>
    <row r="76" ht="15.75" customHeight="1">
      <c r="A76" s="74"/>
      <c r="B76" s="21"/>
      <c r="C76" s="76" t="str">
        <f>IF($A76="","",IFERROR(VLOOKUP($A76,StudentRegistry!$A:$D,3,FALSE),"Not found"))</f>
        <v/>
      </c>
      <c r="D76" s="76" t="str">
        <f>IF($A76="","",IFERROR(IF(VLOOKUP($A76,StudentRegistry!$A:$D,4,FALSE)="Active","Yes","Inactive"),"No"))</f>
        <v/>
      </c>
      <c r="E76" s="21"/>
      <c r="F76" s="21"/>
      <c r="G76" s="21"/>
    </row>
    <row r="77" ht="15.75" customHeight="1">
      <c r="A77" s="74"/>
      <c r="B77" s="21"/>
      <c r="C77" s="76" t="str">
        <f>IF($A77="","",IFERROR(VLOOKUP($A77,StudentRegistry!$A:$D,3,FALSE),"Not found"))</f>
        <v/>
      </c>
      <c r="D77" s="76" t="str">
        <f>IF($A77="","",IFERROR(IF(VLOOKUP($A77,StudentRegistry!$A:$D,4,FALSE)="Active","Yes","Inactive"),"No"))</f>
        <v/>
      </c>
      <c r="E77" s="21"/>
      <c r="F77" s="21"/>
      <c r="G77" s="21"/>
    </row>
    <row r="78" ht="15.75" customHeight="1">
      <c r="A78" s="74"/>
      <c r="B78" s="21"/>
      <c r="C78" s="76" t="str">
        <f>IF($A78="","",IFERROR(VLOOKUP($A78,StudentRegistry!$A:$D,3,FALSE),"Not found"))</f>
        <v/>
      </c>
      <c r="D78" s="76" t="str">
        <f>IF($A78="","",IFERROR(IF(VLOOKUP($A78,StudentRegistry!$A:$D,4,FALSE)="Active","Yes","Inactive"),"No"))</f>
        <v/>
      </c>
      <c r="E78" s="21"/>
      <c r="F78" s="21"/>
      <c r="G78" s="21"/>
    </row>
    <row r="79" ht="15.75" customHeight="1">
      <c r="A79" s="74"/>
      <c r="B79" s="21"/>
      <c r="C79" s="76" t="str">
        <f>IF($A79="","",IFERROR(VLOOKUP($A79,StudentRegistry!$A:$D,3,FALSE),"Not found"))</f>
        <v/>
      </c>
      <c r="D79" s="76" t="str">
        <f>IF($A79="","",IFERROR(IF(VLOOKUP($A79,StudentRegistry!$A:$D,4,FALSE)="Active","Yes","Inactive"),"No"))</f>
        <v/>
      </c>
      <c r="E79" s="21"/>
      <c r="F79" s="21"/>
      <c r="G79" s="21"/>
    </row>
    <row r="80" ht="15.75" customHeight="1">
      <c r="A80" s="74"/>
      <c r="B80" s="21"/>
      <c r="C80" s="76" t="str">
        <f>IF($A80="","",IFERROR(VLOOKUP($A80,StudentRegistry!$A:$D,3,FALSE),"Not found"))</f>
        <v/>
      </c>
      <c r="D80" s="76" t="str">
        <f>IF($A80="","",IFERROR(IF(VLOOKUP($A80,StudentRegistry!$A:$D,4,FALSE)="Active","Yes","Inactive"),"No"))</f>
        <v/>
      </c>
      <c r="E80" s="21"/>
      <c r="F80" s="21"/>
      <c r="G80" s="21"/>
    </row>
    <row r="81" ht="15.75" customHeight="1">
      <c r="A81" s="74"/>
      <c r="B81" s="21"/>
      <c r="C81" s="76" t="str">
        <f>IF($A81="","",IFERROR(VLOOKUP($A81,StudentRegistry!$A:$D,3,FALSE),"Not found"))</f>
        <v/>
      </c>
      <c r="D81" s="76" t="str">
        <f>IF($A81="","",IFERROR(IF(VLOOKUP($A81,StudentRegistry!$A:$D,4,FALSE)="Active","Yes","Inactive"),"No"))</f>
        <v/>
      </c>
      <c r="E81" s="21"/>
      <c r="F81" s="21"/>
      <c r="G81" s="21"/>
    </row>
    <row r="82" ht="15.75" customHeight="1">
      <c r="A82" s="74"/>
      <c r="B82" s="21"/>
      <c r="C82" s="76" t="str">
        <f>IF($A82="","",IFERROR(VLOOKUP($A82,StudentRegistry!$A:$D,3,FALSE),"Not found"))</f>
        <v/>
      </c>
      <c r="D82" s="76" t="str">
        <f>IF($A82="","",IFERROR(IF(VLOOKUP($A82,StudentRegistry!$A:$D,4,FALSE)="Active","Yes","Inactive"),"No"))</f>
        <v/>
      </c>
      <c r="E82" s="21"/>
      <c r="F82" s="21"/>
      <c r="G82" s="21"/>
    </row>
    <row r="83" ht="15.75" customHeight="1">
      <c r="A83" s="74"/>
      <c r="B83" s="21"/>
      <c r="C83" s="76" t="str">
        <f>IF($A83="","",IFERROR(VLOOKUP($A83,StudentRegistry!$A:$D,3,FALSE),"Not found"))</f>
        <v/>
      </c>
      <c r="D83" s="76" t="str">
        <f>IF($A83="","",IFERROR(IF(VLOOKUP($A83,StudentRegistry!$A:$D,4,FALSE)="Active","Yes","Inactive"),"No"))</f>
        <v/>
      </c>
      <c r="E83" s="21"/>
      <c r="F83" s="21"/>
      <c r="G83" s="21"/>
    </row>
    <row r="84" ht="15.75" customHeight="1">
      <c r="A84" s="74"/>
      <c r="B84" s="21"/>
      <c r="C84" s="76" t="str">
        <f>IF($A84="","",IFERROR(VLOOKUP($A84,StudentRegistry!$A:$D,3,FALSE),"Not found"))</f>
        <v/>
      </c>
      <c r="D84" s="76" t="str">
        <f>IF($A84="","",IFERROR(IF(VLOOKUP($A84,StudentRegistry!$A:$D,4,FALSE)="Active","Yes","Inactive"),"No"))</f>
        <v/>
      </c>
      <c r="E84" s="21"/>
      <c r="F84" s="21"/>
      <c r="G84" s="21"/>
    </row>
    <row r="85" ht="15.75" customHeight="1">
      <c r="A85" s="74"/>
      <c r="B85" s="21"/>
      <c r="C85" s="76" t="str">
        <f>IF($A85="","",IFERROR(VLOOKUP($A85,StudentRegistry!$A:$D,3,FALSE),"Not found"))</f>
        <v/>
      </c>
      <c r="D85" s="76" t="str">
        <f>IF($A85="","",IFERROR(IF(VLOOKUP($A85,StudentRegistry!$A:$D,4,FALSE)="Active","Yes","Inactive"),"No"))</f>
        <v/>
      </c>
      <c r="E85" s="21"/>
      <c r="F85" s="21"/>
      <c r="G85" s="21"/>
    </row>
    <row r="86" ht="15.75" customHeight="1">
      <c r="A86" s="74"/>
      <c r="B86" s="21"/>
      <c r="C86" s="76" t="str">
        <f>IF($A86="","",IFERROR(VLOOKUP($A86,StudentRegistry!$A:$D,3,FALSE),"Not found"))</f>
        <v/>
      </c>
      <c r="D86" s="76" t="str">
        <f>IF($A86="","",IFERROR(IF(VLOOKUP($A86,StudentRegistry!$A:$D,4,FALSE)="Active","Yes","Inactive"),"No"))</f>
        <v/>
      </c>
      <c r="E86" s="21"/>
      <c r="F86" s="21"/>
      <c r="G86" s="21"/>
    </row>
    <row r="87" ht="15.75" customHeight="1">
      <c r="A87" s="74"/>
      <c r="B87" s="21"/>
      <c r="C87" s="76" t="str">
        <f>IF($A87="","",IFERROR(VLOOKUP($A87,StudentRegistry!$A:$D,3,FALSE),"Not found"))</f>
        <v/>
      </c>
      <c r="D87" s="76" t="str">
        <f>IF($A87="","",IFERROR(IF(VLOOKUP($A87,StudentRegistry!$A:$D,4,FALSE)="Active","Yes","Inactive"),"No"))</f>
        <v/>
      </c>
      <c r="E87" s="21"/>
      <c r="F87" s="21"/>
      <c r="G87" s="21"/>
    </row>
    <row r="88" ht="15.75" customHeight="1">
      <c r="A88" s="74"/>
      <c r="B88" s="21"/>
      <c r="C88" s="76" t="str">
        <f>IF($A88="","",IFERROR(VLOOKUP($A88,StudentRegistry!$A:$D,3,FALSE),"Not found"))</f>
        <v/>
      </c>
      <c r="D88" s="76" t="str">
        <f>IF($A88="","",IFERROR(IF(VLOOKUP($A88,StudentRegistry!$A:$D,4,FALSE)="Active","Yes","Inactive"),"No"))</f>
        <v/>
      </c>
      <c r="E88" s="21"/>
      <c r="F88" s="21"/>
      <c r="G88" s="21"/>
    </row>
    <row r="89" ht="15.75" customHeight="1">
      <c r="A89" s="74"/>
      <c r="B89" s="21"/>
      <c r="C89" s="76" t="str">
        <f>IF($A89="","",IFERROR(VLOOKUP($A89,StudentRegistry!$A:$D,3,FALSE),"Not found"))</f>
        <v/>
      </c>
      <c r="D89" s="76" t="str">
        <f>IF($A89="","",IFERROR(IF(VLOOKUP($A89,StudentRegistry!$A:$D,4,FALSE)="Active","Yes","Inactive"),"No"))</f>
        <v/>
      </c>
      <c r="E89" s="21"/>
      <c r="F89" s="21"/>
      <c r="G89" s="21"/>
    </row>
    <row r="90" ht="15.75" customHeight="1">
      <c r="A90" s="74"/>
      <c r="B90" s="21"/>
      <c r="C90" s="76" t="str">
        <f>IF($A90="","",IFERROR(VLOOKUP($A90,StudentRegistry!$A:$D,3,FALSE),"Not found"))</f>
        <v/>
      </c>
      <c r="D90" s="76" t="str">
        <f>IF($A90="","",IFERROR(IF(VLOOKUP($A90,StudentRegistry!$A:$D,4,FALSE)="Active","Yes","Inactive"),"No"))</f>
        <v/>
      </c>
      <c r="E90" s="21"/>
      <c r="F90" s="21"/>
      <c r="G90" s="21"/>
    </row>
    <row r="91" ht="15.75" customHeight="1">
      <c r="A91" s="74"/>
      <c r="B91" s="21"/>
      <c r="C91" s="76" t="str">
        <f>IF($A91="","",IFERROR(VLOOKUP($A91,StudentRegistry!$A:$D,3,FALSE),"Not found"))</f>
        <v/>
      </c>
      <c r="D91" s="76" t="str">
        <f>IF($A91="","",IFERROR(IF(VLOOKUP($A91,StudentRegistry!$A:$D,4,FALSE)="Active","Yes","Inactive"),"No"))</f>
        <v/>
      </c>
      <c r="E91" s="21"/>
      <c r="F91" s="21"/>
      <c r="G91" s="21"/>
    </row>
    <row r="92" ht="15.75" customHeight="1">
      <c r="A92" s="74"/>
      <c r="B92" s="21"/>
      <c r="C92" s="76" t="str">
        <f>IF($A92="","",IFERROR(VLOOKUP($A92,StudentRegistry!$A:$D,3,FALSE),"Not found"))</f>
        <v/>
      </c>
      <c r="D92" s="76" t="str">
        <f>IF($A92="","",IFERROR(IF(VLOOKUP($A92,StudentRegistry!$A:$D,4,FALSE)="Active","Yes","Inactive"),"No"))</f>
        <v/>
      </c>
      <c r="E92" s="21"/>
      <c r="F92" s="21"/>
      <c r="G92" s="21"/>
    </row>
    <row r="93" ht="15.75" customHeight="1">
      <c r="A93" s="74"/>
      <c r="B93" s="21"/>
      <c r="C93" s="76" t="str">
        <f>IF($A93="","",IFERROR(VLOOKUP($A93,StudentRegistry!$A:$D,3,FALSE),"Not found"))</f>
        <v/>
      </c>
      <c r="D93" s="76" t="str">
        <f>IF($A93="","",IFERROR(IF(VLOOKUP($A93,StudentRegistry!$A:$D,4,FALSE)="Active","Yes","Inactive"),"No"))</f>
        <v/>
      </c>
      <c r="E93" s="21"/>
      <c r="F93" s="21"/>
      <c r="G93" s="21"/>
    </row>
    <row r="94" ht="15.75" customHeight="1">
      <c r="A94" s="74"/>
      <c r="B94" s="21"/>
      <c r="C94" s="76" t="str">
        <f>IF($A94="","",IFERROR(VLOOKUP($A94,StudentRegistry!$A:$D,3,FALSE),"Not found"))</f>
        <v/>
      </c>
      <c r="D94" s="76" t="str">
        <f>IF($A94="","",IFERROR(IF(VLOOKUP($A94,StudentRegistry!$A:$D,4,FALSE)="Active","Yes","Inactive"),"No"))</f>
        <v/>
      </c>
      <c r="E94" s="21"/>
      <c r="F94" s="21"/>
      <c r="G94" s="21"/>
    </row>
    <row r="95" ht="15.75" customHeight="1">
      <c r="A95" s="74"/>
      <c r="B95" s="21"/>
      <c r="C95" s="76" t="str">
        <f>IF($A95="","",IFERROR(VLOOKUP($A95,StudentRegistry!$A:$D,3,FALSE),"Not found"))</f>
        <v/>
      </c>
      <c r="D95" s="76" t="str">
        <f>IF($A95="","",IFERROR(IF(VLOOKUP($A95,StudentRegistry!$A:$D,4,FALSE)="Active","Yes","Inactive"),"No"))</f>
        <v/>
      </c>
      <c r="E95" s="21"/>
      <c r="F95" s="21"/>
      <c r="G95" s="21"/>
    </row>
    <row r="96" ht="15.75" customHeight="1">
      <c r="A96" s="74"/>
      <c r="B96" s="21"/>
      <c r="C96" s="76" t="str">
        <f>IF($A96="","",IFERROR(VLOOKUP($A96,StudentRegistry!$A:$D,3,FALSE),"Not found"))</f>
        <v/>
      </c>
      <c r="D96" s="76" t="str">
        <f>IF($A96="","",IFERROR(IF(VLOOKUP($A96,StudentRegistry!$A:$D,4,FALSE)="Active","Yes","Inactive"),"No"))</f>
        <v/>
      </c>
      <c r="E96" s="21"/>
      <c r="F96" s="21"/>
      <c r="G96" s="21"/>
    </row>
    <row r="97" ht="15.75" customHeight="1">
      <c r="A97" s="74"/>
      <c r="B97" s="21"/>
      <c r="C97" s="76" t="str">
        <f>IF($A97="","",IFERROR(VLOOKUP($A97,StudentRegistry!$A:$D,3,FALSE),"Not found"))</f>
        <v/>
      </c>
      <c r="D97" s="76" t="str">
        <f>IF($A97="","",IFERROR(IF(VLOOKUP($A97,StudentRegistry!$A:$D,4,FALSE)="Active","Yes","Inactive"),"No"))</f>
        <v/>
      </c>
      <c r="E97" s="21"/>
      <c r="F97" s="21"/>
      <c r="G97" s="21"/>
    </row>
    <row r="98" ht="15.75" customHeight="1">
      <c r="A98" s="74"/>
      <c r="B98" s="21"/>
      <c r="C98" s="76" t="str">
        <f>IF($A98="","",IFERROR(VLOOKUP($A98,StudentRegistry!$A:$D,3,FALSE),"Not found"))</f>
        <v/>
      </c>
      <c r="D98" s="76" t="str">
        <f>IF($A98="","",IFERROR(IF(VLOOKUP($A98,StudentRegistry!$A:$D,4,FALSE)="Active","Yes","Inactive"),"No"))</f>
        <v/>
      </c>
      <c r="E98" s="21"/>
      <c r="F98" s="21"/>
      <c r="G98" s="21"/>
    </row>
    <row r="99" ht="15.75" customHeight="1">
      <c r="A99" s="74"/>
      <c r="B99" s="21"/>
      <c r="C99" s="76" t="str">
        <f>IF($A99="","",IFERROR(VLOOKUP($A99,StudentRegistry!$A:$D,3,FALSE),"Not found"))</f>
        <v/>
      </c>
      <c r="D99" s="76" t="str">
        <f>IF($A99="","",IFERROR(IF(VLOOKUP($A99,StudentRegistry!$A:$D,4,FALSE)="Active","Yes","Inactive"),"No"))</f>
        <v/>
      </c>
      <c r="E99" s="21"/>
      <c r="F99" s="21"/>
      <c r="G99" s="21"/>
    </row>
    <row r="100" ht="15.75" customHeight="1">
      <c r="A100" s="74"/>
      <c r="B100" s="21"/>
      <c r="C100" s="76" t="str">
        <f>IF($A100="","",IFERROR(VLOOKUP($A100,StudentRegistry!$A:$D,3,FALSE),"Not found"))</f>
        <v/>
      </c>
      <c r="D100" s="76" t="str">
        <f>IF($A100="","",IFERROR(IF(VLOOKUP($A100,StudentRegistry!$A:$D,4,FALSE)="Active","Yes","Inactive"),"No"))</f>
        <v/>
      </c>
      <c r="E100" s="21"/>
      <c r="F100" s="21"/>
      <c r="G100" s="21"/>
    </row>
    <row r="101" ht="15.75" customHeight="1">
      <c r="A101" s="74"/>
      <c r="C101" s="77" t="str">
        <f>IF($A101="","",IFERROR(VLOOKUP($A101,StudentRegistry!$A:$D,3,FALSE),"Not found"))</f>
        <v/>
      </c>
      <c r="D101" s="77" t="str">
        <f>IF($A101="","",IFERROR(IF(VLOOKUP($A101,StudentRegistry!$A:$D,4,FALSE)="Active","Yes","Inactive"),"No"))</f>
        <v/>
      </c>
      <c r="E101" s="21"/>
    </row>
    <row r="102" ht="15.75" customHeight="1">
      <c r="A102" s="74"/>
      <c r="C102" s="77" t="str">
        <f>IF($A102="","",IFERROR(VLOOKUP($A102,StudentRegistry!$A:$D,3,FALSE),"Not found"))</f>
        <v/>
      </c>
      <c r="D102" s="77" t="str">
        <f>IF($A102="","",IFERROR(IF(VLOOKUP($A102,StudentRegistry!$A:$D,4,FALSE)="Active","Yes","Inactive"),"No"))</f>
        <v/>
      </c>
      <c r="E102" s="21"/>
    </row>
    <row r="103" ht="15.75" customHeight="1">
      <c r="A103" s="74"/>
      <c r="C103" s="77" t="str">
        <f>IF($A103="","",IFERROR(VLOOKUP($A103,StudentRegistry!$A:$D,3,FALSE),"Not found"))</f>
        <v/>
      </c>
      <c r="D103" s="77" t="str">
        <f>IF($A103="","",IFERROR(IF(VLOOKUP($A103,StudentRegistry!$A:$D,4,FALSE)="Active","Yes","Inactive"),"No"))</f>
        <v/>
      </c>
      <c r="E103" s="21"/>
    </row>
    <row r="104" ht="15.75" customHeight="1">
      <c r="A104" s="74"/>
      <c r="C104" s="77" t="str">
        <f>IF($A104="","",IFERROR(VLOOKUP($A104,StudentRegistry!$A:$D,3,FALSE),"Not found"))</f>
        <v/>
      </c>
      <c r="D104" s="77" t="str">
        <f>IF($A104="","",IFERROR(IF(VLOOKUP($A104,StudentRegistry!$A:$D,4,FALSE)="Active","Yes","Inactive"),"No"))</f>
        <v/>
      </c>
      <c r="E104" s="21"/>
    </row>
    <row r="105" ht="15.75" customHeight="1">
      <c r="A105" s="74"/>
      <c r="C105" s="77" t="str">
        <f>IF($A105="","",IFERROR(VLOOKUP($A105,StudentRegistry!$A:$D,3,FALSE),"Not found"))</f>
        <v/>
      </c>
      <c r="D105" s="77" t="str">
        <f>IF($A105="","",IFERROR(IF(VLOOKUP($A105,StudentRegistry!$A:$D,4,FALSE)="Active","Yes","Inactive"),"No"))</f>
        <v/>
      </c>
      <c r="E105" s="21"/>
    </row>
    <row r="106" ht="15.75" customHeight="1">
      <c r="A106" s="74"/>
      <c r="C106" s="77" t="str">
        <f>IF($A106="","",IFERROR(VLOOKUP($A106,StudentRegistry!$A:$D,3,FALSE),"Not found"))</f>
        <v/>
      </c>
      <c r="D106" s="77" t="str">
        <f>IF($A106="","",IFERROR(IF(VLOOKUP($A106,StudentRegistry!$A:$D,4,FALSE)="Active","Yes","Inactive"),"No"))</f>
        <v/>
      </c>
      <c r="E106" s="21"/>
    </row>
    <row r="107" ht="15.75" customHeight="1">
      <c r="A107" s="74"/>
      <c r="C107" s="77" t="str">
        <f>IF($A107="","",IFERROR(VLOOKUP($A107,StudentRegistry!$A:$D,3,FALSE),"Not found"))</f>
        <v/>
      </c>
      <c r="D107" s="77" t="str">
        <f>IF($A107="","",IFERROR(IF(VLOOKUP($A107,StudentRegistry!$A:$D,4,FALSE)="Active","Yes","Inactive"),"No"))</f>
        <v/>
      </c>
      <c r="E107" s="21"/>
    </row>
    <row r="108" ht="15.75" customHeight="1">
      <c r="A108" s="74"/>
      <c r="C108" s="77" t="str">
        <f>IF($A108="","",IFERROR(VLOOKUP($A108,StudentRegistry!$A:$D,3,FALSE),"Not found"))</f>
        <v/>
      </c>
      <c r="D108" s="77" t="str">
        <f>IF($A108="","",IFERROR(IF(VLOOKUP($A108,StudentRegistry!$A:$D,4,FALSE)="Active","Yes","Inactive"),"No"))</f>
        <v/>
      </c>
      <c r="E108" s="21"/>
    </row>
    <row r="109" ht="15.75" customHeight="1">
      <c r="A109" s="74"/>
      <c r="C109" s="77" t="str">
        <f>IF($A109="","",IFERROR(VLOOKUP($A109,StudentRegistry!$A:$D,3,FALSE),"Not found"))</f>
        <v/>
      </c>
      <c r="D109" s="77" t="str">
        <f>IF($A109="","",IFERROR(IF(VLOOKUP($A109,StudentRegistry!$A:$D,4,FALSE)="Active","Yes","Inactive"),"No"))</f>
        <v/>
      </c>
      <c r="E109" s="21"/>
    </row>
    <row r="110" ht="15.75" customHeight="1">
      <c r="A110" s="74"/>
      <c r="C110" s="77" t="str">
        <f>IF($A110="","",IFERROR(VLOOKUP($A110,StudentRegistry!$A:$D,3,FALSE),"Not found"))</f>
        <v/>
      </c>
      <c r="D110" s="77" t="str">
        <f>IF($A110="","",IFERROR(IF(VLOOKUP($A110,StudentRegistry!$A:$D,4,FALSE)="Active","Yes","Inactive"),"No"))</f>
        <v/>
      </c>
      <c r="E110" s="21"/>
    </row>
    <row r="111" ht="15.75" customHeight="1">
      <c r="A111" s="74"/>
      <c r="C111" s="77" t="str">
        <f>IF($A111="","",IFERROR(VLOOKUP($A111,StudentRegistry!$A:$D,3,FALSE),"Not found"))</f>
        <v/>
      </c>
      <c r="D111" s="77" t="str">
        <f>IF($A111="","",IFERROR(IF(VLOOKUP($A111,StudentRegistry!$A:$D,4,FALSE)="Active","Yes","Inactive"),"No"))</f>
        <v/>
      </c>
      <c r="E111" s="21"/>
    </row>
    <row r="112" ht="15.75" customHeight="1">
      <c r="A112" s="74"/>
      <c r="C112" s="77" t="str">
        <f>IF($A112="","",IFERROR(VLOOKUP($A112,StudentRegistry!$A:$D,3,FALSE),"Not found"))</f>
        <v/>
      </c>
      <c r="D112" s="77" t="str">
        <f>IF($A112="","",IFERROR(IF(VLOOKUP($A112,StudentRegistry!$A:$D,4,FALSE)="Active","Yes","Inactive"),"No"))</f>
        <v/>
      </c>
      <c r="E112" s="21"/>
    </row>
    <row r="113" ht="15.75" customHeight="1">
      <c r="A113" s="74"/>
      <c r="C113" s="77" t="str">
        <f>IF($A113="","",IFERROR(VLOOKUP($A113,StudentRegistry!$A:$D,3,FALSE),"Not found"))</f>
        <v/>
      </c>
      <c r="D113" s="77" t="str">
        <f>IF($A113="","",IFERROR(IF(VLOOKUP($A113,StudentRegistry!$A:$D,4,FALSE)="Active","Yes","Inactive"),"No"))</f>
        <v/>
      </c>
      <c r="E113" s="21"/>
    </row>
    <row r="114" ht="15.75" customHeight="1">
      <c r="A114" s="74"/>
      <c r="C114" s="77" t="str">
        <f>IF($A114="","",IFERROR(VLOOKUP($A114,StudentRegistry!$A:$D,3,FALSE),"Not found"))</f>
        <v/>
      </c>
      <c r="D114" s="77" t="str">
        <f>IF($A114="","",IFERROR(IF(VLOOKUP($A114,StudentRegistry!$A:$D,4,FALSE)="Active","Yes","Inactive"),"No"))</f>
        <v/>
      </c>
      <c r="E114" s="21"/>
    </row>
    <row r="115" ht="15.75" customHeight="1">
      <c r="A115" s="74"/>
      <c r="C115" s="77" t="str">
        <f>IF($A115="","",IFERROR(VLOOKUP($A115,StudentRegistry!$A:$D,3,FALSE),"Not found"))</f>
        <v/>
      </c>
      <c r="D115" s="77" t="str">
        <f>IF($A115="","",IFERROR(IF(VLOOKUP($A115,StudentRegistry!$A:$D,4,FALSE)="Active","Yes","Inactive"),"No"))</f>
        <v/>
      </c>
      <c r="E115" s="21"/>
    </row>
    <row r="116" ht="15.75" customHeight="1">
      <c r="A116" s="74"/>
      <c r="C116" s="77" t="str">
        <f>IF($A116="","",IFERROR(VLOOKUP($A116,StudentRegistry!$A:$D,3,FALSE),"Not found"))</f>
        <v/>
      </c>
      <c r="D116" s="77" t="str">
        <f>IF($A116="","",IFERROR(IF(VLOOKUP($A116,StudentRegistry!$A:$D,4,FALSE)="Active","Yes","Inactive"),"No"))</f>
        <v/>
      </c>
      <c r="E116" s="21"/>
    </row>
    <row r="117" ht="15.75" customHeight="1">
      <c r="A117" s="74"/>
      <c r="C117" s="77" t="str">
        <f>IF($A117="","",IFERROR(VLOOKUP($A117,StudentRegistry!$A:$D,3,FALSE),"Not found"))</f>
        <v/>
      </c>
      <c r="D117" s="77" t="str">
        <f>IF($A117="","",IFERROR(IF(VLOOKUP($A117,StudentRegistry!$A:$D,4,FALSE)="Active","Yes","Inactive"),"No"))</f>
        <v/>
      </c>
      <c r="E117" s="21"/>
    </row>
    <row r="118" ht="15.75" customHeight="1">
      <c r="A118" s="74"/>
      <c r="C118" s="77" t="str">
        <f>IF($A118="","",IFERROR(VLOOKUP($A118,StudentRegistry!$A:$D,3,FALSE),"Not found"))</f>
        <v/>
      </c>
      <c r="D118" s="77" t="str">
        <f>IF($A118="","",IFERROR(IF(VLOOKUP($A118,StudentRegistry!$A:$D,4,FALSE)="Active","Yes","Inactive"),"No"))</f>
        <v/>
      </c>
      <c r="E118" s="21"/>
    </row>
    <row r="119" ht="15.75" customHeight="1">
      <c r="A119" s="74"/>
      <c r="C119" s="77" t="str">
        <f>IF($A119="","",IFERROR(VLOOKUP($A119,StudentRegistry!$A:$D,3,FALSE),"Not found"))</f>
        <v/>
      </c>
      <c r="D119" s="77" t="str">
        <f>IF($A119="","",IFERROR(IF(VLOOKUP($A119,StudentRegistry!$A:$D,4,FALSE)="Active","Yes","Inactive"),"No"))</f>
        <v/>
      </c>
      <c r="E119" s="21"/>
    </row>
    <row r="120" ht="15.75" customHeight="1">
      <c r="A120" s="74"/>
      <c r="C120" s="77" t="str">
        <f>IF($A120="","",IFERROR(VLOOKUP($A120,StudentRegistry!$A:$D,3,FALSE),"Not found"))</f>
        <v/>
      </c>
      <c r="D120" s="77" t="str">
        <f>IF($A120="","",IFERROR(IF(VLOOKUP($A120,StudentRegistry!$A:$D,4,FALSE)="Active","Yes","Inactive"),"No"))</f>
        <v/>
      </c>
      <c r="E120" s="21"/>
    </row>
    <row r="121" ht="15.75" customHeight="1">
      <c r="A121" s="74"/>
      <c r="C121" s="77" t="str">
        <f>IF($A121="","",IFERROR(VLOOKUP($A121,StudentRegistry!$A:$D,3,FALSE),"Not found"))</f>
        <v/>
      </c>
      <c r="D121" s="77" t="str">
        <f>IF($A121="","",IFERROR(IF(VLOOKUP($A121,StudentRegistry!$A:$D,4,FALSE)="Active","Yes","Inactive"),"No"))</f>
        <v/>
      </c>
      <c r="E121" s="21"/>
    </row>
    <row r="122" ht="15.75" customHeight="1">
      <c r="A122" s="74"/>
      <c r="C122" s="77" t="str">
        <f>IF($A122="","",IFERROR(VLOOKUP($A122,StudentRegistry!$A:$D,3,FALSE),"Not found"))</f>
        <v/>
      </c>
      <c r="D122" s="77" t="str">
        <f>IF($A122="","",IFERROR(IF(VLOOKUP($A122,StudentRegistry!$A:$D,4,FALSE)="Active","Yes","Inactive"),"No"))</f>
        <v/>
      </c>
      <c r="E122" s="21"/>
    </row>
    <row r="123" ht="15.75" customHeight="1">
      <c r="A123" s="74"/>
      <c r="C123" s="77" t="str">
        <f>IF($A123="","",IFERROR(VLOOKUP($A123,StudentRegistry!$A:$D,3,FALSE),"Not found"))</f>
        <v/>
      </c>
      <c r="D123" s="77" t="str">
        <f>IF($A123="","",IFERROR(IF(VLOOKUP($A123,StudentRegistry!$A:$D,4,FALSE)="Active","Yes","Inactive"),"No"))</f>
        <v/>
      </c>
      <c r="E123" s="21"/>
    </row>
    <row r="124" ht="15.75" customHeight="1">
      <c r="A124" s="74"/>
      <c r="C124" s="77" t="str">
        <f>IF($A124="","",IFERROR(VLOOKUP($A124,StudentRegistry!$A:$D,3,FALSE),"Not found"))</f>
        <v/>
      </c>
      <c r="D124" s="77" t="str">
        <f>IF($A124="","",IFERROR(IF(VLOOKUP($A124,StudentRegistry!$A:$D,4,FALSE)="Active","Yes","Inactive"),"No"))</f>
        <v/>
      </c>
      <c r="E124" s="21"/>
    </row>
    <row r="125" ht="15.75" customHeight="1">
      <c r="A125" s="74"/>
      <c r="C125" s="77" t="str">
        <f>IF($A125="","",IFERROR(VLOOKUP($A125,StudentRegistry!$A:$D,3,FALSE),"Not found"))</f>
        <v/>
      </c>
      <c r="D125" s="77" t="str">
        <f>IF($A125="","",IFERROR(IF(VLOOKUP($A125,StudentRegistry!$A:$D,4,FALSE)="Active","Yes","Inactive"),"No"))</f>
        <v/>
      </c>
      <c r="E125" s="21"/>
    </row>
    <row r="126" ht="15.75" customHeight="1">
      <c r="A126" s="74"/>
      <c r="C126" s="77" t="str">
        <f>IF($A126="","",IFERROR(VLOOKUP($A126,StudentRegistry!$A:$D,3,FALSE),"Not found"))</f>
        <v/>
      </c>
      <c r="D126" s="77" t="str">
        <f>IF($A126="","",IFERROR(IF(VLOOKUP($A126,StudentRegistry!$A:$D,4,FALSE)="Active","Yes","Inactive"),"No"))</f>
        <v/>
      </c>
      <c r="E126" s="21"/>
    </row>
    <row r="127" ht="15.75" customHeight="1">
      <c r="A127" s="74"/>
      <c r="C127" s="77" t="str">
        <f>IF($A127="","",IFERROR(VLOOKUP($A127,StudentRegistry!$A:$D,3,FALSE),"Not found"))</f>
        <v/>
      </c>
      <c r="D127" s="77" t="str">
        <f>IF($A127="","",IFERROR(IF(VLOOKUP($A127,StudentRegistry!$A:$D,4,FALSE)="Active","Yes","Inactive"),"No"))</f>
        <v/>
      </c>
      <c r="E127" s="21"/>
    </row>
    <row r="128" ht="15.75" customHeight="1">
      <c r="A128" s="74"/>
      <c r="C128" s="77" t="str">
        <f>IF($A128="","",IFERROR(VLOOKUP($A128,StudentRegistry!$A:$D,3,FALSE),"Not found"))</f>
        <v/>
      </c>
      <c r="D128" s="77" t="str">
        <f>IF($A128="","",IFERROR(IF(VLOOKUP($A128,StudentRegistry!$A:$D,4,FALSE)="Active","Yes","Inactive"),"No"))</f>
        <v/>
      </c>
      <c r="E128" s="21"/>
    </row>
    <row r="129" ht="15.75" customHeight="1">
      <c r="A129" s="74"/>
      <c r="C129" s="77" t="str">
        <f>IF($A129="","",IFERROR(VLOOKUP($A129,StudentRegistry!$A:$D,3,FALSE),"Not found"))</f>
        <v/>
      </c>
      <c r="D129" s="77" t="str">
        <f>IF($A129="","",IFERROR(IF(VLOOKUP($A129,StudentRegistry!$A:$D,4,FALSE)="Active","Yes","Inactive"),"No"))</f>
        <v/>
      </c>
      <c r="E129" s="21"/>
    </row>
    <row r="130" ht="15.75" customHeight="1">
      <c r="A130" s="74"/>
      <c r="C130" s="77" t="str">
        <f>IF($A130="","",IFERROR(VLOOKUP($A130,StudentRegistry!$A:$D,3,FALSE),"Not found"))</f>
        <v/>
      </c>
      <c r="D130" s="77" t="str">
        <f>IF($A130="","",IFERROR(IF(VLOOKUP($A130,StudentRegistry!$A:$D,4,FALSE)="Active","Yes","Inactive"),"No"))</f>
        <v/>
      </c>
      <c r="E130" s="21"/>
    </row>
    <row r="131" ht="15.75" customHeight="1">
      <c r="A131" s="74"/>
      <c r="C131" s="77" t="str">
        <f>IF($A131="","",IFERROR(VLOOKUP($A131,StudentRegistry!$A:$D,3,FALSE),"Not found"))</f>
        <v/>
      </c>
      <c r="D131" s="77" t="str">
        <f>IF($A131="","",IFERROR(IF(VLOOKUP($A131,StudentRegistry!$A:$D,4,FALSE)="Active","Yes","Inactive"),"No"))</f>
        <v/>
      </c>
      <c r="E131" s="21"/>
    </row>
    <row r="132" ht="15.75" customHeight="1">
      <c r="A132" s="74"/>
      <c r="C132" s="77" t="str">
        <f>IF($A132="","",IFERROR(VLOOKUP($A132,StudentRegistry!$A:$D,3,FALSE),"Not found"))</f>
        <v/>
      </c>
      <c r="D132" s="77" t="str">
        <f>IF($A132="","",IFERROR(IF(VLOOKUP($A132,StudentRegistry!$A:$D,4,FALSE)="Active","Yes","Inactive"),"No"))</f>
        <v/>
      </c>
      <c r="E132" s="21"/>
    </row>
    <row r="133" ht="15.75" customHeight="1">
      <c r="A133" s="74"/>
      <c r="C133" s="77" t="str">
        <f>IF($A133="","",IFERROR(VLOOKUP($A133,StudentRegistry!$A:$D,3,FALSE),"Not found"))</f>
        <v/>
      </c>
      <c r="D133" s="77" t="str">
        <f>IF($A133="","",IFERROR(IF(VLOOKUP($A133,StudentRegistry!$A:$D,4,FALSE)="Active","Yes","Inactive"),"No"))</f>
        <v/>
      </c>
      <c r="E133" s="21"/>
    </row>
    <row r="134" ht="15.75" customHeight="1">
      <c r="A134" s="74"/>
      <c r="C134" s="77" t="str">
        <f>IF($A134="","",IFERROR(VLOOKUP($A134,StudentRegistry!$A:$D,3,FALSE),"Not found"))</f>
        <v/>
      </c>
      <c r="D134" s="77" t="str">
        <f>IF($A134="","",IFERROR(IF(VLOOKUP($A134,StudentRegistry!$A:$D,4,FALSE)="Active","Yes","Inactive"),"No"))</f>
        <v/>
      </c>
      <c r="E134" s="21"/>
    </row>
    <row r="135" ht="15.75" customHeight="1">
      <c r="A135" s="74"/>
      <c r="C135" s="77" t="str">
        <f>IF($A135="","",IFERROR(VLOOKUP($A135,StudentRegistry!$A:$D,3,FALSE),"Not found"))</f>
        <v/>
      </c>
      <c r="D135" s="77" t="str">
        <f>IF($A135="","",IFERROR(IF(VLOOKUP($A135,StudentRegistry!$A:$D,4,FALSE)="Active","Yes","Inactive"),"No"))</f>
        <v/>
      </c>
      <c r="E135" s="21"/>
    </row>
    <row r="136" ht="15.75" customHeight="1">
      <c r="A136" s="74"/>
      <c r="C136" s="77" t="str">
        <f>IF($A136="","",IFERROR(VLOOKUP($A136,StudentRegistry!$A:$D,3,FALSE),"Not found"))</f>
        <v/>
      </c>
      <c r="D136" s="77" t="str">
        <f>IF($A136="","",IFERROR(IF(VLOOKUP($A136,StudentRegistry!$A:$D,4,FALSE)="Active","Yes","Inactive"),"No"))</f>
        <v/>
      </c>
      <c r="E136" s="21"/>
    </row>
    <row r="137" ht="15.75" customHeight="1">
      <c r="A137" s="74"/>
      <c r="C137" s="77" t="str">
        <f>IF($A137="","",IFERROR(VLOOKUP($A137,StudentRegistry!$A:$D,3,FALSE),"Not found"))</f>
        <v/>
      </c>
      <c r="D137" s="77" t="str">
        <f>IF($A137="","",IFERROR(IF(VLOOKUP($A137,StudentRegistry!$A:$D,4,FALSE)="Active","Yes","Inactive"),"No"))</f>
        <v/>
      </c>
      <c r="E137" s="21"/>
    </row>
    <row r="138" ht="15.75" customHeight="1">
      <c r="A138" s="74"/>
      <c r="C138" s="77" t="str">
        <f>IF($A138="","",IFERROR(VLOOKUP($A138,StudentRegistry!$A:$D,3,FALSE),"Not found"))</f>
        <v/>
      </c>
      <c r="D138" s="77" t="str">
        <f>IF($A138="","",IFERROR(IF(VLOOKUP($A138,StudentRegistry!$A:$D,4,FALSE)="Active","Yes","Inactive"),"No"))</f>
        <v/>
      </c>
      <c r="E138" s="21"/>
    </row>
    <row r="139" ht="15.75" customHeight="1">
      <c r="A139" s="74"/>
      <c r="C139" s="77" t="str">
        <f>IF($A139="","",IFERROR(VLOOKUP($A139,StudentRegistry!$A:$D,3,FALSE),"Not found"))</f>
        <v/>
      </c>
      <c r="D139" s="77" t="str">
        <f>IF($A139="","",IFERROR(IF(VLOOKUP($A139,StudentRegistry!$A:$D,4,FALSE)="Active","Yes","Inactive"),"No"))</f>
        <v/>
      </c>
      <c r="E139" s="21"/>
    </row>
    <row r="140" ht="15.75" customHeight="1">
      <c r="A140" s="74"/>
      <c r="C140" s="77" t="str">
        <f>IF($A140="","",IFERROR(VLOOKUP($A140,StudentRegistry!$A:$D,3,FALSE),"Not found"))</f>
        <v/>
      </c>
      <c r="D140" s="77" t="str">
        <f>IF($A140="","",IFERROR(IF(VLOOKUP($A140,StudentRegistry!$A:$D,4,FALSE)="Active","Yes","Inactive"),"No"))</f>
        <v/>
      </c>
      <c r="E140" s="21"/>
    </row>
    <row r="141" ht="15.75" customHeight="1">
      <c r="A141" s="74"/>
      <c r="C141" s="77" t="str">
        <f>IF($A141="","",IFERROR(VLOOKUP($A141,StudentRegistry!$A:$D,3,FALSE),"Not found"))</f>
        <v/>
      </c>
      <c r="D141" s="77" t="str">
        <f>IF($A141="","",IFERROR(IF(VLOOKUP($A141,StudentRegistry!$A:$D,4,FALSE)="Active","Yes","Inactive"),"No"))</f>
        <v/>
      </c>
      <c r="E141" s="21"/>
    </row>
    <row r="142" ht="15.75" customHeight="1">
      <c r="A142" s="74"/>
      <c r="C142" s="77" t="str">
        <f>IF($A142="","",IFERROR(VLOOKUP($A142,StudentRegistry!$A:$D,3,FALSE),"Not found"))</f>
        <v/>
      </c>
      <c r="D142" s="77" t="str">
        <f>IF($A142="","",IFERROR(IF(VLOOKUP($A142,StudentRegistry!$A:$D,4,FALSE)="Active","Yes","Inactive"),"No"))</f>
        <v/>
      </c>
      <c r="E142" s="21"/>
    </row>
    <row r="143" ht="15.75" customHeight="1">
      <c r="A143" s="74"/>
      <c r="C143" s="77" t="str">
        <f>IF($A143="","",IFERROR(VLOOKUP($A143,StudentRegistry!$A:$D,3,FALSE),"Not found"))</f>
        <v/>
      </c>
      <c r="D143" s="77" t="str">
        <f>IF($A143="","",IFERROR(IF(VLOOKUP($A143,StudentRegistry!$A:$D,4,FALSE)="Active","Yes","Inactive"),"No"))</f>
        <v/>
      </c>
      <c r="E143" s="21"/>
    </row>
    <row r="144" ht="15.75" customHeight="1">
      <c r="A144" s="74"/>
      <c r="C144" s="77" t="str">
        <f>IF($A144="","",IFERROR(VLOOKUP($A144,StudentRegistry!$A:$D,3,FALSE),"Not found"))</f>
        <v/>
      </c>
      <c r="D144" s="77" t="str">
        <f>IF($A144="","",IFERROR(IF(VLOOKUP($A144,StudentRegistry!$A:$D,4,FALSE)="Active","Yes","Inactive"),"No"))</f>
        <v/>
      </c>
      <c r="E144" s="21"/>
    </row>
    <row r="145" ht="15.75" customHeight="1">
      <c r="A145" s="74"/>
      <c r="C145" s="77" t="str">
        <f>IF($A145="","",IFERROR(VLOOKUP($A145,StudentRegistry!$A:$D,3,FALSE),"Not found"))</f>
        <v/>
      </c>
      <c r="D145" s="77" t="str">
        <f>IF($A145="","",IFERROR(IF(VLOOKUP($A145,StudentRegistry!$A:$D,4,FALSE)="Active","Yes","Inactive"),"No"))</f>
        <v/>
      </c>
      <c r="E145" s="21"/>
    </row>
    <row r="146" ht="15.75" customHeight="1">
      <c r="A146" s="74"/>
      <c r="C146" s="77" t="str">
        <f>IF($A146="","",IFERROR(VLOOKUP($A146,StudentRegistry!$A:$D,3,FALSE),"Not found"))</f>
        <v/>
      </c>
      <c r="D146" s="77" t="str">
        <f>IF($A146="","",IFERROR(IF(VLOOKUP($A146,StudentRegistry!$A:$D,4,FALSE)="Active","Yes","Inactive"),"No"))</f>
        <v/>
      </c>
      <c r="E146" s="21"/>
    </row>
    <row r="147" ht="15.75" customHeight="1">
      <c r="A147" s="74"/>
      <c r="C147" s="77" t="str">
        <f>IF($A147="","",IFERROR(VLOOKUP($A147,StudentRegistry!$A:$D,3,FALSE),"Not found"))</f>
        <v/>
      </c>
      <c r="D147" s="77" t="str">
        <f>IF($A147="","",IFERROR(IF(VLOOKUP($A147,StudentRegistry!$A:$D,4,FALSE)="Active","Yes","Inactive"),"No"))</f>
        <v/>
      </c>
      <c r="E147" s="21"/>
    </row>
    <row r="148" ht="15.75" customHeight="1">
      <c r="A148" s="74"/>
      <c r="C148" s="77" t="str">
        <f>IF($A148="","",IFERROR(VLOOKUP($A148,StudentRegistry!$A:$D,3,FALSE),"Not found"))</f>
        <v/>
      </c>
      <c r="D148" s="77" t="str">
        <f>IF($A148="","",IFERROR(IF(VLOOKUP($A148,StudentRegistry!$A:$D,4,FALSE)="Active","Yes","Inactive"),"No"))</f>
        <v/>
      </c>
      <c r="E148" s="21"/>
    </row>
    <row r="149" ht="15.75" customHeight="1">
      <c r="A149" s="74"/>
      <c r="C149" s="77" t="str">
        <f>IF($A149="","",IFERROR(VLOOKUP($A149,StudentRegistry!$A:$D,3,FALSE),"Not found"))</f>
        <v/>
      </c>
      <c r="D149" s="77" t="str">
        <f>IF($A149="","",IFERROR(IF(VLOOKUP($A149,StudentRegistry!$A:$D,4,FALSE)="Active","Yes","Inactive"),"No"))</f>
        <v/>
      </c>
      <c r="E149" s="21"/>
    </row>
    <row r="150" ht="15.75" customHeight="1">
      <c r="A150" s="74"/>
      <c r="C150" s="77" t="str">
        <f>IF($A150="","",IFERROR(VLOOKUP($A150,StudentRegistry!$A:$D,3,FALSE),"Not found"))</f>
        <v/>
      </c>
      <c r="D150" s="77" t="str">
        <f>IF($A150="","",IFERROR(IF(VLOOKUP($A150,StudentRegistry!$A:$D,4,FALSE)="Active","Yes","Inactive"),"No"))</f>
        <v/>
      </c>
      <c r="E150" s="21"/>
    </row>
    <row r="151" ht="15.75" customHeight="1">
      <c r="A151" s="74"/>
      <c r="C151" s="77" t="str">
        <f>IF($A151="","",IFERROR(VLOOKUP($A151,StudentRegistry!$A:$D,3,FALSE),"Not found"))</f>
        <v/>
      </c>
      <c r="D151" s="77" t="str">
        <f>IF($A151="","",IFERROR(IF(VLOOKUP($A151,StudentRegistry!$A:$D,4,FALSE)="Active","Yes","Inactive"),"No"))</f>
        <v/>
      </c>
      <c r="E151" s="21"/>
    </row>
    <row r="152" ht="15.75" customHeight="1">
      <c r="A152" s="74"/>
      <c r="C152" s="77" t="str">
        <f>IF($A152="","",IFERROR(VLOOKUP($A152,StudentRegistry!$A:$D,3,FALSE),"Not found"))</f>
        <v/>
      </c>
      <c r="D152" s="77" t="str">
        <f>IF($A152="","",IFERROR(IF(VLOOKUP($A152,StudentRegistry!$A:$D,4,FALSE)="Active","Yes","Inactive"),"No"))</f>
        <v/>
      </c>
      <c r="E152" s="21"/>
    </row>
    <row r="153" ht="15.75" customHeight="1">
      <c r="A153" s="74"/>
      <c r="C153" s="77" t="str">
        <f>IF($A153="","",IFERROR(VLOOKUP($A153,StudentRegistry!$A:$D,3,FALSE),"Not found"))</f>
        <v/>
      </c>
      <c r="D153" s="77" t="str">
        <f>IF($A153="","",IFERROR(IF(VLOOKUP($A153,StudentRegistry!$A:$D,4,FALSE)="Active","Yes","Inactive"),"No"))</f>
        <v/>
      </c>
      <c r="E153" s="21"/>
    </row>
    <row r="154" ht="15.75" customHeight="1">
      <c r="A154" s="74"/>
      <c r="C154" s="77" t="str">
        <f>IF($A154="","",IFERROR(VLOOKUP($A154,StudentRegistry!$A:$D,3,FALSE),"Not found"))</f>
        <v/>
      </c>
      <c r="D154" s="77" t="str">
        <f>IF($A154="","",IFERROR(IF(VLOOKUP($A154,StudentRegistry!$A:$D,4,FALSE)="Active","Yes","Inactive"),"No"))</f>
        <v/>
      </c>
      <c r="E154" s="21"/>
    </row>
    <row r="155" ht="15.75" customHeight="1">
      <c r="A155" s="74"/>
      <c r="C155" s="77" t="str">
        <f>IF($A155="","",IFERROR(VLOOKUP($A155,StudentRegistry!$A:$D,3,FALSE),"Not found"))</f>
        <v/>
      </c>
      <c r="D155" s="77" t="str">
        <f>IF($A155="","",IFERROR(IF(VLOOKUP($A155,StudentRegistry!$A:$D,4,FALSE)="Active","Yes","Inactive"),"No"))</f>
        <v/>
      </c>
      <c r="E155" s="21"/>
    </row>
    <row r="156" ht="15.75" customHeight="1">
      <c r="A156" s="74"/>
      <c r="C156" s="77" t="str">
        <f>IF($A156="","",IFERROR(VLOOKUP($A156,StudentRegistry!$A:$D,3,FALSE),"Not found"))</f>
        <v/>
      </c>
      <c r="D156" s="77" t="str">
        <f>IF($A156="","",IFERROR(IF(VLOOKUP($A156,StudentRegistry!$A:$D,4,FALSE)="Active","Yes","Inactive"),"No"))</f>
        <v/>
      </c>
      <c r="E156" s="21"/>
    </row>
    <row r="157" ht="15.75" customHeight="1">
      <c r="A157" s="74"/>
      <c r="C157" s="77" t="str">
        <f>IF($A157="","",IFERROR(VLOOKUP($A157,StudentRegistry!$A:$D,3,FALSE),"Not found"))</f>
        <v/>
      </c>
      <c r="D157" s="77" t="str">
        <f>IF($A157="","",IFERROR(IF(VLOOKUP($A157,StudentRegistry!$A:$D,4,FALSE)="Active","Yes","Inactive"),"No"))</f>
        <v/>
      </c>
      <c r="E157" s="21"/>
    </row>
    <row r="158" ht="15.75" customHeight="1">
      <c r="A158" s="74"/>
      <c r="C158" s="77" t="str">
        <f>IF($A158="","",IFERROR(VLOOKUP($A158,StudentRegistry!$A:$D,3,FALSE),"Not found"))</f>
        <v/>
      </c>
      <c r="D158" s="77" t="str">
        <f>IF($A158="","",IFERROR(IF(VLOOKUP($A158,StudentRegistry!$A:$D,4,FALSE)="Active","Yes","Inactive"),"No"))</f>
        <v/>
      </c>
      <c r="E158" s="21"/>
    </row>
    <row r="159" ht="15.75" customHeight="1">
      <c r="A159" s="74"/>
      <c r="C159" s="77" t="str">
        <f>IF($A159="","",IFERROR(VLOOKUP($A159,StudentRegistry!$A:$D,3,FALSE),"Not found"))</f>
        <v/>
      </c>
      <c r="D159" s="77" t="str">
        <f>IF($A159="","",IFERROR(IF(VLOOKUP($A159,StudentRegistry!$A:$D,4,FALSE)="Active","Yes","Inactive"),"No"))</f>
        <v/>
      </c>
      <c r="E159" s="21"/>
    </row>
    <row r="160" ht="15.75" customHeight="1">
      <c r="A160" s="74"/>
      <c r="C160" s="77" t="str">
        <f>IF($A160="","",IFERROR(VLOOKUP($A160,StudentRegistry!$A:$D,3,FALSE),"Not found"))</f>
        <v/>
      </c>
      <c r="D160" s="77" t="str">
        <f>IF($A160="","",IFERROR(IF(VLOOKUP($A160,StudentRegistry!$A:$D,4,FALSE)="Active","Yes","Inactive"),"No"))</f>
        <v/>
      </c>
      <c r="E160" s="21"/>
    </row>
    <row r="161" ht="15.75" customHeight="1">
      <c r="A161" s="74"/>
      <c r="C161" s="77" t="str">
        <f>IF($A161="","",IFERROR(VLOOKUP($A161,StudentRegistry!$A:$D,3,FALSE),"Not found"))</f>
        <v/>
      </c>
      <c r="D161" s="77" t="str">
        <f>IF($A161="","",IFERROR(IF(VLOOKUP($A161,StudentRegistry!$A:$D,4,FALSE)="Active","Yes","Inactive"),"No"))</f>
        <v/>
      </c>
      <c r="E161" s="21"/>
    </row>
    <row r="162" ht="15.75" customHeight="1">
      <c r="A162" s="74"/>
      <c r="C162" s="77" t="str">
        <f>IF($A162="","",IFERROR(VLOOKUP($A162,StudentRegistry!$A:$D,3,FALSE),"Not found"))</f>
        <v/>
      </c>
      <c r="D162" s="77" t="str">
        <f>IF($A162="","",IFERROR(IF(VLOOKUP($A162,StudentRegistry!$A:$D,4,FALSE)="Active","Yes","Inactive"),"No"))</f>
        <v/>
      </c>
      <c r="E162" s="21"/>
    </row>
    <row r="163" ht="15.75" customHeight="1">
      <c r="A163" s="74"/>
      <c r="C163" s="77" t="str">
        <f>IF($A163="","",IFERROR(VLOOKUP($A163,StudentRegistry!$A:$D,3,FALSE),"Not found"))</f>
        <v/>
      </c>
      <c r="D163" s="77" t="str">
        <f>IF($A163="","",IFERROR(IF(VLOOKUP($A163,StudentRegistry!$A:$D,4,FALSE)="Active","Yes","Inactive"),"No"))</f>
        <v/>
      </c>
      <c r="E163" s="21"/>
    </row>
    <row r="164" ht="15.75" customHeight="1">
      <c r="A164" s="74"/>
      <c r="C164" s="77" t="str">
        <f>IF($A164="","",IFERROR(VLOOKUP($A164,StudentRegistry!$A:$D,3,FALSE),"Not found"))</f>
        <v/>
      </c>
      <c r="D164" s="77" t="str">
        <f>IF($A164="","",IFERROR(IF(VLOOKUP($A164,StudentRegistry!$A:$D,4,FALSE)="Active","Yes","Inactive"),"No"))</f>
        <v/>
      </c>
      <c r="E164" s="21"/>
    </row>
    <row r="165" ht="15.75" customHeight="1">
      <c r="A165" s="74"/>
      <c r="C165" s="77" t="str">
        <f>IF($A165="","",IFERROR(VLOOKUP($A165,StudentRegistry!$A:$D,3,FALSE),"Not found"))</f>
        <v/>
      </c>
      <c r="D165" s="77" t="str">
        <f>IF($A165="","",IFERROR(IF(VLOOKUP($A165,StudentRegistry!$A:$D,4,FALSE)="Active","Yes","Inactive"),"No"))</f>
        <v/>
      </c>
      <c r="E165" s="21"/>
    </row>
    <row r="166" ht="15.75" customHeight="1">
      <c r="A166" s="74"/>
      <c r="C166" s="77" t="str">
        <f>IF($A166="","",IFERROR(VLOOKUP($A166,StudentRegistry!$A:$D,3,FALSE),"Not found"))</f>
        <v/>
      </c>
      <c r="D166" s="77" t="str">
        <f>IF($A166="","",IFERROR(IF(VLOOKUP($A166,StudentRegistry!$A:$D,4,FALSE)="Active","Yes","Inactive"),"No"))</f>
        <v/>
      </c>
      <c r="E166" s="21"/>
    </row>
    <row r="167" ht="15.75" customHeight="1">
      <c r="A167" s="74"/>
      <c r="C167" s="77" t="str">
        <f>IF($A167="","",IFERROR(VLOOKUP($A167,StudentRegistry!$A:$D,3,FALSE),"Not found"))</f>
        <v/>
      </c>
      <c r="D167" s="77" t="str">
        <f>IF($A167="","",IFERROR(IF(VLOOKUP($A167,StudentRegistry!$A:$D,4,FALSE)="Active","Yes","Inactive"),"No"))</f>
        <v/>
      </c>
      <c r="E167" s="21"/>
    </row>
    <row r="168" ht="15.75" customHeight="1">
      <c r="A168" s="74"/>
      <c r="C168" s="77" t="str">
        <f>IF($A168="","",IFERROR(VLOOKUP($A168,StudentRegistry!$A:$D,3,FALSE),"Not found"))</f>
        <v/>
      </c>
      <c r="D168" s="77" t="str">
        <f>IF($A168="","",IFERROR(IF(VLOOKUP($A168,StudentRegistry!$A:$D,4,FALSE)="Active","Yes","Inactive"),"No"))</f>
        <v/>
      </c>
      <c r="E168" s="21"/>
    </row>
    <row r="169" ht="15.75" customHeight="1">
      <c r="A169" s="74"/>
      <c r="C169" s="77" t="str">
        <f>IF($A169="","",IFERROR(VLOOKUP($A169,StudentRegistry!$A:$D,3,FALSE),"Not found"))</f>
        <v/>
      </c>
      <c r="D169" s="77" t="str">
        <f>IF($A169="","",IFERROR(IF(VLOOKUP($A169,StudentRegistry!$A:$D,4,FALSE)="Active","Yes","Inactive"),"No"))</f>
        <v/>
      </c>
      <c r="E169" s="21"/>
    </row>
    <row r="170" ht="15.75" customHeight="1">
      <c r="A170" s="74"/>
      <c r="C170" s="77" t="str">
        <f>IF($A170="","",IFERROR(VLOOKUP($A170,StudentRegistry!$A:$D,3,FALSE),"Not found"))</f>
        <v/>
      </c>
      <c r="D170" s="77" t="str">
        <f>IF($A170="","",IFERROR(IF(VLOOKUP($A170,StudentRegistry!$A:$D,4,FALSE)="Active","Yes","Inactive"),"No"))</f>
        <v/>
      </c>
      <c r="E170" s="21"/>
    </row>
    <row r="171" ht="15.75" customHeight="1">
      <c r="A171" s="74"/>
      <c r="C171" s="77" t="str">
        <f>IF($A171="","",IFERROR(VLOOKUP($A171,StudentRegistry!$A:$D,3,FALSE),"Not found"))</f>
        <v/>
      </c>
      <c r="D171" s="77" t="str">
        <f>IF($A171="","",IFERROR(IF(VLOOKUP($A171,StudentRegistry!$A:$D,4,FALSE)="Active","Yes","Inactive"),"No"))</f>
        <v/>
      </c>
      <c r="E171" s="21"/>
    </row>
    <row r="172" ht="15.75" customHeight="1">
      <c r="A172" s="74"/>
      <c r="C172" s="77" t="str">
        <f>IF($A172="","",IFERROR(VLOOKUP($A172,StudentRegistry!$A:$D,3,FALSE),"Not found"))</f>
        <v/>
      </c>
      <c r="D172" s="77" t="str">
        <f>IF($A172="","",IFERROR(IF(VLOOKUP($A172,StudentRegistry!$A:$D,4,FALSE)="Active","Yes","Inactive"),"No"))</f>
        <v/>
      </c>
      <c r="E172" s="21"/>
    </row>
    <row r="173" ht="15.75" customHeight="1">
      <c r="A173" s="74"/>
      <c r="C173" s="77" t="str">
        <f>IF($A173="","",IFERROR(VLOOKUP($A173,StudentRegistry!$A:$D,3,FALSE),"Not found"))</f>
        <v/>
      </c>
      <c r="D173" s="77" t="str">
        <f>IF($A173="","",IFERROR(IF(VLOOKUP($A173,StudentRegistry!$A:$D,4,FALSE)="Active","Yes","Inactive"),"No"))</f>
        <v/>
      </c>
      <c r="E173" s="21"/>
    </row>
    <row r="174" ht="15.75" customHeight="1">
      <c r="A174" s="74"/>
      <c r="C174" s="77" t="str">
        <f>IF($A174="","",IFERROR(VLOOKUP($A174,StudentRegistry!$A:$D,3,FALSE),"Not found"))</f>
        <v/>
      </c>
      <c r="D174" s="77" t="str">
        <f>IF($A174="","",IFERROR(IF(VLOOKUP($A174,StudentRegistry!$A:$D,4,FALSE)="Active","Yes","Inactive"),"No"))</f>
        <v/>
      </c>
      <c r="E174" s="21"/>
    </row>
    <row r="175" ht="15.75" customHeight="1">
      <c r="A175" s="74"/>
      <c r="C175" s="77" t="str">
        <f>IF($A175="","",IFERROR(VLOOKUP($A175,StudentRegistry!$A:$D,3,FALSE),"Not found"))</f>
        <v/>
      </c>
      <c r="D175" s="77" t="str">
        <f>IF($A175="","",IFERROR(IF(VLOOKUP($A175,StudentRegistry!$A:$D,4,FALSE)="Active","Yes","Inactive"),"No"))</f>
        <v/>
      </c>
      <c r="E175" s="21"/>
    </row>
    <row r="176" ht="15.75" customHeight="1">
      <c r="A176" s="74"/>
      <c r="C176" s="77" t="str">
        <f>IF($A176="","",IFERROR(VLOOKUP($A176,StudentRegistry!$A:$D,3,FALSE),"Not found"))</f>
        <v/>
      </c>
      <c r="D176" s="77" t="str">
        <f>IF($A176="","",IFERROR(IF(VLOOKUP($A176,StudentRegistry!$A:$D,4,FALSE)="Active","Yes","Inactive"),"No"))</f>
        <v/>
      </c>
      <c r="E176" s="21"/>
    </row>
    <row r="177" ht="15.75" customHeight="1">
      <c r="A177" s="74"/>
      <c r="C177" s="77" t="str">
        <f>IF($A177="","",IFERROR(VLOOKUP($A177,StudentRegistry!$A:$D,3,FALSE),"Not found"))</f>
        <v/>
      </c>
      <c r="D177" s="77" t="str">
        <f>IF($A177="","",IFERROR(IF(VLOOKUP($A177,StudentRegistry!$A:$D,4,FALSE)="Active","Yes","Inactive"),"No"))</f>
        <v/>
      </c>
      <c r="E177" s="21"/>
    </row>
    <row r="178" ht="15.75" customHeight="1">
      <c r="A178" s="74"/>
      <c r="C178" s="77" t="str">
        <f>IF($A178="","",IFERROR(VLOOKUP($A178,StudentRegistry!$A:$D,3,FALSE),"Not found"))</f>
        <v/>
      </c>
      <c r="D178" s="77" t="str">
        <f>IF($A178="","",IFERROR(IF(VLOOKUP($A178,StudentRegistry!$A:$D,4,FALSE)="Active","Yes","Inactive"),"No"))</f>
        <v/>
      </c>
      <c r="E178" s="21"/>
    </row>
    <row r="179" ht="15.75" customHeight="1">
      <c r="A179" s="74"/>
      <c r="C179" s="77" t="str">
        <f>IF($A179="","",IFERROR(VLOOKUP($A179,StudentRegistry!$A:$D,3,FALSE),"Not found"))</f>
        <v/>
      </c>
      <c r="D179" s="77" t="str">
        <f>IF($A179="","",IFERROR(IF(VLOOKUP($A179,StudentRegistry!$A:$D,4,FALSE)="Active","Yes","Inactive"),"No"))</f>
        <v/>
      </c>
      <c r="E179" s="21"/>
    </row>
    <row r="180" ht="15.75" customHeight="1">
      <c r="A180" s="74"/>
      <c r="C180" s="77" t="str">
        <f>IF($A180="","",IFERROR(VLOOKUP($A180,StudentRegistry!$A:$D,3,FALSE),"Not found"))</f>
        <v/>
      </c>
      <c r="D180" s="77" t="str">
        <f>IF($A180="","",IFERROR(IF(VLOOKUP($A180,StudentRegistry!$A:$D,4,FALSE)="Active","Yes","Inactive"),"No"))</f>
        <v/>
      </c>
      <c r="E180" s="21"/>
    </row>
    <row r="181" ht="15.75" customHeight="1">
      <c r="A181" s="74"/>
      <c r="C181" s="77" t="str">
        <f>IF($A181="","",IFERROR(VLOOKUP($A181,StudentRegistry!$A:$D,3,FALSE),"Not found"))</f>
        <v/>
      </c>
      <c r="D181" s="77" t="str">
        <f>IF($A181="","",IFERROR(IF(VLOOKUP($A181,StudentRegistry!$A:$D,4,FALSE)="Active","Yes","Inactive"),"No"))</f>
        <v/>
      </c>
      <c r="E181" s="21"/>
    </row>
    <row r="182" ht="15.75" customHeight="1">
      <c r="A182" s="74"/>
      <c r="C182" s="77" t="str">
        <f>IF($A182="","",IFERROR(VLOOKUP($A182,StudentRegistry!$A:$D,3,FALSE),"Not found"))</f>
        <v/>
      </c>
      <c r="D182" s="77" t="str">
        <f>IF($A182="","",IFERROR(IF(VLOOKUP($A182,StudentRegistry!$A:$D,4,FALSE)="Active","Yes","Inactive"),"No"))</f>
        <v/>
      </c>
      <c r="E182" s="21"/>
    </row>
    <row r="183" ht="15.75" customHeight="1">
      <c r="A183" s="74"/>
      <c r="C183" s="77" t="str">
        <f>IF($A183="","",IFERROR(VLOOKUP($A183,StudentRegistry!$A:$D,3,FALSE),"Not found"))</f>
        <v/>
      </c>
      <c r="D183" s="77" t="str">
        <f>IF($A183="","",IFERROR(IF(VLOOKUP($A183,StudentRegistry!$A:$D,4,FALSE)="Active","Yes","Inactive"),"No"))</f>
        <v/>
      </c>
      <c r="E183" s="21"/>
    </row>
    <row r="184" ht="15.75" customHeight="1">
      <c r="A184" s="74"/>
      <c r="C184" s="77" t="str">
        <f>IF($A184="","",IFERROR(VLOOKUP($A184,StudentRegistry!$A:$D,3,FALSE),"Not found"))</f>
        <v/>
      </c>
      <c r="D184" s="77" t="str">
        <f>IF($A184="","",IFERROR(IF(VLOOKUP($A184,StudentRegistry!$A:$D,4,FALSE)="Active","Yes","Inactive"),"No"))</f>
        <v/>
      </c>
      <c r="E184" s="21"/>
    </row>
    <row r="185" ht="15.75" customHeight="1">
      <c r="A185" s="74"/>
      <c r="C185" s="77" t="str">
        <f>IF($A185="","",IFERROR(VLOOKUP($A185,StudentRegistry!$A:$D,3,FALSE),"Not found"))</f>
        <v/>
      </c>
      <c r="D185" s="77" t="str">
        <f>IF($A185="","",IFERROR(IF(VLOOKUP($A185,StudentRegistry!$A:$D,4,FALSE)="Active","Yes","Inactive"),"No"))</f>
        <v/>
      </c>
      <c r="E185" s="21"/>
    </row>
    <row r="186" ht="15.75" customHeight="1">
      <c r="A186" s="74"/>
      <c r="C186" s="77" t="str">
        <f>IF($A186="","",IFERROR(VLOOKUP($A186,StudentRegistry!$A:$D,3,FALSE),"Not found"))</f>
        <v/>
      </c>
      <c r="D186" s="77" t="str">
        <f>IF($A186="","",IFERROR(IF(VLOOKUP($A186,StudentRegistry!$A:$D,4,FALSE)="Active","Yes","Inactive"),"No"))</f>
        <v/>
      </c>
      <c r="E186" s="21"/>
    </row>
    <row r="187" ht="15.75" customHeight="1">
      <c r="A187" s="74"/>
      <c r="C187" s="77" t="str">
        <f>IF($A187="","",IFERROR(VLOOKUP($A187,StudentRegistry!$A:$D,3,FALSE),"Not found"))</f>
        <v/>
      </c>
      <c r="D187" s="77" t="str">
        <f>IF($A187="","",IFERROR(IF(VLOOKUP($A187,StudentRegistry!$A:$D,4,FALSE)="Active","Yes","Inactive"),"No"))</f>
        <v/>
      </c>
      <c r="E187" s="21"/>
    </row>
    <row r="188" ht="15.75" customHeight="1">
      <c r="A188" s="74"/>
      <c r="C188" s="77" t="str">
        <f>IF($A188="","",IFERROR(VLOOKUP($A188,StudentRegistry!$A:$D,3,FALSE),"Not found"))</f>
        <v/>
      </c>
      <c r="D188" s="77" t="str">
        <f>IF($A188="","",IFERROR(IF(VLOOKUP($A188,StudentRegistry!$A:$D,4,FALSE)="Active","Yes","Inactive"),"No"))</f>
        <v/>
      </c>
      <c r="E188" s="21"/>
    </row>
    <row r="189" ht="15.75" customHeight="1">
      <c r="A189" s="74"/>
      <c r="C189" s="77" t="str">
        <f>IF($A189="","",IFERROR(VLOOKUP($A189,StudentRegistry!$A:$D,3,FALSE),"Not found"))</f>
        <v/>
      </c>
      <c r="D189" s="77" t="str">
        <f>IF($A189="","",IFERROR(IF(VLOOKUP($A189,StudentRegistry!$A:$D,4,FALSE)="Active","Yes","Inactive"),"No"))</f>
        <v/>
      </c>
      <c r="E189" s="21"/>
    </row>
    <row r="190" ht="15.75" customHeight="1">
      <c r="A190" s="74"/>
      <c r="C190" s="77" t="str">
        <f>IF($A190="","",IFERROR(VLOOKUP($A190,StudentRegistry!$A:$D,3,FALSE),"Not found"))</f>
        <v/>
      </c>
      <c r="D190" s="77" t="str">
        <f>IF($A190="","",IFERROR(IF(VLOOKUP($A190,StudentRegistry!$A:$D,4,FALSE)="Active","Yes","Inactive"),"No"))</f>
        <v/>
      </c>
      <c r="E190" s="21"/>
    </row>
    <row r="191" ht="15.75" customHeight="1">
      <c r="A191" s="74"/>
      <c r="C191" s="77" t="str">
        <f>IF($A191="","",IFERROR(VLOOKUP($A191,StudentRegistry!$A:$D,3,FALSE),"Not found"))</f>
        <v/>
      </c>
      <c r="D191" s="77" t="str">
        <f>IF($A191="","",IFERROR(IF(VLOOKUP($A191,StudentRegistry!$A:$D,4,FALSE)="Active","Yes","Inactive"),"No"))</f>
        <v/>
      </c>
      <c r="E191" s="21"/>
    </row>
    <row r="192" ht="15.75" customHeight="1">
      <c r="A192" s="74"/>
      <c r="C192" s="77" t="str">
        <f>IF($A192="","",IFERROR(VLOOKUP($A192,StudentRegistry!$A:$D,3,FALSE),"Not found"))</f>
        <v/>
      </c>
      <c r="D192" s="77" t="str">
        <f>IF($A192="","",IFERROR(IF(VLOOKUP($A192,StudentRegistry!$A:$D,4,FALSE)="Active","Yes","Inactive"),"No"))</f>
        <v/>
      </c>
      <c r="E192" s="21"/>
    </row>
    <row r="193" ht="15.75" customHeight="1">
      <c r="A193" s="74"/>
      <c r="C193" s="77" t="str">
        <f>IF($A193="","",IFERROR(VLOOKUP($A193,StudentRegistry!$A:$D,3,FALSE),"Not found"))</f>
        <v/>
      </c>
      <c r="D193" s="77" t="str">
        <f>IF($A193="","",IFERROR(IF(VLOOKUP($A193,StudentRegistry!$A:$D,4,FALSE)="Active","Yes","Inactive"),"No"))</f>
        <v/>
      </c>
      <c r="E193" s="21"/>
    </row>
    <row r="194" ht="15.75" customHeight="1">
      <c r="A194" s="74"/>
      <c r="C194" s="77" t="str">
        <f>IF($A194="","",IFERROR(VLOOKUP($A194,StudentRegistry!$A:$D,3,FALSE),"Not found"))</f>
        <v/>
      </c>
      <c r="D194" s="77" t="str">
        <f>IF($A194="","",IFERROR(IF(VLOOKUP($A194,StudentRegistry!$A:$D,4,FALSE)="Active","Yes","Inactive"),"No"))</f>
        <v/>
      </c>
      <c r="E194" s="21"/>
    </row>
    <row r="195" ht="15.75" customHeight="1">
      <c r="A195" s="74"/>
      <c r="C195" s="77" t="str">
        <f>IF($A195="","",IFERROR(VLOOKUP($A195,StudentRegistry!$A:$D,3,FALSE),"Not found"))</f>
        <v/>
      </c>
      <c r="D195" s="77" t="str">
        <f>IF($A195="","",IFERROR(IF(VLOOKUP($A195,StudentRegistry!$A:$D,4,FALSE)="Active","Yes","Inactive"),"No"))</f>
        <v/>
      </c>
      <c r="E195" s="21"/>
    </row>
    <row r="196" ht="15.75" customHeight="1">
      <c r="A196" s="74"/>
      <c r="C196" s="77" t="str">
        <f>IF($A196="","",IFERROR(VLOOKUP($A196,StudentRegistry!$A:$D,3,FALSE),"Not found"))</f>
        <v/>
      </c>
      <c r="D196" s="77" t="str">
        <f>IF($A196="","",IFERROR(IF(VLOOKUP($A196,StudentRegistry!$A:$D,4,FALSE)="Active","Yes","Inactive"),"No"))</f>
        <v/>
      </c>
      <c r="E196" s="21"/>
    </row>
    <row r="197" ht="15.75" customHeight="1">
      <c r="A197" s="74"/>
      <c r="C197" s="77" t="str">
        <f>IF($A197="","",IFERROR(VLOOKUP($A197,StudentRegistry!$A:$D,3,FALSE),"Not found"))</f>
        <v/>
      </c>
      <c r="D197" s="77" t="str">
        <f>IF($A197="","",IFERROR(IF(VLOOKUP($A197,StudentRegistry!$A:$D,4,FALSE)="Active","Yes","Inactive"),"No"))</f>
        <v/>
      </c>
      <c r="E197" s="21"/>
    </row>
    <row r="198" ht="15.75" customHeight="1">
      <c r="A198" s="74"/>
      <c r="C198" s="77" t="str">
        <f>IF($A198="","",IFERROR(VLOOKUP($A198,StudentRegistry!$A:$D,3,FALSE),"Not found"))</f>
        <v/>
      </c>
      <c r="D198" s="77" t="str">
        <f>IF($A198="","",IFERROR(IF(VLOOKUP($A198,StudentRegistry!$A:$D,4,FALSE)="Active","Yes","Inactive"),"No"))</f>
        <v/>
      </c>
      <c r="E198" s="21"/>
    </row>
    <row r="199" ht="15.75" customHeight="1">
      <c r="A199" s="74"/>
      <c r="C199" s="77" t="str">
        <f>IF($A199="","",IFERROR(VLOOKUP($A199,StudentRegistry!$A:$D,3,FALSE),"Not found"))</f>
        <v/>
      </c>
      <c r="D199" s="77" t="str">
        <f>IF($A199="","",IFERROR(IF(VLOOKUP($A199,StudentRegistry!$A:$D,4,FALSE)="Active","Yes","Inactive"),"No"))</f>
        <v/>
      </c>
      <c r="E199" s="21"/>
    </row>
    <row r="200" ht="15.75" customHeight="1">
      <c r="A200" s="74"/>
      <c r="C200" s="77" t="str">
        <f>IF($A200="","",IFERROR(VLOOKUP($A200,StudentRegistry!$A:$D,3,FALSE),"Not found"))</f>
        <v/>
      </c>
      <c r="D200" s="77" t="str">
        <f>IF($A200="","",IFERROR(IF(VLOOKUP($A200,StudentRegistry!$A:$D,4,FALSE)="Active","Yes","Inactive"),"No"))</f>
        <v/>
      </c>
      <c r="E200" s="21"/>
    </row>
    <row r="201" ht="15.75" customHeight="1">
      <c r="A201" s="74"/>
      <c r="C201" s="77" t="str">
        <f>IF($A201="","",IFERROR(VLOOKUP($A201,StudentRegistry!$A:$D,3,FALSE),"Not found"))</f>
        <v/>
      </c>
      <c r="D201" s="77" t="str">
        <f>IF($A201="","",IFERROR(IF(VLOOKUP($A201,StudentRegistry!$A:$D,4,FALSE)="Active","Yes","Inactive"),"No"))</f>
        <v/>
      </c>
      <c r="E201" s="21"/>
    </row>
    <row r="202" ht="15.75" customHeight="1">
      <c r="A202" s="74"/>
      <c r="C202" s="77" t="str">
        <f>IF($A202="","",IFERROR(VLOOKUP($A202,StudentRegistry!$A:$D,3,FALSE),"Not found"))</f>
        <v/>
      </c>
      <c r="D202" s="77" t="str">
        <f>IF($A202="","",IFERROR(IF(VLOOKUP($A202,StudentRegistry!$A:$D,4,FALSE)="Active","Yes","Inactive"),"No"))</f>
        <v/>
      </c>
      <c r="E202" s="21"/>
    </row>
    <row r="203" ht="15.75" customHeight="1">
      <c r="A203" s="74"/>
      <c r="C203" s="77" t="str">
        <f>IF($A203="","",IFERROR(VLOOKUP($A203,StudentRegistry!$A:$D,3,FALSE),"Not found"))</f>
        <v/>
      </c>
      <c r="D203" s="77" t="str">
        <f>IF($A203="","",IFERROR(IF(VLOOKUP($A203,StudentRegistry!$A:$D,4,FALSE)="Active","Yes","Inactive"),"No"))</f>
        <v/>
      </c>
      <c r="E203" s="21"/>
    </row>
    <row r="204" ht="15.75" customHeight="1">
      <c r="A204" s="74"/>
      <c r="C204" s="77" t="str">
        <f>IF($A204="","",IFERROR(VLOOKUP($A204,StudentRegistry!$A:$D,3,FALSE),"Not found"))</f>
        <v/>
      </c>
      <c r="D204" s="77" t="str">
        <f>IF($A204="","",IFERROR(IF(VLOOKUP($A204,StudentRegistry!$A:$D,4,FALSE)="Active","Yes","Inactive"),"No"))</f>
        <v/>
      </c>
      <c r="E204" s="21"/>
    </row>
    <row r="205" ht="15.75" customHeight="1">
      <c r="A205" s="74"/>
      <c r="C205" s="77" t="str">
        <f>IF($A205="","",IFERROR(VLOOKUP($A205,StudentRegistry!$A:$D,3,FALSE),"Not found"))</f>
        <v/>
      </c>
      <c r="D205" s="77" t="str">
        <f>IF($A205="","",IFERROR(IF(VLOOKUP($A205,StudentRegistry!$A:$D,4,FALSE)="Active","Yes","Inactive"),"No"))</f>
        <v/>
      </c>
      <c r="E205" s="21"/>
    </row>
    <row r="206" ht="15.75" customHeight="1">
      <c r="A206" s="74"/>
      <c r="C206" s="77" t="str">
        <f>IF($A206="","",IFERROR(VLOOKUP($A206,StudentRegistry!$A:$D,3,FALSE),"Not found"))</f>
        <v/>
      </c>
      <c r="D206" s="77" t="str">
        <f>IF($A206="","",IFERROR(IF(VLOOKUP($A206,StudentRegistry!$A:$D,4,FALSE)="Active","Yes","Inactive"),"No"))</f>
        <v/>
      </c>
      <c r="E206" s="21"/>
    </row>
    <row r="207" ht="15.75" customHeight="1">
      <c r="A207" s="74"/>
      <c r="C207" s="77" t="str">
        <f>IF($A207="","",IFERROR(VLOOKUP($A207,StudentRegistry!$A:$D,3,FALSE),"Not found"))</f>
        <v/>
      </c>
      <c r="D207" s="77" t="str">
        <f>IF($A207="","",IFERROR(IF(VLOOKUP($A207,StudentRegistry!$A:$D,4,FALSE)="Active","Yes","Inactive"),"No"))</f>
        <v/>
      </c>
      <c r="E207" s="21"/>
    </row>
    <row r="208" ht="15.75" customHeight="1">
      <c r="A208" s="74"/>
      <c r="C208" s="77" t="str">
        <f>IF($A208="","",IFERROR(VLOOKUP($A208,StudentRegistry!$A:$D,3,FALSE),"Not found"))</f>
        <v/>
      </c>
      <c r="D208" s="77" t="str">
        <f>IF($A208="","",IFERROR(IF(VLOOKUP($A208,StudentRegistry!$A:$D,4,FALSE)="Active","Yes","Inactive"),"No"))</f>
        <v/>
      </c>
      <c r="E208" s="21"/>
    </row>
    <row r="209" ht="15.75" customHeight="1">
      <c r="A209" s="74"/>
      <c r="C209" s="77" t="str">
        <f>IF($A209="","",IFERROR(VLOOKUP($A209,StudentRegistry!$A:$D,3,FALSE),"Not found"))</f>
        <v/>
      </c>
      <c r="D209" s="77" t="str">
        <f>IF($A209="","",IFERROR(IF(VLOOKUP($A209,StudentRegistry!$A:$D,4,FALSE)="Active","Yes","Inactive"),"No"))</f>
        <v/>
      </c>
      <c r="E209" s="21"/>
    </row>
    <row r="210" ht="15.75" customHeight="1">
      <c r="A210" s="74"/>
      <c r="C210" s="77" t="str">
        <f>IF($A210="","",IFERROR(VLOOKUP($A210,StudentRegistry!$A:$D,3,FALSE),"Not found"))</f>
        <v/>
      </c>
      <c r="D210" s="77" t="str">
        <f>IF($A210="","",IFERROR(IF(VLOOKUP($A210,StudentRegistry!$A:$D,4,FALSE)="Active","Yes","Inactive"),"No"))</f>
        <v/>
      </c>
      <c r="E210" s="21"/>
    </row>
    <row r="211" ht="15.75" customHeight="1">
      <c r="A211" s="74"/>
      <c r="C211" s="77" t="str">
        <f>IF($A211="","",IFERROR(VLOOKUP($A211,StudentRegistry!$A:$D,3,FALSE),"Not found"))</f>
        <v/>
      </c>
      <c r="D211" s="77" t="str">
        <f>IF($A211="","",IFERROR(IF(VLOOKUP($A211,StudentRegistry!$A:$D,4,FALSE)="Active","Yes","Inactive"),"No"))</f>
        <v/>
      </c>
      <c r="E211" s="21"/>
    </row>
    <row r="212" ht="15.75" customHeight="1">
      <c r="A212" s="74"/>
      <c r="C212" s="77" t="str">
        <f>IF($A212="","",IFERROR(VLOOKUP($A212,StudentRegistry!$A:$D,3,FALSE),"Not found"))</f>
        <v/>
      </c>
      <c r="D212" s="77" t="str">
        <f>IF($A212="","",IFERROR(IF(VLOOKUP($A212,StudentRegistry!$A:$D,4,FALSE)="Active","Yes","Inactive"),"No"))</f>
        <v/>
      </c>
      <c r="E212" s="21"/>
    </row>
    <row r="213" ht="15.75" customHeight="1">
      <c r="A213" s="74"/>
      <c r="C213" s="77" t="str">
        <f>IF($A213="","",IFERROR(VLOOKUP($A213,StudentRegistry!$A:$D,3,FALSE),"Not found"))</f>
        <v/>
      </c>
      <c r="D213" s="77" t="str">
        <f>IF($A213="","",IFERROR(IF(VLOOKUP($A213,StudentRegistry!$A:$D,4,FALSE)="Active","Yes","Inactive"),"No"))</f>
        <v/>
      </c>
      <c r="E213" s="21"/>
    </row>
    <row r="214" ht="15.75" customHeight="1">
      <c r="A214" s="74"/>
      <c r="C214" s="77" t="str">
        <f>IF($A214="","",IFERROR(VLOOKUP($A214,StudentRegistry!$A:$D,3,FALSE),"Not found"))</f>
        <v/>
      </c>
      <c r="D214" s="77" t="str">
        <f>IF($A214="","",IFERROR(IF(VLOOKUP($A214,StudentRegistry!$A:$D,4,FALSE)="Active","Yes","Inactive"),"No"))</f>
        <v/>
      </c>
      <c r="E214" s="21"/>
    </row>
    <row r="215" ht="15.75" customHeight="1">
      <c r="A215" s="74"/>
      <c r="C215" s="77" t="str">
        <f>IF($A215="","",IFERROR(VLOOKUP($A215,StudentRegistry!$A:$D,3,FALSE),"Not found"))</f>
        <v/>
      </c>
      <c r="D215" s="77" t="str">
        <f>IF($A215="","",IFERROR(IF(VLOOKUP($A215,StudentRegistry!$A:$D,4,FALSE)="Active","Yes","Inactive"),"No"))</f>
        <v/>
      </c>
      <c r="E215" s="21"/>
    </row>
    <row r="216" ht="15.75" customHeight="1">
      <c r="A216" s="74"/>
      <c r="C216" s="77" t="str">
        <f>IF($A216="","",IFERROR(VLOOKUP($A216,StudentRegistry!$A:$D,3,FALSE),"Not found"))</f>
        <v/>
      </c>
      <c r="D216" s="77" t="str">
        <f>IF($A216="","",IFERROR(IF(VLOOKUP($A216,StudentRegistry!$A:$D,4,FALSE)="Active","Yes","Inactive"),"No"))</f>
        <v/>
      </c>
      <c r="E216" s="21"/>
    </row>
    <row r="217" ht="15.75" customHeight="1">
      <c r="A217" s="74"/>
      <c r="C217" s="77" t="str">
        <f>IF($A217="","",IFERROR(VLOOKUP($A217,StudentRegistry!$A:$D,3,FALSE),"Not found"))</f>
        <v/>
      </c>
      <c r="D217" s="77" t="str">
        <f>IF($A217="","",IFERROR(IF(VLOOKUP($A217,StudentRegistry!$A:$D,4,FALSE)="Active","Yes","Inactive"),"No"))</f>
        <v/>
      </c>
      <c r="E217" s="21"/>
    </row>
    <row r="218" ht="15.75" customHeight="1">
      <c r="A218" s="74"/>
      <c r="C218" s="77" t="str">
        <f>IF($A218="","",IFERROR(VLOOKUP($A218,StudentRegistry!$A:$D,3,FALSE),"Not found"))</f>
        <v/>
      </c>
      <c r="D218" s="77" t="str">
        <f>IF($A218="","",IFERROR(IF(VLOOKUP($A218,StudentRegistry!$A:$D,4,FALSE)="Active","Yes","Inactive"),"No"))</f>
        <v/>
      </c>
      <c r="E218" s="21"/>
    </row>
    <row r="219" ht="15.75" customHeight="1">
      <c r="A219" s="74"/>
      <c r="C219" s="77" t="str">
        <f>IF($A219="","",IFERROR(VLOOKUP($A219,StudentRegistry!$A:$D,3,FALSE),"Not found"))</f>
        <v/>
      </c>
      <c r="D219" s="77" t="str">
        <f>IF($A219="","",IFERROR(IF(VLOOKUP($A219,StudentRegistry!$A:$D,4,FALSE)="Active","Yes","Inactive"),"No"))</f>
        <v/>
      </c>
      <c r="E219" s="21"/>
    </row>
    <row r="220" ht="15.75" customHeight="1">
      <c r="A220" s="74"/>
      <c r="C220" s="77" t="str">
        <f>IF($A220="","",IFERROR(VLOOKUP($A220,StudentRegistry!$A:$D,3,FALSE),"Not found"))</f>
        <v/>
      </c>
      <c r="D220" s="77" t="str">
        <f>IF($A220="","",IFERROR(IF(VLOOKUP($A220,StudentRegistry!$A:$D,4,FALSE)="Active","Yes","Inactive"),"No"))</f>
        <v/>
      </c>
      <c r="E220" s="21"/>
    </row>
    <row r="221" ht="15.75" customHeight="1">
      <c r="A221" s="74"/>
      <c r="C221" s="77" t="str">
        <f>IF($A221="","",IFERROR(VLOOKUP($A221,StudentRegistry!$A:$D,3,FALSE),"Not found"))</f>
        <v/>
      </c>
      <c r="D221" s="77" t="str">
        <f>IF($A221="","",IFERROR(IF(VLOOKUP($A221,StudentRegistry!$A:$D,4,FALSE)="Active","Yes","Inactive"),"No"))</f>
        <v/>
      </c>
      <c r="E221" s="21"/>
    </row>
    <row r="222" ht="15.75" customHeight="1">
      <c r="A222" s="74"/>
      <c r="C222" s="77" t="str">
        <f>IF($A222="","",IFERROR(VLOOKUP($A222,StudentRegistry!$A:$D,3,FALSE),"Not found"))</f>
        <v/>
      </c>
      <c r="D222" s="77" t="str">
        <f>IF($A222="","",IFERROR(IF(VLOOKUP($A222,StudentRegistry!$A:$D,4,FALSE)="Active","Yes","Inactive"),"No"))</f>
        <v/>
      </c>
      <c r="E222" s="21"/>
    </row>
    <row r="223" ht="15.75" customHeight="1">
      <c r="A223" s="74"/>
      <c r="C223" s="77" t="str">
        <f>IF($A223="","",IFERROR(VLOOKUP($A223,StudentRegistry!$A:$D,3,FALSE),"Not found"))</f>
        <v/>
      </c>
      <c r="D223" s="77" t="str">
        <f>IF($A223="","",IFERROR(IF(VLOOKUP($A223,StudentRegistry!$A:$D,4,FALSE)="Active","Yes","Inactive"),"No"))</f>
        <v/>
      </c>
      <c r="E223" s="21"/>
    </row>
    <row r="224" ht="15.75" customHeight="1">
      <c r="A224" s="74"/>
      <c r="C224" s="77" t="str">
        <f>IF($A224="","",IFERROR(VLOOKUP($A224,StudentRegistry!$A:$D,3,FALSE),"Not found"))</f>
        <v/>
      </c>
      <c r="D224" s="77" t="str">
        <f>IF($A224="","",IFERROR(IF(VLOOKUP($A224,StudentRegistry!$A:$D,4,FALSE)="Active","Yes","Inactive"),"No"))</f>
        <v/>
      </c>
      <c r="E224" s="21"/>
    </row>
    <row r="225" ht="15.75" customHeight="1">
      <c r="A225" s="74"/>
      <c r="C225" s="77" t="str">
        <f>IF($A225="","",IFERROR(VLOOKUP($A225,StudentRegistry!$A:$D,3,FALSE),"Not found"))</f>
        <v/>
      </c>
      <c r="D225" s="77" t="str">
        <f>IF($A225="","",IFERROR(IF(VLOOKUP($A225,StudentRegistry!$A:$D,4,FALSE)="Active","Yes","Inactive"),"No"))</f>
        <v/>
      </c>
      <c r="E225" s="21"/>
    </row>
    <row r="226" ht="15.75" customHeight="1">
      <c r="A226" s="74"/>
      <c r="C226" s="77" t="str">
        <f>IF($A226="","",IFERROR(VLOOKUP($A226,StudentRegistry!$A:$D,3,FALSE),"Not found"))</f>
        <v/>
      </c>
      <c r="D226" s="77" t="str">
        <f>IF($A226="","",IFERROR(IF(VLOOKUP($A226,StudentRegistry!$A:$D,4,FALSE)="Active","Yes","Inactive"),"No"))</f>
        <v/>
      </c>
      <c r="E226" s="21"/>
    </row>
    <row r="227" ht="15.75" customHeight="1">
      <c r="A227" s="74"/>
      <c r="C227" s="77" t="str">
        <f>IF($A227="","",IFERROR(VLOOKUP($A227,StudentRegistry!$A:$D,3,FALSE),"Not found"))</f>
        <v/>
      </c>
      <c r="D227" s="77" t="str">
        <f>IF($A227="","",IFERROR(IF(VLOOKUP($A227,StudentRegistry!$A:$D,4,FALSE)="Active","Yes","Inactive"),"No"))</f>
        <v/>
      </c>
      <c r="E227" s="21"/>
    </row>
    <row r="228" ht="15.75" customHeight="1">
      <c r="A228" s="74"/>
      <c r="C228" s="77" t="str">
        <f>IF($A228="","",IFERROR(VLOOKUP($A228,StudentRegistry!$A:$D,3,FALSE),"Not found"))</f>
        <v/>
      </c>
      <c r="D228" s="77" t="str">
        <f>IF($A228="","",IFERROR(IF(VLOOKUP($A228,StudentRegistry!$A:$D,4,FALSE)="Active","Yes","Inactive"),"No"))</f>
        <v/>
      </c>
      <c r="E228" s="21"/>
    </row>
    <row r="229" ht="15.75" customHeight="1">
      <c r="A229" s="74"/>
      <c r="C229" s="77" t="str">
        <f>IF($A229="","",IFERROR(VLOOKUP($A229,StudentRegistry!$A:$D,3,FALSE),"Not found"))</f>
        <v/>
      </c>
      <c r="D229" s="77" t="str">
        <f>IF($A229="","",IFERROR(IF(VLOOKUP($A229,StudentRegistry!$A:$D,4,FALSE)="Active","Yes","Inactive"),"No"))</f>
        <v/>
      </c>
      <c r="E229" s="21"/>
    </row>
    <row r="230" ht="15.75" customHeight="1">
      <c r="A230" s="74"/>
      <c r="C230" s="77" t="str">
        <f>IF($A230="","",IFERROR(VLOOKUP($A230,StudentRegistry!$A:$D,3,FALSE),"Not found"))</f>
        <v/>
      </c>
      <c r="D230" s="77" t="str">
        <f>IF($A230="","",IFERROR(IF(VLOOKUP($A230,StudentRegistry!$A:$D,4,FALSE)="Active","Yes","Inactive"),"No"))</f>
        <v/>
      </c>
      <c r="E230" s="21"/>
    </row>
    <row r="231" ht="15.75" customHeight="1">
      <c r="A231" s="74"/>
      <c r="C231" s="77" t="str">
        <f>IF($A231="","",IFERROR(VLOOKUP($A231,StudentRegistry!$A:$D,3,FALSE),"Not found"))</f>
        <v/>
      </c>
      <c r="D231" s="77" t="str">
        <f>IF($A231="","",IFERROR(IF(VLOOKUP($A231,StudentRegistry!$A:$D,4,FALSE)="Active","Yes","Inactive"),"No"))</f>
        <v/>
      </c>
      <c r="E231" s="21"/>
    </row>
    <row r="232" ht="15.75" customHeight="1">
      <c r="A232" s="74"/>
      <c r="C232" s="77" t="str">
        <f>IF($A232="","",IFERROR(VLOOKUP($A232,StudentRegistry!$A:$D,3,FALSE),"Not found"))</f>
        <v/>
      </c>
      <c r="D232" s="77" t="str">
        <f>IF($A232="","",IFERROR(IF(VLOOKUP($A232,StudentRegistry!$A:$D,4,FALSE)="Active","Yes","Inactive"),"No"))</f>
        <v/>
      </c>
      <c r="E232" s="21"/>
    </row>
    <row r="233" ht="15.75" customHeight="1">
      <c r="A233" s="74"/>
      <c r="C233" s="77" t="str">
        <f>IF($A233="","",IFERROR(VLOOKUP($A233,StudentRegistry!$A:$D,3,FALSE),"Not found"))</f>
        <v/>
      </c>
      <c r="D233" s="77" t="str">
        <f>IF($A233="","",IFERROR(IF(VLOOKUP($A233,StudentRegistry!$A:$D,4,FALSE)="Active","Yes","Inactive"),"No"))</f>
        <v/>
      </c>
      <c r="E233" s="21"/>
    </row>
    <row r="234" ht="15.75" customHeight="1">
      <c r="A234" s="74"/>
      <c r="C234" s="77" t="str">
        <f>IF($A234="","",IFERROR(VLOOKUP($A234,StudentRegistry!$A:$D,3,FALSE),"Not found"))</f>
        <v/>
      </c>
      <c r="D234" s="77" t="str">
        <f>IF($A234="","",IFERROR(IF(VLOOKUP($A234,StudentRegistry!$A:$D,4,FALSE)="Active","Yes","Inactive"),"No"))</f>
        <v/>
      </c>
      <c r="E234" s="21"/>
    </row>
    <row r="235" ht="15.75" customHeight="1">
      <c r="A235" s="74"/>
      <c r="C235" s="77" t="str">
        <f>IF($A235="","",IFERROR(VLOOKUP($A235,StudentRegistry!$A:$D,3,FALSE),"Not found"))</f>
        <v/>
      </c>
      <c r="D235" s="77" t="str">
        <f>IF($A235="","",IFERROR(IF(VLOOKUP($A235,StudentRegistry!$A:$D,4,FALSE)="Active","Yes","Inactive"),"No"))</f>
        <v/>
      </c>
      <c r="E235" s="21"/>
    </row>
    <row r="236" ht="15.75" customHeight="1">
      <c r="A236" s="74"/>
      <c r="C236" s="77" t="str">
        <f>IF($A236="","",IFERROR(VLOOKUP($A236,StudentRegistry!$A:$D,3,FALSE),"Not found"))</f>
        <v/>
      </c>
      <c r="D236" s="77" t="str">
        <f>IF($A236="","",IFERROR(IF(VLOOKUP($A236,StudentRegistry!$A:$D,4,FALSE)="Active","Yes","Inactive"),"No"))</f>
        <v/>
      </c>
      <c r="E236" s="21"/>
    </row>
    <row r="237" ht="15.75" customHeight="1">
      <c r="A237" s="74"/>
      <c r="C237" s="77" t="str">
        <f>IF($A237="","",IFERROR(VLOOKUP($A237,StudentRegistry!$A:$D,3,FALSE),"Not found"))</f>
        <v/>
      </c>
      <c r="D237" s="77" t="str">
        <f>IF($A237="","",IFERROR(IF(VLOOKUP($A237,StudentRegistry!$A:$D,4,FALSE)="Active","Yes","Inactive"),"No"))</f>
        <v/>
      </c>
      <c r="E237" s="21"/>
    </row>
    <row r="238" ht="15.75" customHeight="1">
      <c r="A238" s="74"/>
      <c r="C238" s="77" t="str">
        <f>IF($A238="","",IFERROR(VLOOKUP($A238,StudentRegistry!$A:$D,3,FALSE),"Not found"))</f>
        <v/>
      </c>
      <c r="D238" s="77" t="str">
        <f>IF($A238="","",IFERROR(IF(VLOOKUP($A238,StudentRegistry!$A:$D,4,FALSE)="Active","Yes","Inactive"),"No"))</f>
        <v/>
      </c>
      <c r="E238" s="21"/>
    </row>
    <row r="239" ht="15.75" customHeight="1">
      <c r="A239" s="74"/>
      <c r="C239" s="77" t="str">
        <f>IF($A239="","",IFERROR(VLOOKUP($A239,StudentRegistry!$A:$D,3,FALSE),"Not found"))</f>
        <v/>
      </c>
      <c r="D239" s="77" t="str">
        <f>IF($A239="","",IFERROR(IF(VLOOKUP($A239,StudentRegistry!$A:$D,4,FALSE)="Active","Yes","Inactive"),"No"))</f>
        <v/>
      </c>
      <c r="E239" s="21"/>
    </row>
    <row r="240" ht="15.75" customHeight="1">
      <c r="A240" s="74"/>
      <c r="C240" s="77" t="str">
        <f>IF($A240="","",IFERROR(VLOOKUP($A240,StudentRegistry!$A:$D,3,FALSE),"Not found"))</f>
        <v/>
      </c>
      <c r="D240" s="77" t="str">
        <f>IF($A240="","",IFERROR(IF(VLOOKUP($A240,StudentRegistry!$A:$D,4,FALSE)="Active","Yes","Inactive"),"No"))</f>
        <v/>
      </c>
      <c r="E240" s="21"/>
    </row>
    <row r="241" ht="15.75" customHeight="1">
      <c r="A241" s="74"/>
      <c r="C241" s="77" t="str">
        <f>IF($A241="","",IFERROR(VLOOKUP($A241,StudentRegistry!$A:$D,3,FALSE),"Not found"))</f>
        <v/>
      </c>
      <c r="D241" s="77" t="str">
        <f>IF($A241="","",IFERROR(IF(VLOOKUP($A241,StudentRegistry!$A:$D,4,FALSE)="Active","Yes","Inactive"),"No"))</f>
        <v/>
      </c>
      <c r="E241" s="21"/>
    </row>
    <row r="242" ht="15.75" customHeight="1">
      <c r="A242" s="74"/>
      <c r="C242" s="77" t="str">
        <f>IF($A242="","",IFERROR(VLOOKUP($A242,StudentRegistry!$A:$D,3,FALSE),"Not found"))</f>
        <v/>
      </c>
      <c r="D242" s="77" t="str">
        <f>IF($A242="","",IFERROR(IF(VLOOKUP($A242,StudentRegistry!$A:$D,4,FALSE)="Active","Yes","Inactive"),"No"))</f>
        <v/>
      </c>
      <c r="E242" s="21"/>
    </row>
    <row r="243" ht="15.75" customHeight="1">
      <c r="A243" s="74"/>
      <c r="C243" s="77" t="str">
        <f>IF($A243="","",IFERROR(VLOOKUP($A243,StudentRegistry!$A:$D,3,FALSE),"Not found"))</f>
        <v/>
      </c>
      <c r="D243" s="77" t="str">
        <f>IF($A243="","",IFERROR(IF(VLOOKUP($A243,StudentRegistry!$A:$D,4,FALSE)="Active","Yes","Inactive"),"No"))</f>
        <v/>
      </c>
      <c r="E243" s="21"/>
    </row>
    <row r="244" ht="15.75" customHeight="1">
      <c r="A244" s="74"/>
      <c r="C244" s="77" t="str">
        <f>IF($A244="","",IFERROR(VLOOKUP($A244,StudentRegistry!$A:$D,3,FALSE),"Not found"))</f>
        <v/>
      </c>
      <c r="D244" s="77" t="str">
        <f>IF($A244="","",IFERROR(IF(VLOOKUP($A244,StudentRegistry!$A:$D,4,FALSE)="Active","Yes","Inactive"),"No"))</f>
        <v/>
      </c>
      <c r="E244" s="21"/>
    </row>
    <row r="245" ht="15.75" customHeight="1">
      <c r="A245" s="74"/>
      <c r="C245" s="77" t="str">
        <f>IF($A245="","",IFERROR(VLOOKUP($A245,StudentRegistry!$A:$D,3,FALSE),"Not found"))</f>
        <v/>
      </c>
      <c r="D245" s="77" t="str">
        <f>IF($A245="","",IFERROR(IF(VLOOKUP($A245,StudentRegistry!$A:$D,4,FALSE)="Active","Yes","Inactive"),"No"))</f>
        <v/>
      </c>
      <c r="E245" s="21"/>
    </row>
    <row r="246" ht="15.75" customHeight="1">
      <c r="A246" s="74"/>
      <c r="C246" s="77" t="str">
        <f>IF($A246="","",IFERROR(VLOOKUP($A246,StudentRegistry!$A:$D,3,FALSE),"Not found"))</f>
        <v/>
      </c>
      <c r="D246" s="77" t="str">
        <f>IF($A246="","",IFERROR(IF(VLOOKUP($A246,StudentRegistry!$A:$D,4,FALSE)="Active","Yes","Inactive"),"No"))</f>
        <v/>
      </c>
      <c r="E246" s="21"/>
    </row>
    <row r="247" ht="15.75" customHeight="1">
      <c r="A247" s="74"/>
      <c r="C247" s="77" t="str">
        <f>IF($A247="","",IFERROR(VLOOKUP($A247,StudentRegistry!$A:$D,3,FALSE),"Not found"))</f>
        <v/>
      </c>
      <c r="D247" s="77" t="str">
        <f>IF($A247="","",IFERROR(IF(VLOOKUP($A247,StudentRegistry!$A:$D,4,FALSE)="Active","Yes","Inactive"),"No"))</f>
        <v/>
      </c>
      <c r="E247" s="21"/>
    </row>
    <row r="248" ht="15.75" customHeight="1">
      <c r="A248" s="74"/>
      <c r="C248" s="77" t="str">
        <f>IF($A248="","",IFERROR(VLOOKUP($A248,StudentRegistry!$A:$D,3,FALSE),"Not found"))</f>
        <v/>
      </c>
      <c r="D248" s="77" t="str">
        <f>IF($A248="","",IFERROR(IF(VLOOKUP($A248,StudentRegistry!$A:$D,4,FALSE)="Active","Yes","Inactive"),"No"))</f>
        <v/>
      </c>
      <c r="E248" s="21"/>
    </row>
    <row r="249" ht="15.75" customHeight="1">
      <c r="A249" s="74"/>
      <c r="C249" s="77" t="str">
        <f>IF($A249="","",IFERROR(VLOOKUP($A249,StudentRegistry!$A:$D,3,FALSE),"Not found"))</f>
        <v/>
      </c>
      <c r="D249" s="77" t="str">
        <f>IF($A249="","",IFERROR(IF(VLOOKUP($A249,StudentRegistry!$A:$D,4,FALSE)="Active","Yes","Inactive"),"No"))</f>
        <v/>
      </c>
      <c r="E249" s="21"/>
    </row>
    <row r="250" ht="15.75" customHeight="1">
      <c r="A250" s="74"/>
      <c r="C250" s="77" t="str">
        <f>IF($A250="","",IFERROR(VLOOKUP($A250,StudentRegistry!$A:$D,3,FALSE),"Not found"))</f>
        <v/>
      </c>
      <c r="D250" s="77" t="str">
        <f>IF($A250="","",IFERROR(IF(VLOOKUP($A250,StudentRegistry!$A:$D,4,FALSE)="Active","Yes","Inactive"),"No"))</f>
        <v/>
      </c>
      <c r="E250" s="21"/>
    </row>
    <row r="251" ht="15.75" customHeight="1">
      <c r="A251" s="74"/>
      <c r="C251" s="77" t="str">
        <f>IF($A251="","",IFERROR(VLOOKUP($A251,StudentRegistry!$A:$D,3,FALSE),"Not found"))</f>
        <v/>
      </c>
      <c r="D251" s="77" t="str">
        <f>IF($A251="","",IFERROR(IF(VLOOKUP($A251,StudentRegistry!$A:$D,4,FALSE)="Active","Yes","Inactive"),"No"))</f>
        <v/>
      </c>
      <c r="E251" s="21"/>
    </row>
    <row r="252" ht="15.75" customHeight="1">
      <c r="A252" s="74"/>
      <c r="C252" s="77" t="str">
        <f>IF($A252="","",IFERROR(VLOOKUP($A252,StudentRegistry!$A:$D,3,FALSE),"Not found"))</f>
        <v/>
      </c>
      <c r="D252" s="77" t="str">
        <f>IF($A252="","",IFERROR(IF(VLOOKUP($A252,StudentRegistry!$A:$D,4,FALSE)="Active","Yes","Inactive"),"No"))</f>
        <v/>
      </c>
      <c r="E252" s="21"/>
    </row>
    <row r="253" ht="15.75" customHeight="1">
      <c r="A253" s="74"/>
      <c r="C253" s="77" t="str">
        <f>IF($A253="","",IFERROR(VLOOKUP($A253,StudentRegistry!$A:$D,3,FALSE),"Not found"))</f>
        <v/>
      </c>
      <c r="D253" s="77" t="str">
        <f>IF($A253="","",IFERROR(IF(VLOOKUP($A253,StudentRegistry!$A:$D,4,FALSE)="Active","Yes","Inactive"),"No"))</f>
        <v/>
      </c>
      <c r="E253" s="21"/>
    </row>
    <row r="254" ht="15.75" customHeight="1">
      <c r="A254" s="74"/>
      <c r="C254" s="77" t="str">
        <f>IF($A254="","",IFERROR(VLOOKUP($A254,StudentRegistry!$A:$D,3,FALSE),"Not found"))</f>
        <v/>
      </c>
      <c r="D254" s="77" t="str">
        <f>IF($A254="","",IFERROR(IF(VLOOKUP($A254,StudentRegistry!$A:$D,4,FALSE)="Active","Yes","Inactive"),"No"))</f>
        <v/>
      </c>
      <c r="E254" s="21"/>
    </row>
    <row r="255" ht="15.75" customHeight="1">
      <c r="A255" s="74"/>
      <c r="C255" s="77" t="str">
        <f>IF($A255="","",IFERROR(VLOOKUP($A255,StudentRegistry!$A:$D,3,FALSE),"Not found"))</f>
        <v/>
      </c>
      <c r="D255" s="77" t="str">
        <f>IF($A255="","",IFERROR(IF(VLOOKUP($A255,StudentRegistry!$A:$D,4,FALSE)="Active","Yes","Inactive"),"No"))</f>
        <v/>
      </c>
      <c r="E255" s="21"/>
    </row>
    <row r="256" ht="15.75" customHeight="1">
      <c r="A256" s="74"/>
      <c r="C256" s="77" t="str">
        <f>IF($A256="","",IFERROR(VLOOKUP($A256,StudentRegistry!$A:$D,3,FALSE),"Not found"))</f>
        <v/>
      </c>
      <c r="D256" s="77" t="str">
        <f>IF($A256="","",IFERROR(IF(VLOOKUP($A256,StudentRegistry!$A:$D,4,FALSE)="Active","Yes","Inactive"),"No"))</f>
        <v/>
      </c>
      <c r="E256" s="21"/>
    </row>
    <row r="257" ht="15.75" customHeight="1">
      <c r="A257" s="74"/>
      <c r="C257" s="77" t="str">
        <f>IF($A257="","",IFERROR(VLOOKUP($A257,StudentRegistry!$A:$D,3,FALSE),"Not found"))</f>
        <v/>
      </c>
      <c r="D257" s="77" t="str">
        <f>IF($A257="","",IFERROR(IF(VLOOKUP($A257,StudentRegistry!$A:$D,4,FALSE)="Active","Yes","Inactive"),"No"))</f>
        <v/>
      </c>
      <c r="E257" s="21"/>
    </row>
    <row r="258" ht="15.75" customHeight="1">
      <c r="A258" s="74"/>
      <c r="C258" s="77" t="str">
        <f>IF($A258="","",IFERROR(VLOOKUP($A258,StudentRegistry!$A:$D,3,FALSE),"Not found"))</f>
        <v/>
      </c>
      <c r="D258" s="77" t="str">
        <f>IF($A258="","",IFERROR(IF(VLOOKUP($A258,StudentRegistry!$A:$D,4,FALSE)="Active","Yes","Inactive"),"No"))</f>
        <v/>
      </c>
      <c r="E258" s="21"/>
    </row>
    <row r="259" ht="15.75" customHeight="1">
      <c r="A259" s="74"/>
      <c r="C259" s="77" t="str">
        <f>IF($A259="","",IFERROR(VLOOKUP($A259,StudentRegistry!$A:$D,3,FALSE),"Not found"))</f>
        <v/>
      </c>
      <c r="D259" s="77" t="str">
        <f>IF($A259="","",IFERROR(IF(VLOOKUP($A259,StudentRegistry!$A:$D,4,FALSE)="Active","Yes","Inactive"),"No"))</f>
        <v/>
      </c>
      <c r="E259" s="21"/>
    </row>
    <row r="260" ht="15.75" customHeight="1">
      <c r="A260" s="74"/>
      <c r="C260" s="77" t="str">
        <f>IF($A260="","",IFERROR(VLOOKUP($A260,StudentRegistry!$A:$D,3,FALSE),"Not found"))</f>
        <v/>
      </c>
      <c r="D260" s="77" t="str">
        <f>IF($A260="","",IFERROR(IF(VLOOKUP($A260,StudentRegistry!$A:$D,4,FALSE)="Active","Yes","Inactive"),"No"))</f>
        <v/>
      </c>
      <c r="E260" s="21"/>
    </row>
    <row r="261" ht="15.75" customHeight="1">
      <c r="A261" s="74"/>
      <c r="C261" s="77" t="str">
        <f>IF($A261="","",IFERROR(VLOOKUP($A261,StudentRegistry!$A:$D,3,FALSE),"Not found"))</f>
        <v/>
      </c>
      <c r="D261" s="77" t="str">
        <f>IF($A261="","",IFERROR(IF(VLOOKUP($A261,StudentRegistry!$A:$D,4,FALSE)="Active","Yes","Inactive"),"No"))</f>
        <v/>
      </c>
      <c r="E261" s="21"/>
    </row>
    <row r="262" ht="15.75" customHeight="1">
      <c r="A262" s="74"/>
      <c r="C262" s="77" t="str">
        <f>IF($A262="","",IFERROR(VLOOKUP($A262,StudentRegistry!$A:$D,3,FALSE),"Not found"))</f>
        <v/>
      </c>
      <c r="D262" s="77" t="str">
        <f>IF($A262="","",IFERROR(IF(VLOOKUP($A262,StudentRegistry!$A:$D,4,FALSE)="Active","Yes","Inactive"),"No"))</f>
        <v/>
      </c>
      <c r="E262" s="21"/>
    </row>
    <row r="263" ht="15.75" customHeight="1">
      <c r="A263" s="74"/>
      <c r="C263" s="77" t="str">
        <f>IF($A263="","",IFERROR(VLOOKUP($A263,StudentRegistry!$A:$D,3,FALSE),"Not found"))</f>
        <v/>
      </c>
      <c r="D263" s="77" t="str">
        <f>IF($A263="","",IFERROR(IF(VLOOKUP($A263,StudentRegistry!$A:$D,4,FALSE)="Active","Yes","Inactive"),"No"))</f>
        <v/>
      </c>
      <c r="E263" s="21"/>
    </row>
    <row r="264" ht="15.75" customHeight="1">
      <c r="A264" s="74"/>
      <c r="C264" s="77" t="str">
        <f>IF($A264="","",IFERROR(VLOOKUP($A264,StudentRegistry!$A:$D,3,FALSE),"Not found"))</f>
        <v/>
      </c>
      <c r="D264" s="77" t="str">
        <f>IF($A264="","",IFERROR(IF(VLOOKUP($A264,StudentRegistry!$A:$D,4,FALSE)="Active","Yes","Inactive"),"No"))</f>
        <v/>
      </c>
      <c r="E264" s="21"/>
    </row>
    <row r="265" ht="15.75" customHeight="1">
      <c r="A265" s="74"/>
      <c r="C265" s="77" t="str">
        <f>IF($A265="","",IFERROR(VLOOKUP($A265,StudentRegistry!$A:$D,3,FALSE),"Not found"))</f>
        <v/>
      </c>
      <c r="D265" s="77" t="str">
        <f>IF($A265="","",IFERROR(IF(VLOOKUP($A265,StudentRegistry!$A:$D,4,FALSE)="Active","Yes","Inactive"),"No"))</f>
        <v/>
      </c>
      <c r="E265" s="21"/>
    </row>
    <row r="266" ht="15.75" customHeight="1">
      <c r="A266" s="74"/>
      <c r="C266" s="77" t="str">
        <f>IF($A266="","",IFERROR(VLOOKUP($A266,StudentRegistry!$A:$D,3,FALSE),"Not found"))</f>
        <v/>
      </c>
      <c r="D266" s="77" t="str">
        <f>IF($A266="","",IFERROR(IF(VLOOKUP($A266,StudentRegistry!$A:$D,4,FALSE)="Active","Yes","Inactive"),"No"))</f>
        <v/>
      </c>
      <c r="E266" s="21"/>
    </row>
    <row r="267" ht="15.75" customHeight="1">
      <c r="A267" s="74"/>
      <c r="C267" s="77" t="str">
        <f>IF($A267="","",IFERROR(VLOOKUP($A267,StudentRegistry!$A:$D,3,FALSE),"Not found"))</f>
        <v/>
      </c>
      <c r="D267" s="77" t="str">
        <f>IF($A267="","",IFERROR(IF(VLOOKUP($A267,StudentRegistry!$A:$D,4,FALSE)="Active","Yes","Inactive"),"No"))</f>
        <v/>
      </c>
      <c r="E267" s="21"/>
    </row>
    <row r="268" ht="15.75" customHeight="1">
      <c r="A268" s="74"/>
      <c r="C268" s="77" t="str">
        <f>IF($A268="","",IFERROR(VLOOKUP($A268,StudentRegistry!$A:$D,3,FALSE),"Not found"))</f>
        <v/>
      </c>
      <c r="D268" s="77" t="str">
        <f>IF($A268="","",IFERROR(IF(VLOOKUP($A268,StudentRegistry!$A:$D,4,FALSE)="Active","Yes","Inactive"),"No"))</f>
        <v/>
      </c>
      <c r="E268" s="21"/>
    </row>
    <row r="269" ht="15.75" customHeight="1">
      <c r="A269" s="74"/>
      <c r="C269" s="77" t="str">
        <f>IF($A269="","",IFERROR(VLOOKUP($A269,StudentRegistry!$A:$D,3,FALSE),"Not found"))</f>
        <v/>
      </c>
      <c r="D269" s="77" t="str">
        <f>IF($A269="","",IFERROR(IF(VLOOKUP($A269,StudentRegistry!$A:$D,4,FALSE)="Active","Yes","Inactive"),"No"))</f>
        <v/>
      </c>
      <c r="E269" s="21"/>
    </row>
    <row r="270" ht="15.75" customHeight="1">
      <c r="A270" s="74"/>
      <c r="C270" s="77" t="str">
        <f>IF($A270="","",IFERROR(VLOOKUP($A270,StudentRegistry!$A:$D,3,FALSE),"Not found"))</f>
        <v/>
      </c>
      <c r="D270" s="77" t="str">
        <f>IF($A270="","",IFERROR(IF(VLOOKUP($A270,StudentRegistry!$A:$D,4,FALSE)="Active","Yes","Inactive"),"No"))</f>
        <v/>
      </c>
      <c r="E270" s="21"/>
    </row>
    <row r="271" ht="15.75" customHeight="1">
      <c r="A271" s="74"/>
      <c r="C271" s="77" t="str">
        <f>IF($A271="","",IFERROR(VLOOKUP($A271,StudentRegistry!$A:$D,3,FALSE),"Not found"))</f>
        <v/>
      </c>
      <c r="D271" s="77" t="str">
        <f>IF($A271="","",IFERROR(IF(VLOOKUP($A271,StudentRegistry!$A:$D,4,FALSE)="Active","Yes","Inactive"),"No"))</f>
        <v/>
      </c>
      <c r="E271" s="21"/>
    </row>
    <row r="272" ht="15.75" customHeight="1">
      <c r="A272" s="74"/>
      <c r="C272" s="77" t="str">
        <f>IF($A272="","",IFERROR(VLOOKUP($A272,StudentRegistry!$A:$D,3,FALSE),"Not found"))</f>
        <v/>
      </c>
      <c r="D272" s="77" t="str">
        <f>IF($A272="","",IFERROR(IF(VLOOKUP($A272,StudentRegistry!$A:$D,4,FALSE)="Active","Yes","Inactive"),"No"))</f>
        <v/>
      </c>
      <c r="E272" s="21"/>
    </row>
    <row r="273" ht="15.75" customHeight="1">
      <c r="A273" s="74"/>
      <c r="C273" s="77" t="str">
        <f>IF($A273="","",IFERROR(VLOOKUP($A273,StudentRegistry!$A:$D,3,FALSE),"Not found"))</f>
        <v/>
      </c>
      <c r="D273" s="77" t="str">
        <f>IF($A273="","",IFERROR(IF(VLOOKUP($A273,StudentRegistry!$A:$D,4,FALSE)="Active","Yes","Inactive"),"No"))</f>
        <v/>
      </c>
      <c r="E273" s="21"/>
    </row>
    <row r="274" ht="15.75" customHeight="1">
      <c r="A274" s="74"/>
      <c r="C274" s="77" t="str">
        <f>IF($A274="","",IFERROR(VLOOKUP($A274,StudentRegistry!$A:$D,3,FALSE),"Not found"))</f>
        <v/>
      </c>
      <c r="D274" s="77" t="str">
        <f>IF($A274="","",IFERROR(IF(VLOOKUP($A274,StudentRegistry!$A:$D,4,FALSE)="Active","Yes","Inactive"),"No"))</f>
        <v/>
      </c>
      <c r="E274" s="21"/>
    </row>
    <row r="275" ht="15.75" customHeight="1">
      <c r="A275" s="74"/>
      <c r="C275" s="77" t="str">
        <f>IF($A275="","",IFERROR(VLOOKUP($A275,StudentRegistry!$A:$D,3,FALSE),"Not found"))</f>
        <v/>
      </c>
      <c r="D275" s="77" t="str">
        <f>IF($A275="","",IFERROR(IF(VLOOKUP($A275,StudentRegistry!$A:$D,4,FALSE)="Active","Yes","Inactive"),"No"))</f>
        <v/>
      </c>
      <c r="E275" s="21"/>
    </row>
    <row r="276" ht="15.75" customHeight="1">
      <c r="A276" s="74"/>
      <c r="C276" s="77" t="str">
        <f>IF($A276="","",IFERROR(VLOOKUP($A276,StudentRegistry!$A:$D,3,FALSE),"Not found"))</f>
        <v/>
      </c>
      <c r="D276" s="77" t="str">
        <f>IF($A276="","",IFERROR(IF(VLOOKUP($A276,StudentRegistry!$A:$D,4,FALSE)="Active","Yes","Inactive"),"No"))</f>
        <v/>
      </c>
      <c r="E276" s="21"/>
    </row>
    <row r="277" ht="15.75" customHeight="1">
      <c r="A277" s="74"/>
      <c r="C277" s="77" t="str">
        <f>IF($A277="","",IFERROR(VLOOKUP($A277,StudentRegistry!$A:$D,3,FALSE),"Not found"))</f>
        <v/>
      </c>
      <c r="D277" s="77" t="str">
        <f>IF($A277="","",IFERROR(IF(VLOOKUP($A277,StudentRegistry!$A:$D,4,FALSE)="Active","Yes","Inactive"),"No"))</f>
        <v/>
      </c>
      <c r="E277" s="21"/>
    </row>
    <row r="278" ht="15.75" customHeight="1">
      <c r="A278" s="74"/>
      <c r="C278" s="77" t="str">
        <f>IF($A278="","",IFERROR(VLOOKUP($A278,StudentRegistry!$A:$D,3,FALSE),"Not found"))</f>
        <v/>
      </c>
      <c r="D278" s="77" t="str">
        <f>IF($A278="","",IFERROR(IF(VLOOKUP($A278,StudentRegistry!$A:$D,4,FALSE)="Active","Yes","Inactive"),"No"))</f>
        <v/>
      </c>
      <c r="E278" s="21"/>
    </row>
    <row r="279" ht="15.75" customHeight="1">
      <c r="A279" s="74"/>
      <c r="C279" s="77" t="str">
        <f>IF($A279="","",IFERROR(VLOOKUP($A279,StudentRegistry!$A:$D,3,FALSE),"Not found"))</f>
        <v/>
      </c>
      <c r="D279" s="77" t="str">
        <f>IF($A279="","",IFERROR(IF(VLOOKUP($A279,StudentRegistry!$A:$D,4,FALSE)="Active","Yes","Inactive"),"No"))</f>
        <v/>
      </c>
      <c r="E279" s="21"/>
    </row>
    <row r="280" ht="15.75" customHeight="1">
      <c r="A280" s="74"/>
      <c r="C280" s="77" t="str">
        <f>IF($A280="","",IFERROR(VLOOKUP($A280,StudentRegistry!$A:$D,3,FALSE),"Not found"))</f>
        <v/>
      </c>
      <c r="D280" s="77" t="str">
        <f>IF($A280="","",IFERROR(IF(VLOOKUP($A280,StudentRegistry!$A:$D,4,FALSE)="Active","Yes","Inactive"),"No"))</f>
        <v/>
      </c>
      <c r="E280" s="21"/>
    </row>
    <row r="281" ht="15.75" customHeight="1">
      <c r="A281" s="74"/>
      <c r="C281" s="77" t="str">
        <f>IF($A281="","",IFERROR(VLOOKUP($A281,StudentRegistry!$A:$D,3,FALSE),"Not found"))</f>
        <v/>
      </c>
      <c r="D281" s="77" t="str">
        <f>IF($A281="","",IFERROR(IF(VLOOKUP($A281,StudentRegistry!$A:$D,4,FALSE)="Active","Yes","Inactive"),"No"))</f>
        <v/>
      </c>
      <c r="E281" s="21"/>
    </row>
    <row r="282" ht="15.75" customHeight="1">
      <c r="A282" s="74"/>
      <c r="C282" s="77" t="str">
        <f>IF($A282="","",IFERROR(VLOOKUP($A282,StudentRegistry!$A:$D,3,FALSE),"Not found"))</f>
        <v/>
      </c>
      <c r="D282" s="77" t="str">
        <f>IF($A282="","",IFERROR(IF(VLOOKUP($A282,StudentRegistry!$A:$D,4,FALSE)="Active","Yes","Inactive"),"No"))</f>
        <v/>
      </c>
      <c r="E282" s="21"/>
    </row>
    <row r="283" ht="15.75" customHeight="1">
      <c r="A283" s="74"/>
      <c r="C283" s="77" t="str">
        <f>IF($A283="","",IFERROR(VLOOKUP($A283,StudentRegistry!$A:$D,3,FALSE),"Not found"))</f>
        <v/>
      </c>
      <c r="D283" s="77" t="str">
        <f>IF($A283="","",IFERROR(IF(VLOOKUP($A283,StudentRegistry!$A:$D,4,FALSE)="Active","Yes","Inactive"),"No"))</f>
        <v/>
      </c>
      <c r="E283" s="21"/>
    </row>
    <row r="284" ht="15.75" customHeight="1">
      <c r="A284" s="74"/>
      <c r="C284" s="77" t="str">
        <f>IF($A284="","",IFERROR(VLOOKUP($A284,StudentRegistry!$A:$D,3,FALSE),"Not found"))</f>
        <v/>
      </c>
      <c r="D284" s="77" t="str">
        <f>IF($A284="","",IFERROR(IF(VLOOKUP($A284,StudentRegistry!$A:$D,4,FALSE)="Active","Yes","Inactive"),"No"))</f>
        <v/>
      </c>
      <c r="E284" s="21"/>
    </row>
    <row r="285" ht="15.75" customHeight="1">
      <c r="A285" s="74"/>
      <c r="C285" s="77" t="str">
        <f>IF($A285="","",IFERROR(VLOOKUP($A285,StudentRegistry!$A:$D,3,FALSE),"Not found"))</f>
        <v/>
      </c>
      <c r="D285" s="77" t="str">
        <f>IF($A285="","",IFERROR(IF(VLOOKUP($A285,StudentRegistry!$A:$D,4,FALSE)="Active","Yes","Inactive"),"No"))</f>
        <v/>
      </c>
      <c r="E285" s="21"/>
    </row>
    <row r="286" ht="15.75" customHeight="1">
      <c r="A286" s="74"/>
      <c r="C286" s="77" t="str">
        <f>IF($A286="","",IFERROR(VLOOKUP($A286,StudentRegistry!$A:$D,3,FALSE),"Not found"))</f>
        <v/>
      </c>
      <c r="D286" s="77" t="str">
        <f>IF($A286="","",IFERROR(IF(VLOOKUP($A286,StudentRegistry!$A:$D,4,FALSE)="Active","Yes","Inactive"),"No"))</f>
        <v/>
      </c>
      <c r="E286" s="21"/>
    </row>
    <row r="287" ht="15.75" customHeight="1">
      <c r="A287" s="74"/>
      <c r="C287" s="77" t="str">
        <f>IF($A287="","",IFERROR(VLOOKUP($A287,StudentRegistry!$A:$D,3,FALSE),"Not found"))</f>
        <v/>
      </c>
      <c r="D287" s="77" t="str">
        <f>IF($A287="","",IFERROR(IF(VLOOKUP($A287,StudentRegistry!$A:$D,4,FALSE)="Active","Yes","Inactive"),"No"))</f>
        <v/>
      </c>
      <c r="E287" s="21"/>
    </row>
    <row r="288" ht="15.75" customHeight="1">
      <c r="A288" s="74"/>
      <c r="C288" s="77" t="str">
        <f>IF($A288="","",IFERROR(VLOOKUP($A288,StudentRegistry!$A:$D,3,FALSE),"Not found"))</f>
        <v/>
      </c>
      <c r="D288" s="77" t="str">
        <f>IF($A288="","",IFERROR(IF(VLOOKUP($A288,StudentRegistry!$A:$D,4,FALSE)="Active","Yes","Inactive"),"No"))</f>
        <v/>
      </c>
      <c r="E288" s="21"/>
    </row>
    <row r="289" ht="15.75" customHeight="1">
      <c r="A289" s="74"/>
      <c r="C289" s="77" t="str">
        <f>IF($A289="","",IFERROR(VLOOKUP($A289,StudentRegistry!$A:$D,3,FALSE),"Not found"))</f>
        <v/>
      </c>
      <c r="D289" s="77" t="str">
        <f>IF($A289="","",IFERROR(IF(VLOOKUP($A289,StudentRegistry!$A:$D,4,FALSE)="Active","Yes","Inactive"),"No"))</f>
        <v/>
      </c>
      <c r="E289" s="21"/>
    </row>
    <row r="290" ht="15.75" customHeight="1">
      <c r="A290" s="74"/>
      <c r="C290" s="77" t="str">
        <f>IF($A290="","",IFERROR(VLOOKUP($A290,StudentRegistry!$A:$D,3,FALSE),"Not found"))</f>
        <v/>
      </c>
      <c r="D290" s="77" t="str">
        <f>IF($A290="","",IFERROR(IF(VLOOKUP($A290,StudentRegistry!$A:$D,4,FALSE)="Active","Yes","Inactive"),"No"))</f>
        <v/>
      </c>
      <c r="E290" s="21"/>
    </row>
    <row r="291" ht="15.75" customHeight="1">
      <c r="A291" s="74"/>
      <c r="C291" s="77" t="str">
        <f>IF($A291="","",IFERROR(VLOOKUP($A291,StudentRegistry!$A:$D,3,FALSE),"Not found"))</f>
        <v/>
      </c>
      <c r="D291" s="77" t="str">
        <f>IF($A291="","",IFERROR(IF(VLOOKUP($A291,StudentRegistry!$A:$D,4,FALSE)="Active","Yes","Inactive"),"No"))</f>
        <v/>
      </c>
      <c r="E291" s="21"/>
    </row>
    <row r="292" ht="15.75" customHeight="1">
      <c r="A292" s="74"/>
      <c r="C292" s="77" t="str">
        <f>IF($A292="","",IFERROR(VLOOKUP($A292,StudentRegistry!$A:$D,3,FALSE),"Not found"))</f>
        <v/>
      </c>
      <c r="D292" s="77" t="str">
        <f>IF($A292="","",IFERROR(IF(VLOOKUP($A292,StudentRegistry!$A:$D,4,FALSE)="Active","Yes","Inactive"),"No"))</f>
        <v/>
      </c>
      <c r="E292" s="21"/>
    </row>
    <row r="293" ht="15.75" customHeight="1">
      <c r="A293" s="74"/>
      <c r="C293" s="77" t="str">
        <f>IF($A293="","",IFERROR(VLOOKUP($A293,StudentRegistry!$A:$D,3,FALSE),"Not found"))</f>
        <v/>
      </c>
      <c r="D293" s="77" t="str">
        <f>IF($A293="","",IFERROR(IF(VLOOKUP($A293,StudentRegistry!$A:$D,4,FALSE)="Active","Yes","Inactive"),"No"))</f>
        <v/>
      </c>
      <c r="E293" s="21"/>
    </row>
    <row r="294" ht="15.75" customHeight="1">
      <c r="A294" s="74"/>
      <c r="C294" s="77" t="str">
        <f>IF($A294="","",IFERROR(VLOOKUP($A294,StudentRegistry!$A:$D,3,FALSE),"Not found"))</f>
        <v/>
      </c>
      <c r="D294" s="77" t="str">
        <f>IF($A294="","",IFERROR(IF(VLOOKUP($A294,StudentRegistry!$A:$D,4,FALSE)="Active","Yes","Inactive"),"No"))</f>
        <v/>
      </c>
      <c r="E294" s="21"/>
    </row>
    <row r="295" ht="15.75" customHeight="1">
      <c r="A295" s="74"/>
      <c r="C295" s="77" t="str">
        <f>IF($A295="","",IFERROR(VLOOKUP($A295,StudentRegistry!$A:$D,3,FALSE),"Not found"))</f>
        <v/>
      </c>
      <c r="D295" s="77" t="str">
        <f>IF($A295="","",IFERROR(IF(VLOOKUP($A295,StudentRegistry!$A:$D,4,FALSE)="Active","Yes","Inactive"),"No"))</f>
        <v/>
      </c>
      <c r="E295" s="21"/>
    </row>
    <row r="296" ht="15.75" customHeight="1">
      <c r="A296" s="74"/>
      <c r="C296" s="77" t="str">
        <f>IF($A296="","",IFERROR(VLOOKUP($A296,StudentRegistry!$A:$D,3,FALSE),"Not found"))</f>
        <v/>
      </c>
      <c r="D296" s="77" t="str">
        <f>IF($A296="","",IFERROR(IF(VLOOKUP($A296,StudentRegistry!$A:$D,4,FALSE)="Active","Yes","Inactive"),"No"))</f>
        <v/>
      </c>
      <c r="E296" s="21"/>
    </row>
    <row r="297" ht="15.75" customHeight="1">
      <c r="A297" s="74"/>
      <c r="C297" s="77" t="str">
        <f>IF($A297="","",IFERROR(VLOOKUP($A297,StudentRegistry!$A:$D,3,FALSE),"Not found"))</f>
        <v/>
      </c>
      <c r="D297" s="77" t="str">
        <f>IF($A297="","",IFERROR(IF(VLOOKUP($A297,StudentRegistry!$A:$D,4,FALSE)="Active","Yes","Inactive"),"No"))</f>
        <v/>
      </c>
      <c r="E297" s="21"/>
    </row>
    <row r="298" ht="15.75" customHeight="1">
      <c r="A298" s="74"/>
      <c r="C298" s="77" t="str">
        <f>IF($A298="","",IFERROR(VLOOKUP($A298,StudentRegistry!$A:$D,3,FALSE),"Not found"))</f>
        <v/>
      </c>
      <c r="D298" s="77" t="str">
        <f>IF($A298="","",IFERROR(IF(VLOOKUP($A298,StudentRegistry!$A:$D,4,FALSE)="Active","Yes","Inactive"),"No"))</f>
        <v/>
      </c>
      <c r="E298" s="21"/>
    </row>
    <row r="299" ht="15.75" customHeight="1">
      <c r="A299" s="74"/>
      <c r="C299" s="77" t="str">
        <f>IF($A299="","",IFERROR(VLOOKUP($A299,StudentRegistry!$A:$D,3,FALSE),"Not found"))</f>
        <v/>
      </c>
      <c r="D299" s="77" t="str">
        <f>IF($A299="","",IFERROR(IF(VLOOKUP($A299,StudentRegistry!$A:$D,4,FALSE)="Active","Yes","Inactive"),"No"))</f>
        <v/>
      </c>
      <c r="E299" s="21"/>
    </row>
    <row r="300" ht="15.75" customHeight="1">
      <c r="A300" s="74"/>
      <c r="C300" s="77" t="str">
        <f>IF($A300="","",IFERROR(VLOOKUP($A300,StudentRegistry!$A:$D,3,FALSE),"Not found"))</f>
        <v/>
      </c>
      <c r="D300" s="77" t="str">
        <f>IF($A300="","",IFERROR(IF(VLOOKUP($A300,StudentRegistry!$A:$D,4,FALSE)="Active","Yes","Inactive"),"No"))</f>
        <v/>
      </c>
      <c r="E300" s="21"/>
    </row>
    <row r="301" ht="15.75" customHeight="1">
      <c r="A301" s="45"/>
      <c r="C301" s="77" t="str">
        <f>IF($A301="","",IFERROR(VLOOKUP($A301,StudentRegistry!$A:$D,3,FALSE),"Not found"))</f>
        <v/>
      </c>
      <c r="D301" s="77" t="str">
        <f>IF($A301="","",IFERROR(IF(VLOOKUP($A301,StudentRegistry!$A:$D,4,FALSE)="Active","Yes","Inactive"),"No"))</f>
        <v/>
      </c>
    </row>
    <row r="302" ht="15.75" customHeight="1">
      <c r="A302" s="45"/>
      <c r="C302" s="77" t="str">
        <f>IF($A302="","",IFERROR(VLOOKUP($A302,StudentRegistry!$A:$D,3,FALSE),"Not found"))</f>
        <v/>
      </c>
      <c r="D302" s="77" t="str">
        <f>IF($A302="","",IFERROR(IF(VLOOKUP($A302,StudentRegistry!$A:$D,4,FALSE)="Active","Yes","Inactive"),"No"))</f>
        <v/>
      </c>
    </row>
    <row r="303" ht="15.75" customHeight="1">
      <c r="A303" s="45"/>
      <c r="C303" s="77" t="str">
        <f>IF($A303="","",IFERROR(VLOOKUP($A303,StudentRegistry!$A:$D,3,FALSE),"Not found"))</f>
        <v/>
      </c>
      <c r="D303" s="77" t="str">
        <f>IF($A303="","",IFERROR(IF(VLOOKUP($A303,StudentRegistry!$A:$D,4,FALSE)="Active","Yes","Inactive"),"No"))</f>
        <v/>
      </c>
    </row>
    <row r="304" ht="15.75" customHeight="1">
      <c r="A304" s="45"/>
      <c r="C304" s="77" t="str">
        <f>IF($A304="","",IFERROR(VLOOKUP($A304,StudentRegistry!$A:$D,3,FALSE),"Not found"))</f>
        <v/>
      </c>
      <c r="D304" s="77" t="str">
        <f>IF($A304="","",IFERROR(IF(VLOOKUP($A304,StudentRegistry!$A:$D,4,FALSE)="Active","Yes","Inactive"),"No"))</f>
        <v/>
      </c>
    </row>
    <row r="305" ht="15.75" customHeight="1">
      <c r="A305" s="45"/>
      <c r="C305" s="77" t="str">
        <f>IF($A305="","",IFERROR(VLOOKUP($A305,StudentRegistry!$A:$D,3,FALSE),"Not found"))</f>
        <v/>
      </c>
      <c r="D305" s="77" t="str">
        <f>IF($A305="","",IFERROR(IF(VLOOKUP($A305,StudentRegistry!$A:$D,4,FALSE)="Active","Yes","Inactive"),"No"))</f>
        <v/>
      </c>
    </row>
    <row r="306" ht="15.75" customHeight="1">
      <c r="A306" s="45"/>
      <c r="C306" s="77" t="str">
        <f>IF($A306="","",IFERROR(VLOOKUP($A306,StudentRegistry!$A:$D,3,FALSE),"Not found"))</f>
        <v/>
      </c>
      <c r="D306" s="77" t="str">
        <f>IF($A306="","",IFERROR(IF(VLOOKUP($A306,StudentRegistry!$A:$D,4,FALSE)="Active","Yes","Inactive"),"No"))</f>
        <v/>
      </c>
    </row>
    <row r="307" ht="15.75" customHeight="1">
      <c r="A307" s="45"/>
      <c r="C307" s="77" t="str">
        <f>IF($A307="","",IFERROR(VLOOKUP($A307,StudentRegistry!$A:$D,3,FALSE),"Not found"))</f>
        <v/>
      </c>
      <c r="D307" s="77" t="str">
        <f>IF($A307="","",IFERROR(IF(VLOOKUP($A307,StudentRegistry!$A:$D,4,FALSE)="Active","Yes","Inactive"),"No"))</f>
        <v/>
      </c>
    </row>
    <row r="308" ht="15.75" customHeight="1">
      <c r="A308" s="45"/>
      <c r="C308" s="77" t="str">
        <f>IF($A308="","",IFERROR(VLOOKUP($A308,StudentRegistry!$A:$D,3,FALSE),"Not found"))</f>
        <v/>
      </c>
      <c r="D308" s="77" t="str">
        <f>IF($A308="","",IFERROR(IF(VLOOKUP($A308,StudentRegistry!$A:$D,4,FALSE)="Active","Yes","Inactive"),"No"))</f>
        <v/>
      </c>
    </row>
    <row r="309" ht="15.75" customHeight="1">
      <c r="A309" s="45"/>
      <c r="C309" s="77" t="str">
        <f>IF($A309="","",IFERROR(VLOOKUP($A309,StudentRegistry!$A:$D,3,FALSE),"Not found"))</f>
        <v/>
      </c>
      <c r="D309" s="77" t="str">
        <f>IF($A309="","",IFERROR(IF(VLOOKUP($A309,StudentRegistry!$A:$D,4,FALSE)="Active","Yes","Inactive"),"No"))</f>
        <v/>
      </c>
    </row>
    <row r="310" ht="15.75" customHeight="1">
      <c r="A310" s="45"/>
      <c r="C310" s="77" t="str">
        <f>IF($A310="","",IFERROR(VLOOKUP($A310,StudentRegistry!$A:$D,3,FALSE),"Not found"))</f>
        <v/>
      </c>
      <c r="D310" s="77" t="str">
        <f>IF($A310="","",IFERROR(IF(VLOOKUP($A310,StudentRegistry!$A:$D,4,FALSE)="Active","Yes","Inactive"),"No"))</f>
        <v/>
      </c>
    </row>
    <row r="311" ht="15.75" customHeight="1">
      <c r="A311" s="45"/>
      <c r="C311" s="77" t="str">
        <f>IF($A311="","",IFERROR(VLOOKUP($A311,StudentRegistry!$A:$D,3,FALSE),"Not found"))</f>
        <v/>
      </c>
      <c r="D311" s="77" t="str">
        <f>IF($A311="","",IFERROR(IF(VLOOKUP($A311,StudentRegistry!$A:$D,4,FALSE)="Active","Yes","Inactive"),"No"))</f>
        <v/>
      </c>
    </row>
    <row r="312" ht="15.75" customHeight="1">
      <c r="A312" s="45"/>
      <c r="C312" s="77" t="str">
        <f>IF($A312="","",IFERROR(VLOOKUP($A312,StudentRegistry!$A:$D,3,FALSE),"Not found"))</f>
        <v/>
      </c>
      <c r="D312" s="77" t="str">
        <f>IF($A312="","",IFERROR(IF(VLOOKUP($A312,StudentRegistry!$A:$D,4,FALSE)="Active","Yes","Inactive"),"No"))</f>
        <v/>
      </c>
    </row>
    <row r="313" ht="15.75" customHeight="1">
      <c r="A313" s="45"/>
      <c r="C313" s="77" t="str">
        <f>IF($A313="","",IFERROR(VLOOKUP($A313,StudentRegistry!$A:$D,3,FALSE),"Not found"))</f>
        <v/>
      </c>
      <c r="D313" s="77" t="str">
        <f>IF($A313="","",IFERROR(IF(VLOOKUP($A313,StudentRegistry!$A:$D,4,FALSE)="Active","Yes","Inactive"),"No"))</f>
        <v/>
      </c>
    </row>
    <row r="314" ht="15.75" customHeight="1">
      <c r="A314" s="45"/>
      <c r="C314" s="77" t="str">
        <f>IF($A314="","",IFERROR(VLOOKUP($A314,StudentRegistry!$A:$D,3,FALSE),"Not found"))</f>
        <v/>
      </c>
      <c r="D314" s="77" t="str">
        <f>IF($A314="","",IFERROR(IF(VLOOKUP($A314,StudentRegistry!$A:$D,4,FALSE)="Active","Yes","Inactive"),"No"))</f>
        <v/>
      </c>
    </row>
    <row r="315" ht="15.75" customHeight="1">
      <c r="A315" s="45"/>
      <c r="C315" s="77" t="str">
        <f>IF($A315="","",IFERROR(VLOOKUP($A315,StudentRegistry!$A:$D,3,FALSE),"Not found"))</f>
        <v/>
      </c>
      <c r="D315" s="77" t="str">
        <f>IF($A315="","",IFERROR(IF(VLOOKUP($A315,StudentRegistry!$A:$D,4,FALSE)="Active","Yes","Inactive"),"No"))</f>
        <v/>
      </c>
    </row>
    <row r="316" ht="15.75" customHeight="1">
      <c r="A316" s="45"/>
      <c r="C316" s="77" t="str">
        <f>IF($A316="","",IFERROR(VLOOKUP($A316,StudentRegistry!$A:$D,3,FALSE),"Not found"))</f>
        <v/>
      </c>
      <c r="D316" s="77" t="str">
        <f>IF($A316="","",IFERROR(IF(VLOOKUP($A316,StudentRegistry!$A:$D,4,FALSE)="Active","Yes","Inactive"),"No"))</f>
        <v/>
      </c>
    </row>
    <row r="317" ht="15.75" customHeight="1">
      <c r="A317" s="45"/>
      <c r="C317" s="77" t="str">
        <f>IF($A317="","",IFERROR(VLOOKUP($A317,StudentRegistry!$A:$D,3,FALSE),"Not found"))</f>
        <v/>
      </c>
      <c r="D317" s="77" t="str">
        <f>IF($A317="","",IFERROR(IF(VLOOKUP($A317,StudentRegistry!$A:$D,4,FALSE)="Active","Yes","Inactive"),"No"))</f>
        <v/>
      </c>
    </row>
    <row r="318" ht="15.75" customHeight="1">
      <c r="A318" s="45"/>
      <c r="C318" s="77" t="str">
        <f>IF($A318="","",IFERROR(VLOOKUP($A318,StudentRegistry!$A:$D,3,FALSE),"Not found"))</f>
        <v/>
      </c>
      <c r="D318" s="77" t="str">
        <f>IF($A318="","",IFERROR(IF(VLOOKUP($A318,StudentRegistry!$A:$D,4,FALSE)="Active","Yes","Inactive"),"No"))</f>
        <v/>
      </c>
    </row>
    <row r="319" ht="15.75" customHeight="1">
      <c r="A319" s="45"/>
      <c r="C319" s="77" t="str">
        <f>IF($A319="","",IFERROR(VLOOKUP($A319,StudentRegistry!$A:$D,3,FALSE),"Not found"))</f>
        <v/>
      </c>
      <c r="D319" s="77" t="str">
        <f>IF($A319="","",IFERROR(IF(VLOOKUP($A319,StudentRegistry!$A:$D,4,FALSE)="Active","Yes","Inactive"),"No"))</f>
        <v/>
      </c>
    </row>
    <row r="320" ht="15.75" customHeight="1">
      <c r="A320" s="45"/>
      <c r="C320" s="77" t="str">
        <f>IF($A320="","",IFERROR(VLOOKUP($A320,StudentRegistry!$A:$D,3,FALSE),"Not found"))</f>
        <v/>
      </c>
      <c r="D320" s="77" t="str">
        <f>IF($A320="","",IFERROR(IF(VLOOKUP($A320,StudentRegistry!$A:$D,4,FALSE)="Active","Yes","Inactive"),"No"))</f>
        <v/>
      </c>
    </row>
    <row r="321" ht="15.75" customHeight="1">
      <c r="A321" s="45"/>
      <c r="C321" s="77" t="str">
        <f>IF($A321="","",IFERROR(VLOOKUP($A321,StudentRegistry!$A:$D,3,FALSE),"Not found"))</f>
        <v/>
      </c>
      <c r="D321" s="77" t="str">
        <f>IF($A321="","",IFERROR(IF(VLOOKUP($A321,StudentRegistry!$A:$D,4,FALSE)="Active","Yes","Inactive"),"No"))</f>
        <v/>
      </c>
    </row>
    <row r="322" ht="15.75" customHeight="1">
      <c r="A322" s="45"/>
      <c r="C322" s="77" t="str">
        <f>IF($A322="","",IFERROR(VLOOKUP($A322,StudentRegistry!$A:$D,3,FALSE),"Not found"))</f>
        <v/>
      </c>
      <c r="D322" s="77" t="str">
        <f>IF($A322="","",IFERROR(IF(VLOOKUP($A322,StudentRegistry!$A:$D,4,FALSE)="Active","Yes","Inactive"),"No"))</f>
        <v/>
      </c>
    </row>
    <row r="323" ht="15.75" customHeight="1">
      <c r="A323" s="45"/>
      <c r="C323" s="77" t="str">
        <f>IF($A323="","",IFERROR(VLOOKUP($A323,StudentRegistry!$A:$D,3,FALSE),"Not found"))</f>
        <v/>
      </c>
      <c r="D323" s="77" t="str">
        <f>IF($A323="","",IFERROR(IF(VLOOKUP($A323,StudentRegistry!$A:$D,4,FALSE)="Active","Yes","Inactive"),"No"))</f>
        <v/>
      </c>
    </row>
    <row r="324" ht="15.75" customHeight="1">
      <c r="A324" s="45"/>
      <c r="C324" s="77" t="str">
        <f>IF($A324="","",IFERROR(VLOOKUP($A324,StudentRegistry!$A:$D,3,FALSE),"Not found"))</f>
        <v/>
      </c>
      <c r="D324" s="77" t="str">
        <f>IF($A324="","",IFERROR(IF(VLOOKUP($A324,StudentRegistry!$A:$D,4,FALSE)="Active","Yes","Inactive"),"No"))</f>
        <v/>
      </c>
    </row>
    <row r="325" ht="15.75" customHeight="1">
      <c r="A325" s="45"/>
      <c r="C325" s="77" t="str">
        <f>IF($A325="","",IFERROR(VLOOKUP($A325,StudentRegistry!$A:$D,3,FALSE),"Not found"))</f>
        <v/>
      </c>
      <c r="D325" s="77" t="str">
        <f>IF($A325="","",IFERROR(IF(VLOOKUP($A325,StudentRegistry!$A:$D,4,FALSE)="Active","Yes","Inactive"),"No"))</f>
        <v/>
      </c>
    </row>
    <row r="326" ht="15.75" customHeight="1">
      <c r="A326" s="45"/>
      <c r="C326" s="77" t="str">
        <f>IF($A326="","",IFERROR(VLOOKUP($A326,StudentRegistry!$A:$D,3,FALSE),"Not found"))</f>
        <v/>
      </c>
      <c r="D326" s="77" t="str">
        <f>IF($A326="","",IFERROR(IF(VLOOKUP($A326,StudentRegistry!$A:$D,4,FALSE)="Active","Yes","Inactive"),"No"))</f>
        <v/>
      </c>
    </row>
    <row r="327" ht="15.75" customHeight="1">
      <c r="A327" s="45"/>
      <c r="C327" s="77" t="str">
        <f>IF($A327="","",IFERROR(VLOOKUP($A327,StudentRegistry!$A:$D,3,FALSE),"Not found"))</f>
        <v/>
      </c>
      <c r="D327" s="77" t="str">
        <f>IF($A327="","",IFERROR(IF(VLOOKUP($A327,StudentRegistry!$A:$D,4,FALSE)="Active","Yes","Inactive"),"No"))</f>
        <v/>
      </c>
    </row>
    <row r="328" ht="15.75" customHeight="1">
      <c r="A328" s="45"/>
      <c r="C328" s="77" t="str">
        <f>IF($A328="","",IFERROR(VLOOKUP($A328,StudentRegistry!$A:$D,3,FALSE),"Not found"))</f>
        <v/>
      </c>
      <c r="D328" s="77" t="str">
        <f>IF($A328="","",IFERROR(IF(VLOOKUP($A328,StudentRegistry!$A:$D,4,FALSE)="Active","Yes","Inactive"),"No"))</f>
        <v/>
      </c>
    </row>
    <row r="329" ht="15.75" customHeight="1">
      <c r="A329" s="45"/>
      <c r="C329" s="77" t="str">
        <f>IF($A329="","",IFERROR(VLOOKUP($A329,StudentRegistry!$A:$D,3,FALSE),"Not found"))</f>
        <v/>
      </c>
      <c r="D329" s="77" t="str">
        <f>IF($A329="","",IFERROR(IF(VLOOKUP($A329,StudentRegistry!$A:$D,4,FALSE)="Active","Yes","Inactive"),"No"))</f>
        <v/>
      </c>
    </row>
    <row r="330" ht="15.75" customHeight="1">
      <c r="A330" s="45"/>
      <c r="C330" s="77" t="str">
        <f>IF($A330="","",IFERROR(VLOOKUP($A330,StudentRegistry!$A:$D,3,FALSE),"Not found"))</f>
        <v/>
      </c>
      <c r="D330" s="77" t="str">
        <f>IF($A330="","",IFERROR(IF(VLOOKUP($A330,StudentRegistry!$A:$D,4,FALSE)="Active","Yes","Inactive"),"No"))</f>
        <v/>
      </c>
    </row>
    <row r="331" ht="15.75" customHeight="1">
      <c r="A331" s="45"/>
      <c r="C331" s="77" t="str">
        <f>IF($A331="","",IFERROR(VLOOKUP($A331,StudentRegistry!$A:$D,3,FALSE),"Not found"))</f>
        <v/>
      </c>
      <c r="D331" s="77" t="str">
        <f>IF($A331="","",IFERROR(IF(VLOOKUP($A331,StudentRegistry!$A:$D,4,FALSE)="Active","Yes","Inactive"),"No"))</f>
        <v/>
      </c>
    </row>
    <row r="332" ht="15.75" customHeight="1">
      <c r="A332" s="45"/>
      <c r="C332" s="77" t="str">
        <f>IF($A332="","",IFERROR(VLOOKUP($A332,StudentRegistry!$A:$D,3,FALSE),"Not found"))</f>
        <v/>
      </c>
      <c r="D332" s="77" t="str">
        <f>IF($A332="","",IFERROR(IF(VLOOKUP($A332,StudentRegistry!$A:$D,4,FALSE)="Active","Yes","Inactive"),"No"))</f>
        <v/>
      </c>
    </row>
    <row r="333" ht="15.75" customHeight="1">
      <c r="A333" s="45"/>
      <c r="C333" s="77" t="str">
        <f>IF($A333="","",IFERROR(VLOOKUP($A333,StudentRegistry!$A:$D,3,FALSE),"Not found"))</f>
        <v/>
      </c>
      <c r="D333" s="77" t="str">
        <f>IF($A333="","",IFERROR(IF(VLOOKUP($A333,StudentRegistry!$A:$D,4,FALSE)="Active","Yes","Inactive"),"No"))</f>
        <v/>
      </c>
    </row>
    <row r="334" ht="15.75" customHeight="1">
      <c r="A334" s="45"/>
      <c r="C334" s="77" t="str">
        <f>IF($A334="","",IFERROR(VLOOKUP($A334,StudentRegistry!$A:$D,3,FALSE),"Not found"))</f>
        <v/>
      </c>
      <c r="D334" s="77" t="str">
        <f>IF($A334="","",IFERROR(IF(VLOOKUP($A334,StudentRegistry!$A:$D,4,FALSE)="Active","Yes","Inactive"),"No"))</f>
        <v/>
      </c>
    </row>
    <row r="335" ht="15.75" customHeight="1">
      <c r="A335" s="45"/>
      <c r="C335" s="77" t="str">
        <f>IF($A335="","",IFERROR(VLOOKUP($A335,StudentRegistry!$A:$D,3,FALSE),"Not found"))</f>
        <v/>
      </c>
      <c r="D335" s="77" t="str">
        <f>IF($A335="","",IFERROR(IF(VLOOKUP($A335,StudentRegistry!$A:$D,4,FALSE)="Active","Yes","Inactive"),"No"))</f>
        <v/>
      </c>
    </row>
    <row r="336" ht="15.75" customHeight="1">
      <c r="A336" s="45"/>
      <c r="C336" s="77" t="str">
        <f>IF($A336="","",IFERROR(VLOOKUP($A336,StudentRegistry!$A:$D,3,FALSE),"Not found"))</f>
        <v/>
      </c>
      <c r="D336" s="77" t="str">
        <f>IF($A336="","",IFERROR(IF(VLOOKUP($A336,StudentRegistry!$A:$D,4,FALSE)="Active","Yes","Inactive"),"No"))</f>
        <v/>
      </c>
    </row>
    <row r="337" ht="15.75" customHeight="1">
      <c r="A337" s="45"/>
      <c r="C337" s="77" t="str">
        <f>IF($A337="","",IFERROR(VLOOKUP($A337,StudentRegistry!$A:$D,3,FALSE),"Not found"))</f>
        <v/>
      </c>
      <c r="D337" s="77" t="str">
        <f>IF($A337="","",IFERROR(IF(VLOOKUP($A337,StudentRegistry!$A:$D,4,FALSE)="Active","Yes","Inactive"),"No"))</f>
        <v/>
      </c>
    </row>
    <row r="338" ht="15.75" customHeight="1">
      <c r="A338" s="45"/>
      <c r="C338" s="77" t="str">
        <f>IF($A338="","",IFERROR(VLOOKUP($A338,StudentRegistry!$A:$D,3,FALSE),"Not found"))</f>
        <v/>
      </c>
      <c r="D338" s="77" t="str">
        <f>IF($A338="","",IFERROR(IF(VLOOKUP($A338,StudentRegistry!$A:$D,4,FALSE)="Active","Yes","Inactive"),"No"))</f>
        <v/>
      </c>
    </row>
    <row r="339" ht="15.75" customHeight="1">
      <c r="A339" s="45"/>
      <c r="C339" s="77" t="str">
        <f>IF($A339="","",IFERROR(VLOOKUP($A339,StudentRegistry!$A:$D,3,FALSE),"Not found"))</f>
        <v/>
      </c>
      <c r="D339" s="77" t="str">
        <f>IF($A339="","",IFERROR(IF(VLOOKUP($A339,StudentRegistry!$A:$D,4,FALSE)="Active","Yes","Inactive"),"No"))</f>
        <v/>
      </c>
    </row>
    <row r="340" ht="15.75" customHeight="1">
      <c r="A340" s="45"/>
      <c r="C340" s="77" t="str">
        <f>IF($A340="","",IFERROR(VLOOKUP($A340,StudentRegistry!$A:$D,3,FALSE),"Not found"))</f>
        <v/>
      </c>
      <c r="D340" s="77" t="str">
        <f>IF($A340="","",IFERROR(IF(VLOOKUP($A340,StudentRegistry!$A:$D,4,FALSE)="Active","Yes","Inactive"),"No"))</f>
        <v/>
      </c>
    </row>
    <row r="341" ht="15.75" customHeight="1">
      <c r="A341" s="45"/>
      <c r="C341" s="77" t="str">
        <f>IF($A341="","",IFERROR(VLOOKUP($A341,StudentRegistry!$A:$D,3,FALSE),"Not found"))</f>
        <v/>
      </c>
      <c r="D341" s="77" t="str">
        <f>IF($A341="","",IFERROR(IF(VLOOKUP($A341,StudentRegistry!$A:$D,4,FALSE)="Active","Yes","Inactive"),"No"))</f>
        <v/>
      </c>
    </row>
    <row r="342" ht="15.75" customHeight="1">
      <c r="A342" s="45"/>
      <c r="C342" s="77" t="str">
        <f>IF($A342="","",IFERROR(VLOOKUP($A342,StudentRegistry!$A:$D,3,FALSE),"Not found"))</f>
        <v/>
      </c>
      <c r="D342" s="77" t="str">
        <f>IF($A342="","",IFERROR(IF(VLOOKUP($A342,StudentRegistry!$A:$D,4,FALSE)="Active","Yes","Inactive"),"No"))</f>
        <v/>
      </c>
    </row>
    <row r="343" ht="15.75" customHeight="1">
      <c r="A343" s="45"/>
      <c r="C343" s="77" t="str">
        <f>IF($A343="","",IFERROR(VLOOKUP($A343,StudentRegistry!$A:$D,3,FALSE),"Not found"))</f>
        <v/>
      </c>
      <c r="D343" s="77" t="str">
        <f>IF($A343="","",IFERROR(IF(VLOOKUP($A343,StudentRegistry!$A:$D,4,FALSE)="Active","Yes","Inactive"),"No"))</f>
        <v/>
      </c>
    </row>
    <row r="344" ht="15.75" customHeight="1">
      <c r="A344" s="45"/>
      <c r="C344" s="77" t="str">
        <f>IF($A344="","",IFERROR(VLOOKUP($A344,StudentRegistry!$A:$D,3,FALSE),"Not found"))</f>
        <v/>
      </c>
      <c r="D344" s="77" t="str">
        <f>IF($A344="","",IFERROR(IF(VLOOKUP($A344,StudentRegistry!$A:$D,4,FALSE)="Active","Yes","Inactive"),"No"))</f>
        <v/>
      </c>
    </row>
    <row r="345" ht="15.75" customHeight="1">
      <c r="A345" s="45"/>
      <c r="C345" s="77" t="str">
        <f>IF($A345="","",IFERROR(VLOOKUP($A345,StudentRegistry!$A:$D,3,FALSE),"Not found"))</f>
        <v/>
      </c>
      <c r="D345" s="77" t="str">
        <f>IF($A345="","",IFERROR(IF(VLOOKUP($A345,StudentRegistry!$A:$D,4,FALSE)="Active","Yes","Inactive"),"No"))</f>
        <v/>
      </c>
    </row>
    <row r="346" ht="15.75" customHeight="1">
      <c r="A346" s="45"/>
      <c r="C346" s="77" t="str">
        <f>IF($A346="","",IFERROR(VLOOKUP($A346,StudentRegistry!$A:$D,3,FALSE),"Not found"))</f>
        <v/>
      </c>
      <c r="D346" s="77" t="str">
        <f>IF($A346="","",IFERROR(IF(VLOOKUP($A346,StudentRegistry!$A:$D,4,FALSE)="Active","Yes","Inactive"),"No"))</f>
        <v/>
      </c>
    </row>
    <row r="347" ht="15.75" customHeight="1">
      <c r="A347" s="45"/>
      <c r="C347" s="77" t="str">
        <f>IF($A347="","",IFERROR(VLOOKUP($A347,StudentRegistry!$A:$D,3,FALSE),"Not found"))</f>
        <v/>
      </c>
      <c r="D347" s="77" t="str">
        <f>IF($A347="","",IFERROR(IF(VLOOKUP($A347,StudentRegistry!$A:$D,4,FALSE)="Active","Yes","Inactive"),"No"))</f>
        <v/>
      </c>
    </row>
    <row r="348" ht="15.75" customHeight="1">
      <c r="A348" s="45"/>
      <c r="C348" s="77" t="str">
        <f>IF($A348="","",IFERROR(VLOOKUP($A348,StudentRegistry!$A:$D,3,FALSE),"Not found"))</f>
        <v/>
      </c>
      <c r="D348" s="77" t="str">
        <f>IF($A348="","",IFERROR(IF(VLOOKUP($A348,StudentRegistry!$A:$D,4,FALSE)="Active","Yes","Inactive"),"No"))</f>
        <v/>
      </c>
    </row>
    <row r="349" ht="15.75" customHeight="1">
      <c r="A349" s="45"/>
      <c r="C349" s="77" t="str">
        <f>IF($A349="","",IFERROR(VLOOKUP($A349,StudentRegistry!$A:$D,3,FALSE),"Not found"))</f>
        <v/>
      </c>
      <c r="D349" s="77" t="str">
        <f>IF($A349="","",IFERROR(IF(VLOOKUP($A349,StudentRegistry!$A:$D,4,FALSE)="Active","Yes","Inactive"),"No"))</f>
        <v/>
      </c>
    </row>
    <row r="350" ht="15.75" customHeight="1">
      <c r="A350" s="45"/>
      <c r="C350" s="77" t="str">
        <f>IF($A350="","",IFERROR(VLOOKUP($A350,StudentRegistry!$A:$D,3,FALSE),"Not found"))</f>
        <v/>
      </c>
      <c r="D350" s="77" t="str">
        <f>IF($A350="","",IFERROR(IF(VLOOKUP($A350,StudentRegistry!$A:$D,4,FALSE)="Active","Yes","Inactive"),"No"))</f>
        <v/>
      </c>
    </row>
    <row r="351" ht="15.75" customHeight="1">
      <c r="A351" s="45"/>
      <c r="C351" s="77" t="str">
        <f>IF($A351="","",IFERROR(VLOOKUP($A351,StudentRegistry!$A:$D,3,FALSE),"Not found"))</f>
        <v/>
      </c>
      <c r="D351" s="77" t="str">
        <f>IF($A351="","",IFERROR(IF(VLOOKUP($A351,StudentRegistry!$A:$D,4,FALSE)="Active","Yes","Inactive"),"No"))</f>
        <v/>
      </c>
    </row>
    <row r="352" ht="15.75" customHeight="1">
      <c r="A352" s="45"/>
      <c r="C352" s="77" t="str">
        <f>IF($A352="","",IFERROR(VLOOKUP($A352,StudentRegistry!$A:$D,3,FALSE),"Not found"))</f>
        <v/>
      </c>
      <c r="D352" s="77" t="str">
        <f>IF($A352="","",IFERROR(IF(VLOOKUP($A352,StudentRegistry!$A:$D,4,FALSE)="Active","Yes","Inactive"),"No"))</f>
        <v/>
      </c>
    </row>
    <row r="353" ht="15.75" customHeight="1">
      <c r="A353" s="45"/>
      <c r="C353" s="77" t="str">
        <f>IF($A353="","",IFERROR(VLOOKUP($A353,StudentRegistry!$A:$D,3,FALSE),"Not found"))</f>
        <v/>
      </c>
      <c r="D353" s="77" t="str">
        <f>IF($A353="","",IFERROR(IF(VLOOKUP($A353,StudentRegistry!$A:$D,4,FALSE)="Active","Yes","Inactive"),"No"))</f>
        <v/>
      </c>
    </row>
    <row r="354" ht="15.75" customHeight="1">
      <c r="A354" s="45"/>
      <c r="C354" s="77" t="str">
        <f>IF($A354="","",IFERROR(VLOOKUP($A354,StudentRegistry!$A:$D,3,FALSE),"Not found"))</f>
        <v/>
      </c>
      <c r="D354" s="77" t="str">
        <f>IF($A354="","",IFERROR(IF(VLOOKUP($A354,StudentRegistry!$A:$D,4,FALSE)="Active","Yes","Inactive"),"No"))</f>
        <v/>
      </c>
    </row>
    <row r="355" ht="15.75" customHeight="1">
      <c r="A355" s="45"/>
      <c r="C355" s="77" t="str">
        <f>IF($A355="","",IFERROR(VLOOKUP($A355,StudentRegistry!$A:$D,3,FALSE),"Not found"))</f>
        <v/>
      </c>
      <c r="D355" s="77" t="str">
        <f>IF($A355="","",IFERROR(IF(VLOOKUP($A355,StudentRegistry!$A:$D,4,FALSE)="Active","Yes","Inactive"),"No"))</f>
        <v/>
      </c>
    </row>
    <row r="356" ht="15.75" customHeight="1">
      <c r="A356" s="45"/>
      <c r="C356" s="77" t="str">
        <f>IF($A356="","",IFERROR(VLOOKUP($A356,StudentRegistry!$A:$D,3,FALSE),"Not found"))</f>
        <v/>
      </c>
      <c r="D356" s="77" t="str">
        <f>IF($A356="","",IFERROR(IF(VLOOKUP($A356,StudentRegistry!$A:$D,4,FALSE)="Active","Yes","Inactive"),"No"))</f>
        <v/>
      </c>
    </row>
    <row r="357" ht="15.75" customHeight="1">
      <c r="A357" s="45"/>
      <c r="C357" s="77" t="str">
        <f>IF($A357="","",IFERROR(VLOOKUP($A357,StudentRegistry!$A:$D,3,FALSE),"Not found"))</f>
        <v/>
      </c>
      <c r="D357" s="77" t="str">
        <f>IF($A357="","",IFERROR(IF(VLOOKUP($A357,StudentRegistry!$A:$D,4,FALSE)="Active","Yes","Inactive"),"No"))</f>
        <v/>
      </c>
    </row>
    <row r="358" ht="15.75" customHeight="1">
      <c r="A358" s="45"/>
      <c r="C358" s="77" t="str">
        <f>IF($A358="","",IFERROR(VLOOKUP($A358,StudentRegistry!$A:$D,3,FALSE),"Not found"))</f>
        <v/>
      </c>
      <c r="D358" s="77" t="str">
        <f>IF($A358="","",IFERROR(IF(VLOOKUP($A358,StudentRegistry!$A:$D,4,FALSE)="Active","Yes","Inactive"),"No"))</f>
        <v/>
      </c>
    </row>
    <row r="359" ht="15.75" customHeight="1">
      <c r="A359" s="45"/>
      <c r="C359" s="77" t="str">
        <f>IF($A359="","",IFERROR(VLOOKUP($A359,StudentRegistry!$A:$D,3,FALSE),"Not found"))</f>
        <v/>
      </c>
      <c r="D359" s="77" t="str">
        <f>IF($A359="","",IFERROR(IF(VLOOKUP($A359,StudentRegistry!$A:$D,4,FALSE)="Active","Yes","Inactive"),"No"))</f>
        <v/>
      </c>
    </row>
    <row r="360" ht="15.75" customHeight="1">
      <c r="A360" s="45"/>
      <c r="C360" s="77" t="str">
        <f>IF($A360="","",IFERROR(VLOOKUP($A360,StudentRegistry!$A:$D,3,FALSE),"Not found"))</f>
        <v/>
      </c>
      <c r="D360" s="77" t="str">
        <f>IF($A360="","",IFERROR(IF(VLOOKUP($A360,StudentRegistry!$A:$D,4,FALSE)="Active","Yes","Inactive"),"No"))</f>
        <v/>
      </c>
    </row>
    <row r="361" ht="15.75" customHeight="1">
      <c r="A361" s="45"/>
      <c r="C361" s="77" t="str">
        <f>IF($A361="","",IFERROR(VLOOKUP($A361,StudentRegistry!$A:$D,3,FALSE),"Not found"))</f>
        <v/>
      </c>
      <c r="D361" s="77" t="str">
        <f>IF($A361="","",IFERROR(IF(VLOOKUP($A361,StudentRegistry!$A:$D,4,FALSE)="Active","Yes","Inactive"),"No"))</f>
        <v/>
      </c>
    </row>
    <row r="362" ht="15.75" customHeight="1">
      <c r="A362" s="45"/>
      <c r="C362" s="77" t="str">
        <f>IF($A362="","",IFERROR(VLOOKUP($A362,StudentRegistry!$A:$D,3,FALSE),"Not found"))</f>
        <v/>
      </c>
      <c r="D362" s="77" t="str">
        <f>IF($A362="","",IFERROR(IF(VLOOKUP($A362,StudentRegistry!$A:$D,4,FALSE)="Active","Yes","Inactive"),"No"))</f>
        <v/>
      </c>
    </row>
    <row r="363" ht="15.75" customHeight="1">
      <c r="A363" s="45"/>
      <c r="C363" s="77" t="str">
        <f>IF($A363="","",IFERROR(VLOOKUP($A363,StudentRegistry!$A:$D,3,FALSE),"Not found"))</f>
        <v/>
      </c>
      <c r="D363" s="77" t="str">
        <f>IF($A363="","",IFERROR(IF(VLOOKUP($A363,StudentRegistry!$A:$D,4,FALSE)="Active","Yes","Inactive"),"No"))</f>
        <v/>
      </c>
    </row>
    <row r="364" ht="15.75" customHeight="1">
      <c r="A364" s="45"/>
      <c r="C364" s="77" t="str">
        <f>IF($A364="","",IFERROR(VLOOKUP($A364,StudentRegistry!$A:$D,3,FALSE),"Not found"))</f>
        <v/>
      </c>
      <c r="D364" s="77" t="str">
        <f>IF($A364="","",IFERROR(IF(VLOOKUP($A364,StudentRegistry!$A:$D,4,FALSE)="Active","Yes","Inactive"),"No"))</f>
        <v/>
      </c>
    </row>
    <row r="365" ht="15.75" customHeight="1">
      <c r="A365" s="45"/>
      <c r="C365" s="77" t="str">
        <f>IF($A365="","",IFERROR(VLOOKUP($A365,StudentRegistry!$A:$D,3,FALSE),"Not found"))</f>
        <v/>
      </c>
      <c r="D365" s="77" t="str">
        <f>IF($A365="","",IFERROR(IF(VLOOKUP($A365,StudentRegistry!$A:$D,4,FALSE)="Active","Yes","Inactive"),"No"))</f>
        <v/>
      </c>
    </row>
    <row r="366" ht="15.75" customHeight="1">
      <c r="A366" s="45"/>
      <c r="C366" s="77" t="str">
        <f>IF($A366="","",IFERROR(VLOOKUP($A366,StudentRegistry!$A:$D,3,FALSE),"Not found"))</f>
        <v/>
      </c>
      <c r="D366" s="77" t="str">
        <f>IF($A366="","",IFERROR(IF(VLOOKUP($A366,StudentRegistry!$A:$D,4,FALSE)="Active","Yes","Inactive"),"No"))</f>
        <v/>
      </c>
    </row>
    <row r="367" ht="15.75" customHeight="1">
      <c r="A367" s="45"/>
      <c r="C367" s="77" t="str">
        <f>IF($A367="","",IFERROR(VLOOKUP($A367,StudentRegistry!$A:$D,3,FALSE),"Not found"))</f>
        <v/>
      </c>
      <c r="D367" s="77" t="str">
        <f>IF($A367="","",IFERROR(IF(VLOOKUP($A367,StudentRegistry!$A:$D,4,FALSE)="Active","Yes","Inactive"),"No"))</f>
        <v/>
      </c>
    </row>
    <row r="368" ht="15.75" customHeight="1">
      <c r="A368" s="45"/>
      <c r="C368" s="77" t="str">
        <f>IF($A368="","",IFERROR(VLOOKUP($A368,StudentRegistry!$A:$D,3,FALSE),"Not found"))</f>
        <v/>
      </c>
      <c r="D368" s="77" t="str">
        <f>IF($A368="","",IFERROR(IF(VLOOKUP($A368,StudentRegistry!$A:$D,4,FALSE)="Active","Yes","Inactive"),"No"))</f>
        <v/>
      </c>
    </row>
    <row r="369" ht="15.75" customHeight="1">
      <c r="A369" s="45"/>
      <c r="C369" s="77" t="str">
        <f>IF($A369="","",IFERROR(VLOOKUP($A369,StudentRegistry!$A:$D,3,FALSE),"Not found"))</f>
        <v/>
      </c>
      <c r="D369" s="77" t="str">
        <f>IF($A369="","",IFERROR(IF(VLOOKUP($A369,StudentRegistry!$A:$D,4,FALSE)="Active","Yes","Inactive"),"No"))</f>
        <v/>
      </c>
    </row>
    <row r="370" ht="15.75" customHeight="1">
      <c r="A370" s="45"/>
      <c r="C370" s="77" t="str">
        <f>IF($A370="","",IFERROR(VLOOKUP($A370,StudentRegistry!$A:$D,3,FALSE),"Not found"))</f>
        <v/>
      </c>
      <c r="D370" s="77" t="str">
        <f>IF($A370="","",IFERROR(IF(VLOOKUP($A370,StudentRegistry!$A:$D,4,FALSE)="Active","Yes","Inactive"),"No"))</f>
        <v/>
      </c>
    </row>
    <row r="371" ht="15.75" customHeight="1">
      <c r="A371" s="45"/>
      <c r="C371" s="77" t="str">
        <f>IF($A371="","",IFERROR(VLOOKUP($A371,StudentRegistry!$A:$D,3,FALSE),"Not found"))</f>
        <v/>
      </c>
      <c r="D371" s="77" t="str">
        <f>IF($A371="","",IFERROR(IF(VLOOKUP($A371,StudentRegistry!$A:$D,4,FALSE)="Active","Yes","Inactive"),"No"))</f>
        <v/>
      </c>
    </row>
    <row r="372" ht="15.75" customHeight="1">
      <c r="A372" s="45"/>
      <c r="C372" s="77" t="str">
        <f>IF($A372="","",IFERROR(VLOOKUP($A372,StudentRegistry!$A:$D,3,FALSE),"Not found"))</f>
        <v/>
      </c>
      <c r="D372" s="77" t="str">
        <f>IF($A372="","",IFERROR(IF(VLOOKUP($A372,StudentRegistry!$A:$D,4,FALSE)="Active","Yes","Inactive"),"No"))</f>
        <v/>
      </c>
    </row>
    <row r="373" ht="15.75" customHeight="1">
      <c r="A373" s="45"/>
      <c r="C373" s="77" t="str">
        <f>IF($A373="","",IFERROR(VLOOKUP($A373,StudentRegistry!$A:$D,3,FALSE),"Not found"))</f>
        <v/>
      </c>
      <c r="D373" s="77" t="str">
        <f>IF($A373="","",IFERROR(IF(VLOOKUP($A373,StudentRegistry!$A:$D,4,FALSE)="Active","Yes","Inactive"),"No"))</f>
        <v/>
      </c>
    </row>
    <row r="374" ht="15.75" customHeight="1">
      <c r="A374" s="45"/>
      <c r="C374" s="77" t="str">
        <f>IF($A374="","",IFERROR(VLOOKUP($A374,StudentRegistry!$A:$D,3,FALSE),"Not found"))</f>
        <v/>
      </c>
      <c r="D374" s="77" t="str">
        <f>IF($A374="","",IFERROR(IF(VLOOKUP($A374,StudentRegistry!$A:$D,4,FALSE)="Active","Yes","Inactive"),"No"))</f>
        <v/>
      </c>
    </row>
    <row r="375" ht="15.75" customHeight="1">
      <c r="A375" s="45"/>
      <c r="C375" s="77" t="str">
        <f>IF($A375="","",IFERROR(VLOOKUP($A375,StudentRegistry!$A:$D,3,FALSE),"Not found"))</f>
        <v/>
      </c>
      <c r="D375" s="77" t="str">
        <f>IF($A375="","",IFERROR(IF(VLOOKUP($A375,StudentRegistry!$A:$D,4,FALSE)="Active","Yes","Inactive"),"No"))</f>
        <v/>
      </c>
    </row>
    <row r="376" ht="15.75" customHeight="1">
      <c r="A376" s="45"/>
      <c r="C376" s="77" t="str">
        <f>IF($A376="","",IFERROR(VLOOKUP($A376,StudentRegistry!$A:$D,3,FALSE),"Not found"))</f>
        <v/>
      </c>
      <c r="D376" s="77" t="str">
        <f>IF($A376="","",IFERROR(IF(VLOOKUP($A376,StudentRegistry!$A:$D,4,FALSE)="Active","Yes","Inactive"),"No"))</f>
        <v/>
      </c>
    </row>
    <row r="377" ht="15.75" customHeight="1">
      <c r="A377" s="45"/>
      <c r="C377" s="77" t="str">
        <f>IF($A377="","",IFERROR(VLOOKUP($A377,StudentRegistry!$A:$D,3,FALSE),"Not found"))</f>
        <v/>
      </c>
      <c r="D377" s="77" t="str">
        <f>IF($A377="","",IFERROR(IF(VLOOKUP($A377,StudentRegistry!$A:$D,4,FALSE)="Active","Yes","Inactive"),"No"))</f>
        <v/>
      </c>
    </row>
    <row r="378" ht="15.75" customHeight="1">
      <c r="A378" s="45"/>
      <c r="C378" s="77" t="str">
        <f>IF($A378="","",IFERROR(VLOOKUP($A378,StudentRegistry!$A:$D,3,FALSE),"Not found"))</f>
        <v/>
      </c>
      <c r="D378" s="77" t="str">
        <f>IF($A378="","",IFERROR(IF(VLOOKUP($A378,StudentRegistry!$A:$D,4,FALSE)="Active","Yes","Inactive"),"No"))</f>
        <v/>
      </c>
    </row>
    <row r="379" ht="15.75" customHeight="1">
      <c r="A379" s="45"/>
      <c r="C379" s="77" t="str">
        <f>IF($A379="","",IFERROR(VLOOKUP($A379,StudentRegistry!$A:$D,3,FALSE),"Not found"))</f>
        <v/>
      </c>
      <c r="D379" s="77" t="str">
        <f>IF($A379="","",IFERROR(IF(VLOOKUP($A379,StudentRegistry!$A:$D,4,FALSE)="Active","Yes","Inactive"),"No"))</f>
        <v/>
      </c>
    </row>
    <row r="380" ht="15.75" customHeight="1">
      <c r="A380" s="45"/>
      <c r="C380" s="77" t="str">
        <f>IF($A380="","",IFERROR(VLOOKUP($A380,StudentRegistry!$A:$D,3,FALSE),"Not found"))</f>
        <v/>
      </c>
      <c r="D380" s="77" t="str">
        <f>IF($A380="","",IFERROR(IF(VLOOKUP($A380,StudentRegistry!$A:$D,4,FALSE)="Active","Yes","Inactive"),"No"))</f>
        <v/>
      </c>
    </row>
    <row r="381" ht="15.75" customHeight="1">
      <c r="A381" s="45"/>
      <c r="C381" s="77" t="str">
        <f>IF($A381="","",IFERROR(VLOOKUP($A381,StudentRegistry!$A:$D,3,FALSE),"Not found"))</f>
        <v/>
      </c>
      <c r="D381" s="77" t="str">
        <f>IF($A381="","",IFERROR(IF(VLOOKUP($A381,StudentRegistry!$A:$D,4,FALSE)="Active","Yes","Inactive"),"No"))</f>
        <v/>
      </c>
    </row>
    <row r="382" ht="15.75" customHeight="1">
      <c r="A382" s="45"/>
      <c r="C382" s="77" t="str">
        <f>IF($A382="","",IFERROR(VLOOKUP($A382,StudentRegistry!$A:$D,3,FALSE),"Not found"))</f>
        <v/>
      </c>
      <c r="D382" s="77" t="str">
        <f>IF($A382="","",IFERROR(IF(VLOOKUP($A382,StudentRegistry!$A:$D,4,FALSE)="Active","Yes","Inactive"),"No"))</f>
        <v/>
      </c>
    </row>
    <row r="383" ht="15.75" customHeight="1">
      <c r="A383" s="45"/>
      <c r="C383" s="77" t="str">
        <f>IF($A383="","",IFERROR(VLOOKUP($A383,StudentRegistry!$A:$D,3,FALSE),"Not found"))</f>
        <v/>
      </c>
      <c r="D383" s="77" t="str">
        <f>IF($A383="","",IFERROR(IF(VLOOKUP($A383,StudentRegistry!$A:$D,4,FALSE)="Active","Yes","Inactive"),"No"))</f>
        <v/>
      </c>
    </row>
    <row r="384" ht="15.75" customHeight="1">
      <c r="A384" s="45"/>
      <c r="C384" s="77" t="str">
        <f>IF($A384="","",IFERROR(VLOOKUP($A384,StudentRegistry!$A:$D,3,FALSE),"Not found"))</f>
        <v/>
      </c>
      <c r="D384" s="77" t="str">
        <f>IF($A384="","",IFERROR(IF(VLOOKUP($A384,StudentRegistry!$A:$D,4,FALSE)="Active","Yes","Inactive"),"No"))</f>
        <v/>
      </c>
    </row>
    <row r="385" ht="15.75" customHeight="1">
      <c r="A385" s="45"/>
      <c r="C385" s="77" t="str">
        <f>IF($A385="","",IFERROR(VLOOKUP($A385,StudentRegistry!$A:$D,3,FALSE),"Not found"))</f>
        <v/>
      </c>
      <c r="D385" s="77" t="str">
        <f>IF($A385="","",IFERROR(IF(VLOOKUP($A385,StudentRegistry!$A:$D,4,FALSE)="Active","Yes","Inactive"),"No"))</f>
        <v/>
      </c>
    </row>
    <row r="386" ht="15.75" customHeight="1">
      <c r="A386" s="45"/>
      <c r="C386" s="77" t="str">
        <f>IF($A386="","",IFERROR(VLOOKUP($A386,StudentRegistry!$A:$D,3,FALSE),"Not found"))</f>
        <v/>
      </c>
      <c r="D386" s="77" t="str">
        <f>IF($A386="","",IFERROR(IF(VLOOKUP($A386,StudentRegistry!$A:$D,4,FALSE)="Active","Yes","Inactive"),"No"))</f>
        <v/>
      </c>
    </row>
    <row r="387" ht="15.75" customHeight="1">
      <c r="A387" s="45"/>
      <c r="C387" s="77" t="str">
        <f>IF($A387="","",IFERROR(VLOOKUP($A387,StudentRegistry!$A:$D,3,FALSE),"Not found"))</f>
        <v/>
      </c>
      <c r="D387" s="77" t="str">
        <f>IF($A387="","",IFERROR(IF(VLOOKUP($A387,StudentRegistry!$A:$D,4,FALSE)="Active","Yes","Inactive"),"No"))</f>
        <v/>
      </c>
    </row>
    <row r="388" ht="15.75" customHeight="1">
      <c r="A388" s="45"/>
      <c r="C388" s="77" t="str">
        <f>IF($A388="","",IFERROR(VLOOKUP($A388,StudentRegistry!$A:$D,3,FALSE),"Not found"))</f>
        <v/>
      </c>
      <c r="D388" s="77" t="str">
        <f>IF($A388="","",IFERROR(IF(VLOOKUP($A388,StudentRegistry!$A:$D,4,FALSE)="Active","Yes","Inactive"),"No"))</f>
        <v/>
      </c>
    </row>
    <row r="389" ht="15.75" customHeight="1">
      <c r="A389" s="45"/>
      <c r="C389" s="77" t="str">
        <f>IF($A389="","",IFERROR(VLOOKUP($A389,StudentRegistry!$A:$D,3,FALSE),"Not found"))</f>
        <v/>
      </c>
      <c r="D389" s="77" t="str">
        <f>IF($A389="","",IFERROR(IF(VLOOKUP($A389,StudentRegistry!$A:$D,4,FALSE)="Active","Yes","Inactive"),"No"))</f>
        <v/>
      </c>
    </row>
    <row r="390" ht="15.75" customHeight="1">
      <c r="A390" s="45"/>
      <c r="C390" s="77" t="str">
        <f>IF($A390="","",IFERROR(VLOOKUP($A390,StudentRegistry!$A:$D,3,FALSE),"Not found"))</f>
        <v/>
      </c>
      <c r="D390" s="77" t="str">
        <f>IF($A390="","",IFERROR(IF(VLOOKUP($A390,StudentRegistry!$A:$D,4,FALSE)="Active","Yes","Inactive"),"No"))</f>
        <v/>
      </c>
    </row>
    <row r="391" ht="15.75" customHeight="1">
      <c r="A391" s="45"/>
      <c r="C391" s="77" t="str">
        <f>IF($A391="","",IFERROR(VLOOKUP($A391,StudentRegistry!$A:$D,3,FALSE),"Not found"))</f>
        <v/>
      </c>
      <c r="D391" s="77" t="str">
        <f>IF($A391="","",IFERROR(IF(VLOOKUP($A391,StudentRegistry!$A:$D,4,FALSE)="Active","Yes","Inactive"),"No"))</f>
        <v/>
      </c>
    </row>
    <row r="392" ht="15.75" customHeight="1">
      <c r="A392" s="45"/>
      <c r="C392" s="77" t="str">
        <f>IF($A392="","",IFERROR(VLOOKUP($A392,StudentRegistry!$A:$D,3,FALSE),"Not found"))</f>
        <v/>
      </c>
      <c r="D392" s="77" t="str">
        <f>IF($A392="","",IFERROR(IF(VLOOKUP($A392,StudentRegistry!$A:$D,4,FALSE)="Active","Yes","Inactive"),"No"))</f>
        <v/>
      </c>
    </row>
    <row r="393" ht="15.75" customHeight="1">
      <c r="A393" s="45"/>
      <c r="C393" s="77" t="str">
        <f>IF($A393="","",IFERROR(VLOOKUP($A393,StudentRegistry!$A:$D,3,FALSE),"Not found"))</f>
        <v/>
      </c>
      <c r="D393" s="77" t="str">
        <f>IF($A393="","",IFERROR(IF(VLOOKUP($A393,StudentRegistry!$A:$D,4,FALSE)="Active","Yes","Inactive"),"No"))</f>
        <v/>
      </c>
    </row>
    <row r="394" ht="15.75" customHeight="1">
      <c r="A394" s="45"/>
      <c r="C394" s="77" t="str">
        <f>IF($A394="","",IFERROR(VLOOKUP($A394,StudentRegistry!$A:$D,3,FALSE),"Not found"))</f>
        <v/>
      </c>
      <c r="D394" s="77" t="str">
        <f>IF($A394="","",IFERROR(IF(VLOOKUP($A394,StudentRegistry!$A:$D,4,FALSE)="Active","Yes","Inactive"),"No"))</f>
        <v/>
      </c>
    </row>
    <row r="395" ht="15.75" customHeight="1">
      <c r="A395" s="45"/>
      <c r="C395" s="77" t="str">
        <f>IF($A395="","",IFERROR(VLOOKUP($A395,StudentRegistry!$A:$D,3,FALSE),"Not found"))</f>
        <v/>
      </c>
      <c r="D395" s="77" t="str">
        <f>IF($A395="","",IFERROR(IF(VLOOKUP($A395,StudentRegistry!$A:$D,4,FALSE)="Active","Yes","Inactive"),"No"))</f>
        <v/>
      </c>
    </row>
    <row r="396" ht="15.75" customHeight="1">
      <c r="A396" s="45"/>
      <c r="C396" s="77" t="str">
        <f>IF($A396="","",IFERROR(VLOOKUP($A396,StudentRegistry!$A:$D,3,FALSE),"Not found"))</f>
        <v/>
      </c>
      <c r="D396" s="77" t="str">
        <f>IF($A396="","",IFERROR(IF(VLOOKUP($A396,StudentRegistry!$A:$D,4,FALSE)="Active","Yes","Inactive"),"No"))</f>
        <v/>
      </c>
    </row>
    <row r="397" ht="15.75" customHeight="1">
      <c r="A397" s="45"/>
      <c r="C397" s="77" t="str">
        <f>IF($A397="","",IFERROR(VLOOKUP($A397,StudentRegistry!$A:$D,3,FALSE),"Not found"))</f>
        <v/>
      </c>
      <c r="D397" s="77" t="str">
        <f>IF($A397="","",IFERROR(IF(VLOOKUP($A397,StudentRegistry!$A:$D,4,FALSE)="Active","Yes","Inactive"),"No"))</f>
        <v/>
      </c>
    </row>
    <row r="398" ht="15.75" customHeight="1">
      <c r="A398" s="45"/>
      <c r="C398" s="77" t="str">
        <f>IF($A398="","",IFERROR(VLOOKUP($A398,StudentRegistry!$A:$D,3,FALSE),"Not found"))</f>
        <v/>
      </c>
      <c r="D398" s="77" t="str">
        <f>IF($A398="","",IFERROR(IF(VLOOKUP($A398,StudentRegistry!$A:$D,4,FALSE)="Active","Yes","Inactive"),"No"))</f>
        <v/>
      </c>
    </row>
    <row r="399" ht="15.75" customHeight="1">
      <c r="A399" s="45"/>
      <c r="C399" s="77" t="str">
        <f>IF($A399="","",IFERROR(VLOOKUP($A399,StudentRegistry!$A:$D,3,FALSE),"Not found"))</f>
        <v/>
      </c>
      <c r="D399" s="77" t="str">
        <f>IF($A399="","",IFERROR(IF(VLOOKUP($A399,StudentRegistry!$A:$D,4,FALSE)="Active","Yes","Inactive"),"No"))</f>
        <v/>
      </c>
    </row>
    <row r="400" ht="15.75" customHeight="1">
      <c r="A400" s="45"/>
      <c r="C400" s="77" t="str">
        <f>IF($A400="","",IFERROR(VLOOKUP($A400,StudentRegistry!$A:$D,3,FALSE),"Not found"))</f>
        <v/>
      </c>
      <c r="D400" s="77" t="str">
        <f>IF($A400="","",IFERROR(IF(VLOOKUP($A400,StudentRegistry!$A:$D,4,FALSE)="Active","Yes","Inactive"),"No"))</f>
        <v/>
      </c>
    </row>
    <row r="401" ht="15.75" customHeight="1">
      <c r="A401" s="45"/>
      <c r="C401" s="77" t="str">
        <f>IF($A401="","",IFERROR(VLOOKUP($A401,StudentRegistry!$A:$D,3,FALSE),"Not found"))</f>
        <v/>
      </c>
      <c r="D401" s="77" t="str">
        <f>IF($A401="","",IFERROR(IF(VLOOKUP($A401,StudentRegistry!$A:$D,4,FALSE)="Active","Yes","Inactive"),"No"))</f>
        <v/>
      </c>
    </row>
    <row r="402" ht="15.75" customHeight="1">
      <c r="A402" s="45"/>
      <c r="C402" s="77" t="str">
        <f>IF($A402="","",IFERROR(VLOOKUP($A402,StudentRegistry!$A:$D,3,FALSE),"Not found"))</f>
        <v/>
      </c>
      <c r="D402" s="77" t="str">
        <f>IF($A402="","",IFERROR(IF(VLOOKUP($A402,StudentRegistry!$A:$D,4,FALSE)="Active","Yes","Inactive"),"No"))</f>
        <v/>
      </c>
    </row>
    <row r="403" ht="15.75" customHeight="1">
      <c r="A403" s="45"/>
      <c r="C403" s="77" t="str">
        <f>IF($A403="","",IFERROR(VLOOKUP($A403,StudentRegistry!$A:$D,3,FALSE),"Not found"))</f>
        <v/>
      </c>
      <c r="D403" s="77" t="str">
        <f>IF($A403="","",IFERROR(IF(VLOOKUP($A403,StudentRegistry!$A:$D,4,FALSE)="Active","Yes","Inactive"),"No"))</f>
        <v/>
      </c>
    </row>
    <row r="404" ht="15.75" customHeight="1">
      <c r="A404" s="45"/>
      <c r="C404" s="77" t="str">
        <f>IF($A404="","",IFERROR(VLOOKUP($A404,StudentRegistry!$A:$D,3,FALSE),"Not found"))</f>
        <v/>
      </c>
      <c r="D404" s="77" t="str">
        <f>IF($A404="","",IFERROR(IF(VLOOKUP($A404,StudentRegistry!$A:$D,4,FALSE)="Active","Yes","Inactive"),"No"))</f>
        <v/>
      </c>
    </row>
    <row r="405" ht="15.75" customHeight="1">
      <c r="A405" s="45"/>
      <c r="C405" s="77" t="str">
        <f>IF($A405="","",IFERROR(VLOOKUP($A405,StudentRegistry!$A:$D,3,FALSE),"Not found"))</f>
        <v/>
      </c>
      <c r="D405" s="77" t="str">
        <f>IF($A405="","",IFERROR(IF(VLOOKUP($A405,StudentRegistry!$A:$D,4,FALSE)="Active","Yes","Inactive"),"No"))</f>
        <v/>
      </c>
    </row>
    <row r="406" ht="15.75" customHeight="1">
      <c r="A406" s="45"/>
      <c r="C406" s="77" t="str">
        <f>IF($A406="","",IFERROR(VLOOKUP($A406,StudentRegistry!$A:$D,3,FALSE),"Not found"))</f>
        <v/>
      </c>
      <c r="D406" s="77" t="str">
        <f>IF($A406="","",IFERROR(IF(VLOOKUP($A406,StudentRegistry!$A:$D,4,FALSE)="Active","Yes","Inactive"),"No"))</f>
        <v/>
      </c>
    </row>
    <row r="407" ht="15.75" customHeight="1">
      <c r="A407" s="45"/>
      <c r="C407" s="77" t="str">
        <f>IF($A407="","",IFERROR(VLOOKUP($A407,StudentRegistry!$A:$D,3,FALSE),"Not found"))</f>
        <v/>
      </c>
      <c r="D407" s="77" t="str">
        <f>IF($A407="","",IFERROR(IF(VLOOKUP($A407,StudentRegistry!$A:$D,4,FALSE)="Active","Yes","Inactive"),"No"))</f>
        <v/>
      </c>
    </row>
    <row r="408" ht="15.75" customHeight="1">
      <c r="A408" s="45"/>
      <c r="C408" s="77" t="str">
        <f>IF($A408="","",IFERROR(VLOOKUP($A408,StudentRegistry!$A:$D,3,FALSE),"Not found"))</f>
        <v/>
      </c>
      <c r="D408" s="77" t="str">
        <f>IF($A408="","",IFERROR(IF(VLOOKUP($A408,StudentRegistry!$A:$D,4,FALSE)="Active","Yes","Inactive"),"No"))</f>
        <v/>
      </c>
    </row>
    <row r="409" ht="15.75" customHeight="1">
      <c r="A409" s="45"/>
      <c r="C409" s="77" t="str">
        <f>IF($A409="","",IFERROR(VLOOKUP($A409,StudentRegistry!$A:$D,3,FALSE),"Not found"))</f>
        <v/>
      </c>
      <c r="D409" s="77" t="str">
        <f>IF($A409="","",IFERROR(IF(VLOOKUP($A409,StudentRegistry!$A:$D,4,FALSE)="Active","Yes","Inactive"),"No"))</f>
        <v/>
      </c>
    </row>
    <row r="410" ht="15.75" customHeight="1">
      <c r="A410" s="45"/>
      <c r="C410" s="77" t="str">
        <f>IF($A410="","",IFERROR(VLOOKUP($A410,StudentRegistry!$A:$D,3,FALSE),"Not found"))</f>
        <v/>
      </c>
      <c r="D410" s="77" t="str">
        <f>IF($A410="","",IFERROR(IF(VLOOKUP($A410,StudentRegistry!$A:$D,4,FALSE)="Active","Yes","Inactive"),"No"))</f>
        <v/>
      </c>
    </row>
    <row r="411" ht="15.75" customHeight="1">
      <c r="A411" s="45"/>
      <c r="C411" s="77" t="str">
        <f>IF($A411="","",IFERROR(VLOOKUP($A411,StudentRegistry!$A:$D,3,FALSE),"Not found"))</f>
        <v/>
      </c>
      <c r="D411" s="77" t="str">
        <f>IF($A411="","",IFERROR(IF(VLOOKUP($A411,StudentRegistry!$A:$D,4,FALSE)="Active","Yes","Inactive"),"No"))</f>
        <v/>
      </c>
    </row>
    <row r="412" ht="15.75" customHeight="1">
      <c r="A412" s="45"/>
      <c r="C412" s="77" t="str">
        <f>IF($A412="","",IFERROR(VLOOKUP($A412,StudentRegistry!$A:$D,3,FALSE),"Not found"))</f>
        <v/>
      </c>
      <c r="D412" s="77" t="str">
        <f>IF($A412="","",IFERROR(IF(VLOOKUP($A412,StudentRegistry!$A:$D,4,FALSE)="Active","Yes","Inactive"),"No"))</f>
        <v/>
      </c>
    </row>
    <row r="413" ht="15.75" customHeight="1">
      <c r="A413" s="45"/>
      <c r="C413" s="77" t="str">
        <f>IF($A413="","",IFERROR(VLOOKUP($A413,StudentRegistry!$A:$D,3,FALSE),"Not found"))</f>
        <v/>
      </c>
      <c r="D413" s="77" t="str">
        <f>IF($A413="","",IFERROR(IF(VLOOKUP($A413,StudentRegistry!$A:$D,4,FALSE)="Active","Yes","Inactive"),"No"))</f>
        <v/>
      </c>
    </row>
    <row r="414" ht="15.75" customHeight="1">
      <c r="A414" s="45"/>
      <c r="C414" s="77" t="str">
        <f>IF($A414="","",IFERROR(VLOOKUP($A414,StudentRegistry!$A:$D,3,FALSE),"Not found"))</f>
        <v/>
      </c>
      <c r="D414" s="77" t="str">
        <f>IF($A414="","",IFERROR(IF(VLOOKUP($A414,StudentRegistry!$A:$D,4,FALSE)="Active","Yes","Inactive"),"No"))</f>
        <v/>
      </c>
    </row>
    <row r="415" ht="15.75" customHeight="1">
      <c r="A415" s="45"/>
      <c r="C415" s="77" t="str">
        <f>IF($A415="","",IFERROR(VLOOKUP($A415,StudentRegistry!$A:$D,3,FALSE),"Not found"))</f>
        <v/>
      </c>
      <c r="D415" s="77" t="str">
        <f>IF($A415="","",IFERROR(IF(VLOOKUP($A415,StudentRegistry!$A:$D,4,FALSE)="Active","Yes","Inactive"),"No"))</f>
        <v/>
      </c>
    </row>
    <row r="416" ht="15.75" customHeight="1">
      <c r="A416" s="45"/>
      <c r="C416" s="77" t="str">
        <f>IF($A416="","",IFERROR(VLOOKUP($A416,StudentRegistry!$A:$D,3,FALSE),"Not found"))</f>
        <v/>
      </c>
      <c r="D416" s="77" t="str">
        <f>IF($A416="","",IFERROR(IF(VLOOKUP($A416,StudentRegistry!$A:$D,4,FALSE)="Active","Yes","Inactive"),"No"))</f>
        <v/>
      </c>
    </row>
    <row r="417" ht="15.75" customHeight="1">
      <c r="A417" s="45"/>
      <c r="C417" s="77" t="str">
        <f>IF($A417="","",IFERROR(VLOOKUP($A417,StudentRegistry!$A:$D,3,FALSE),"Not found"))</f>
        <v/>
      </c>
      <c r="D417" s="77" t="str">
        <f>IF($A417="","",IFERROR(IF(VLOOKUP($A417,StudentRegistry!$A:$D,4,FALSE)="Active","Yes","Inactive"),"No"))</f>
        <v/>
      </c>
    </row>
    <row r="418" ht="15.75" customHeight="1">
      <c r="A418" s="45"/>
      <c r="C418" s="77" t="str">
        <f>IF($A418="","",IFERROR(VLOOKUP($A418,StudentRegistry!$A:$D,3,FALSE),"Not found"))</f>
        <v/>
      </c>
      <c r="D418" s="77" t="str">
        <f>IF($A418="","",IFERROR(IF(VLOOKUP($A418,StudentRegistry!$A:$D,4,FALSE)="Active","Yes","Inactive"),"No"))</f>
        <v/>
      </c>
    </row>
    <row r="419" ht="15.75" customHeight="1">
      <c r="A419" s="45"/>
      <c r="C419" s="77" t="str">
        <f>IF($A419="","",IFERROR(VLOOKUP($A419,StudentRegistry!$A:$D,3,FALSE),"Not found"))</f>
        <v/>
      </c>
      <c r="D419" s="77" t="str">
        <f>IF($A419="","",IFERROR(IF(VLOOKUP($A419,StudentRegistry!$A:$D,4,FALSE)="Active","Yes","Inactive"),"No"))</f>
        <v/>
      </c>
    </row>
    <row r="420" ht="15.75" customHeight="1">
      <c r="A420" s="45"/>
      <c r="C420" s="77" t="str">
        <f>IF($A420="","",IFERROR(VLOOKUP($A420,StudentRegistry!$A:$D,3,FALSE),"Not found"))</f>
        <v/>
      </c>
      <c r="D420" s="77" t="str">
        <f>IF($A420="","",IFERROR(IF(VLOOKUP($A420,StudentRegistry!$A:$D,4,FALSE)="Active","Yes","Inactive"),"No"))</f>
        <v/>
      </c>
    </row>
    <row r="421" ht="15.75" customHeight="1">
      <c r="A421" s="45"/>
      <c r="C421" s="77" t="str">
        <f>IF($A421="","",IFERROR(VLOOKUP($A421,StudentRegistry!$A:$D,3,FALSE),"Not found"))</f>
        <v/>
      </c>
      <c r="D421" s="77" t="str">
        <f>IF($A421="","",IFERROR(IF(VLOOKUP($A421,StudentRegistry!$A:$D,4,FALSE)="Active","Yes","Inactive"),"No"))</f>
        <v/>
      </c>
    </row>
    <row r="422" ht="15.75" customHeight="1">
      <c r="A422" s="45"/>
      <c r="C422" s="77" t="str">
        <f>IF($A422="","",IFERROR(VLOOKUP($A422,StudentRegistry!$A:$D,3,FALSE),"Not found"))</f>
        <v/>
      </c>
      <c r="D422" s="77" t="str">
        <f>IF($A422="","",IFERROR(IF(VLOOKUP($A422,StudentRegistry!$A:$D,4,FALSE)="Active","Yes","Inactive"),"No"))</f>
        <v/>
      </c>
    </row>
    <row r="423" ht="15.75" customHeight="1">
      <c r="A423" s="45"/>
      <c r="C423" s="77" t="str">
        <f>IF($A423="","",IFERROR(VLOOKUP($A423,StudentRegistry!$A:$D,3,FALSE),"Not found"))</f>
        <v/>
      </c>
      <c r="D423" s="77" t="str">
        <f>IF($A423="","",IFERROR(IF(VLOOKUP($A423,StudentRegistry!$A:$D,4,FALSE)="Active","Yes","Inactive"),"No"))</f>
        <v/>
      </c>
    </row>
    <row r="424" ht="15.75" customHeight="1">
      <c r="A424" s="45"/>
      <c r="C424" s="77" t="str">
        <f>IF($A424="","",IFERROR(VLOOKUP($A424,StudentRegistry!$A:$D,3,FALSE),"Not found"))</f>
        <v/>
      </c>
      <c r="D424" s="77" t="str">
        <f>IF($A424="","",IFERROR(IF(VLOOKUP($A424,StudentRegistry!$A:$D,4,FALSE)="Active","Yes","Inactive"),"No"))</f>
        <v/>
      </c>
    </row>
    <row r="425" ht="15.75" customHeight="1">
      <c r="A425" s="45"/>
      <c r="C425" s="77" t="str">
        <f>IF($A425="","",IFERROR(VLOOKUP($A425,StudentRegistry!$A:$D,3,FALSE),"Not found"))</f>
        <v/>
      </c>
      <c r="D425" s="77" t="str">
        <f>IF($A425="","",IFERROR(IF(VLOOKUP($A425,StudentRegistry!$A:$D,4,FALSE)="Active","Yes","Inactive"),"No"))</f>
        <v/>
      </c>
    </row>
    <row r="426" ht="15.75" customHeight="1">
      <c r="A426" s="45"/>
      <c r="C426" s="77" t="str">
        <f>IF($A426="","",IFERROR(VLOOKUP($A426,StudentRegistry!$A:$D,3,FALSE),"Not found"))</f>
        <v/>
      </c>
      <c r="D426" s="77" t="str">
        <f>IF($A426="","",IFERROR(IF(VLOOKUP($A426,StudentRegistry!$A:$D,4,FALSE)="Active","Yes","Inactive"),"No"))</f>
        <v/>
      </c>
    </row>
    <row r="427" ht="15.75" customHeight="1">
      <c r="A427" s="45"/>
      <c r="C427" s="77" t="str">
        <f>IF($A427="","",IFERROR(VLOOKUP($A427,StudentRegistry!$A:$D,3,FALSE),"Not found"))</f>
        <v/>
      </c>
      <c r="D427" s="77" t="str">
        <f>IF($A427="","",IFERROR(IF(VLOOKUP($A427,StudentRegistry!$A:$D,4,FALSE)="Active","Yes","Inactive"),"No"))</f>
        <v/>
      </c>
    </row>
    <row r="428" ht="15.75" customHeight="1">
      <c r="A428" s="45"/>
      <c r="C428" s="77" t="str">
        <f>IF($A428="","",IFERROR(VLOOKUP($A428,StudentRegistry!$A:$D,3,FALSE),"Not found"))</f>
        <v/>
      </c>
      <c r="D428" s="77" t="str">
        <f>IF($A428="","",IFERROR(IF(VLOOKUP($A428,StudentRegistry!$A:$D,4,FALSE)="Active","Yes","Inactive"),"No"))</f>
        <v/>
      </c>
    </row>
    <row r="429" ht="15.75" customHeight="1">
      <c r="A429" s="45"/>
      <c r="C429" s="77" t="str">
        <f>IF($A429="","",IFERROR(VLOOKUP($A429,StudentRegistry!$A:$D,3,FALSE),"Not found"))</f>
        <v/>
      </c>
      <c r="D429" s="77" t="str">
        <f>IF($A429="","",IFERROR(IF(VLOOKUP($A429,StudentRegistry!$A:$D,4,FALSE)="Active","Yes","Inactive"),"No"))</f>
        <v/>
      </c>
    </row>
    <row r="430" ht="15.75" customHeight="1">
      <c r="A430" s="45"/>
      <c r="C430" s="77" t="str">
        <f>IF($A430="","",IFERROR(VLOOKUP($A430,StudentRegistry!$A:$D,3,FALSE),"Not found"))</f>
        <v/>
      </c>
      <c r="D430" s="77" t="str">
        <f>IF($A430="","",IFERROR(IF(VLOOKUP($A430,StudentRegistry!$A:$D,4,FALSE)="Active","Yes","Inactive"),"No"))</f>
        <v/>
      </c>
    </row>
    <row r="431" ht="15.75" customHeight="1">
      <c r="A431" s="45"/>
      <c r="C431" s="77" t="str">
        <f>IF($A431="","",IFERROR(VLOOKUP($A431,StudentRegistry!$A:$D,3,FALSE),"Not found"))</f>
        <v/>
      </c>
      <c r="D431" s="77" t="str">
        <f>IF($A431="","",IFERROR(IF(VLOOKUP($A431,StudentRegistry!$A:$D,4,FALSE)="Active","Yes","Inactive"),"No"))</f>
        <v/>
      </c>
    </row>
    <row r="432" ht="15.75" customHeight="1">
      <c r="A432" s="45"/>
      <c r="C432" s="77" t="str">
        <f>IF($A432="","",IFERROR(VLOOKUP($A432,StudentRegistry!$A:$D,3,FALSE),"Not found"))</f>
        <v/>
      </c>
      <c r="D432" s="77" t="str">
        <f>IF($A432="","",IFERROR(IF(VLOOKUP($A432,StudentRegistry!$A:$D,4,FALSE)="Active","Yes","Inactive"),"No"))</f>
        <v/>
      </c>
    </row>
    <row r="433" ht="15.75" customHeight="1">
      <c r="A433" s="45"/>
      <c r="C433" s="77" t="str">
        <f>IF($A433="","",IFERROR(VLOOKUP($A433,StudentRegistry!$A:$D,3,FALSE),"Not found"))</f>
        <v/>
      </c>
      <c r="D433" s="77" t="str">
        <f>IF($A433="","",IFERROR(IF(VLOOKUP($A433,StudentRegistry!$A:$D,4,FALSE)="Active","Yes","Inactive"),"No"))</f>
        <v/>
      </c>
    </row>
    <row r="434" ht="15.75" customHeight="1">
      <c r="A434" s="45"/>
      <c r="C434" s="77" t="str">
        <f>IF($A434="","",IFERROR(VLOOKUP($A434,StudentRegistry!$A:$D,3,FALSE),"Not found"))</f>
        <v/>
      </c>
      <c r="D434" s="77" t="str">
        <f>IF($A434="","",IFERROR(IF(VLOOKUP($A434,StudentRegistry!$A:$D,4,FALSE)="Active","Yes","Inactive"),"No"))</f>
        <v/>
      </c>
    </row>
    <row r="435" ht="15.75" customHeight="1">
      <c r="A435" s="45"/>
      <c r="C435" s="77" t="str">
        <f>IF($A435="","",IFERROR(VLOOKUP($A435,StudentRegistry!$A:$D,3,FALSE),"Not found"))</f>
        <v/>
      </c>
      <c r="D435" s="77" t="str">
        <f>IF($A435="","",IFERROR(IF(VLOOKUP($A435,StudentRegistry!$A:$D,4,FALSE)="Active","Yes","Inactive"),"No"))</f>
        <v/>
      </c>
    </row>
    <row r="436" ht="15.75" customHeight="1">
      <c r="A436" s="45"/>
      <c r="C436" s="77" t="str">
        <f>IF($A436="","",IFERROR(VLOOKUP($A436,StudentRegistry!$A:$D,3,FALSE),"Not found"))</f>
        <v/>
      </c>
      <c r="D436" s="77" t="str">
        <f>IF($A436="","",IFERROR(IF(VLOOKUP($A436,StudentRegistry!$A:$D,4,FALSE)="Active","Yes","Inactive"),"No"))</f>
        <v/>
      </c>
    </row>
    <row r="437" ht="15.75" customHeight="1">
      <c r="A437" s="45"/>
      <c r="C437" s="77" t="str">
        <f>IF($A437="","",IFERROR(VLOOKUP($A437,StudentRegistry!$A:$D,3,FALSE),"Not found"))</f>
        <v/>
      </c>
      <c r="D437" s="77" t="str">
        <f>IF($A437="","",IFERROR(IF(VLOOKUP($A437,StudentRegistry!$A:$D,4,FALSE)="Active","Yes","Inactive"),"No"))</f>
        <v/>
      </c>
    </row>
    <row r="438" ht="15.75" customHeight="1">
      <c r="A438" s="45"/>
      <c r="C438" s="77" t="str">
        <f>IF($A438="","",IFERROR(VLOOKUP($A438,StudentRegistry!$A:$D,3,FALSE),"Not found"))</f>
        <v/>
      </c>
      <c r="D438" s="77" t="str">
        <f>IF($A438="","",IFERROR(IF(VLOOKUP($A438,StudentRegistry!$A:$D,4,FALSE)="Active","Yes","Inactive"),"No"))</f>
        <v/>
      </c>
    </row>
    <row r="439" ht="15.75" customHeight="1">
      <c r="A439" s="45"/>
      <c r="C439" s="77" t="str">
        <f>IF($A439="","",IFERROR(VLOOKUP($A439,StudentRegistry!$A:$D,3,FALSE),"Not found"))</f>
        <v/>
      </c>
      <c r="D439" s="77" t="str">
        <f>IF($A439="","",IFERROR(IF(VLOOKUP($A439,StudentRegistry!$A:$D,4,FALSE)="Active","Yes","Inactive"),"No"))</f>
        <v/>
      </c>
    </row>
    <row r="440" ht="15.75" customHeight="1">
      <c r="A440" s="45"/>
      <c r="C440" s="77" t="str">
        <f>IF($A440="","",IFERROR(VLOOKUP($A440,StudentRegistry!$A:$D,3,FALSE),"Not found"))</f>
        <v/>
      </c>
      <c r="D440" s="77" t="str">
        <f>IF($A440="","",IFERROR(IF(VLOOKUP($A440,StudentRegistry!$A:$D,4,FALSE)="Active","Yes","Inactive"),"No"))</f>
        <v/>
      </c>
    </row>
    <row r="441" ht="15.75" customHeight="1">
      <c r="A441" s="45"/>
      <c r="C441" s="77" t="str">
        <f>IF($A441="","",IFERROR(VLOOKUP($A441,StudentRegistry!$A:$D,3,FALSE),"Not found"))</f>
        <v/>
      </c>
      <c r="D441" s="77" t="str">
        <f>IF($A441="","",IFERROR(IF(VLOOKUP($A441,StudentRegistry!$A:$D,4,FALSE)="Active","Yes","Inactive"),"No"))</f>
        <v/>
      </c>
    </row>
    <row r="442" ht="15.75" customHeight="1">
      <c r="A442" s="45"/>
      <c r="C442" s="77" t="str">
        <f>IF($A442="","",IFERROR(VLOOKUP($A442,StudentRegistry!$A:$D,3,FALSE),"Not found"))</f>
        <v/>
      </c>
      <c r="D442" s="77" t="str">
        <f>IF($A442="","",IFERROR(IF(VLOOKUP($A442,StudentRegistry!$A:$D,4,FALSE)="Active","Yes","Inactive"),"No"))</f>
        <v/>
      </c>
    </row>
    <row r="443" ht="15.75" customHeight="1">
      <c r="A443" s="45"/>
      <c r="C443" s="77" t="str">
        <f>IF($A443="","",IFERROR(VLOOKUP($A443,StudentRegistry!$A:$D,3,FALSE),"Not found"))</f>
        <v/>
      </c>
      <c r="D443" s="77" t="str">
        <f>IF($A443="","",IFERROR(IF(VLOOKUP($A443,StudentRegistry!$A:$D,4,FALSE)="Active","Yes","Inactive"),"No"))</f>
        <v/>
      </c>
    </row>
    <row r="444" ht="15.75" customHeight="1">
      <c r="A444" s="45"/>
      <c r="C444" s="77" t="str">
        <f>IF($A444="","",IFERROR(VLOOKUP($A444,StudentRegistry!$A:$D,3,FALSE),"Not found"))</f>
        <v/>
      </c>
      <c r="D444" s="77" t="str">
        <f>IF($A444="","",IFERROR(IF(VLOOKUP($A444,StudentRegistry!$A:$D,4,FALSE)="Active","Yes","Inactive"),"No"))</f>
        <v/>
      </c>
    </row>
    <row r="445" ht="15.75" customHeight="1">
      <c r="A445" s="45"/>
      <c r="C445" s="77" t="str">
        <f>IF($A445="","",IFERROR(VLOOKUP($A445,StudentRegistry!$A:$D,3,FALSE),"Not found"))</f>
        <v/>
      </c>
      <c r="D445" s="77" t="str">
        <f>IF($A445="","",IFERROR(IF(VLOOKUP($A445,StudentRegistry!$A:$D,4,FALSE)="Active","Yes","Inactive"),"No"))</f>
        <v/>
      </c>
    </row>
    <row r="446" ht="15.75" customHeight="1">
      <c r="A446" s="45"/>
      <c r="C446" s="77" t="str">
        <f>IF($A446="","",IFERROR(VLOOKUP($A446,StudentRegistry!$A:$D,3,FALSE),"Not found"))</f>
        <v/>
      </c>
      <c r="D446" s="77" t="str">
        <f>IF($A446="","",IFERROR(IF(VLOOKUP($A446,StudentRegistry!$A:$D,4,FALSE)="Active","Yes","Inactive"),"No"))</f>
        <v/>
      </c>
    </row>
    <row r="447" ht="15.75" customHeight="1">
      <c r="A447" s="45"/>
      <c r="C447" s="77" t="str">
        <f>IF($A447="","",IFERROR(VLOOKUP($A447,StudentRegistry!$A:$D,3,FALSE),"Not found"))</f>
        <v/>
      </c>
      <c r="D447" s="77" t="str">
        <f>IF($A447="","",IFERROR(IF(VLOOKUP($A447,StudentRegistry!$A:$D,4,FALSE)="Active","Yes","Inactive"),"No"))</f>
        <v/>
      </c>
    </row>
    <row r="448" ht="15.75" customHeight="1">
      <c r="A448" s="45"/>
      <c r="C448" s="77" t="str">
        <f>IF($A448="","",IFERROR(VLOOKUP($A448,StudentRegistry!$A:$D,3,FALSE),"Not found"))</f>
        <v/>
      </c>
      <c r="D448" s="77" t="str">
        <f>IF($A448="","",IFERROR(IF(VLOOKUP($A448,StudentRegistry!$A:$D,4,FALSE)="Active","Yes","Inactive"),"No"))</f>
        <v/>
      </c>
    </row>
    <row r="449" ht="15.75" customHeight="1">
      <c r="A449" s="45"/>
      <c r="C449" s="77" t="str">
        <f>IF($A449="","",IFERROR(VLOOKUP($A449,StudentRegistry!$A:$D,3,FALSE),"Not found"))</f>
        <v/>
      </c>
      <c r="D449" s="77" t="str">
        <f>IF($A449="","",IFERROR(IF(VLOOKUP($A449,StudentRegistry!$A:$D,4,FALSE)="Active","Yes","Inactive"),"No"))</f>
        <v/>
      </c>
    </row>
    <row r="450" ht="15.75" customHeight="1">
      <c r="A450" s="45"/>
      <c r="C450" s="77" t="str">
        <f>IF($A450="","",IFERROR(VLOOKUP($A450,StudentRegistry!$A:$D,3,FALSE),"Not found"))</f>
        <v/>
      </c>
      <c r="D450" s="77" t="str">
        <f>IF($A450="","",IFERROR(IF(VLOOKUP($A450,StudentRegistry!$A:$D,4,FALSE)="Active","Yes","Inactive"),"No"))</f>
        <v/>
      </c>
    </row>
    <row r="451" ht="15.75" customHeight="1">
      <c r="A451" s="45"/>
      <c r="C451" s="77" t="str">
        <f>IF($A451="","",IFERROR(VLOOKUP($A451,StudentRegistry!$A:$D,3,FALSE),"Not found"))</f>
        <v/>
      </c>
      <c r="D451" s="77" t="str">
        <f>IF($A451="","",IFERROR(IF(VLOOKUP($A451,StudentRegistry!$A:$D,4,FALSE)="Active","Yes","Inactive"),"No"))</f>
        <v/>
      </c>
    </row>
    <row r="452" ht="15.75" customHeight="1">
      <c r="A452" s="45"/>
      <c r="C452" s="77" t="str">
        <f>IF($A452="","",IFERROR(VLOOKUP($A452,StudentRegistry!$A:$D,3,FALSE),"Not found"))</f>
        <v/>
      </c>
      <c r="D452" s="77" t="str">
        <f>IF($A452="","",IFERROR(IF(VLOOKUP($A452,StudentRegistry!$A:$D,4,FALSE)="Active","Yes","Inactive"),"No"))</f>
        <v/>
      </c>
    </row>
    <row r="453" ht="15.75" customHeight="1">
      <c r="A453" s="45"/>
      <c r="C453" s="77" t="str">
        <f>IF($A453="","",IFERROR(VLOOKUP($A453,StudentRegistry!$A:$D,3,FALSE),"Not found"))</f>
        <v/>
      </c>
      <c r="D453" s="77" t="str">
        <f>IF($A453="","",IFERROR(IF(VLOOKUP($A453,StudentRegistry!$A:$D,4,FALSE)="Active","Yes","Inactive"),"No"))</f>
        <v/>
      </c>
    </row>
    <row r="454" ht="15.75" customHeight="1">
      <c r="A454" s="45"/>
      <c r="C454" s="77" t="str">
        <f>IF($A454="","",IFERROR(VLOOKUP($A454,StudentRegistry!$A:$D,3,FALSE),"Not found"))</f>
        <v/>
      </c>
      <c r="D454" s="77" t="str">
        <f>IF($A454="","",IFERROR(IF(VLOOKUP($A454,StudentRegistry!$A:$D,4,FALSE)="Active","Yes","Inactive"),"No"))</f>
        <v/>
      </c>
    </row>
    <row r="455" ht="15.75" customHeight="1">
      <c r="A455" s="45"/>
      <c r="C455" s="77" t="str">
        <f>IF($A455="","",IFERROR(VLOOKUP($A455,StudentRegistry!$A:$D,3,FALSE),"Not found"))</f>
        <v/>
      </c>
      <c r="D455" s="77" t="str">
        <f>IF($A455="","",IFERROR(IF(VLOOKUP($A455,StudentRegistry!$A:$D,4,FALSE)="Active","Yes","Inactive"),"No"))</f>
        <v/>
      </c>
    </row>
    <row r="456" ht="15.75" customHeight="1">
      <c r="A456" s="45"/>
      <c r="C456" s="77" t="str">
        <f>IF($A456="","",IFERROR(VLOOKUP($A456,StudentRegistry!$A:$D,3,FALSE),"Not found"))</f>
        <v/>
      </c>
      <c r="D456" s="77" t="str">
        <f>IF($A456="","",IFERROR(IF(VLOOKUP($A456,StudentRegistry!$A:$D,4,FALSE)="Active","Yes","Inactive"),"No"))</f>
        <v/>
      </c>
    </row>
    <row r="457" ht="15.75" customHeight="1">
      <c r="A457" s="45"/>
      <c r="C457" s="77" t="str">
        <f>IF($A457="","",IFERROR(VLOOKUP($A457,StudentRegistry!$A:$D,3,FALSE),"Not found"))</f>
        <v/>
      </c>
      <c r="D457" s="77" t="str">
        <f>IF($A457="","",IFERROR(IF(VLOOKUP($A457,StudentRegistry!$A:$D,4,FALSE)="Active","Yes","Inactive"),"No"))</f>
        <v/>
      </c>
    </row>
    <row r="458" ht="15.75" customHeight="1">
      <c r="A458" s="45"/>
      <c r="C458" s="77" t="str">
        <f>IF($A458="","",IFERROR(VLOOKUP($A458,StudentRegistry!$A:$D,3,FALSE),"Not found"))</f>
        <v/>
      </c>
      <c r="D458" s="77" t="str">
        <f>IF($A458="","",IFERROR(IF(VLOOKUP($A458,StudentRegistry!$A:$D,4,FALSE)="Active","Yes","Inactive"),"No"))</f>
        <v/>
      </c>
    </row>
    <row r="459" ht="15.75" customHeight="1">
      <c r="A459" s="45"/>
      <c r="C459" s="77" t="str">
        <f>IF($A459="","",IFERROR(VLOOKUP($A459,StudentRegistry!$A:$D,3,FALSE),"Not found"))</f>
        <v/>
      </c>
      <c r="D459" s="77" t="str">
        <f>IF($A459="","",IFERROR(IF(VLOOKUP($A459,StudentRegistry!$A:$D,4,FALSE)="Active","Yes","Inactive"),"No"))</f>
        <v/>
      </c>
    </row>
    <row r="460" ht="15.75" customHeight="1">
      <c r="A460" s="45"/>
      <c r="C460" s="77" t="str">
        <f>IF($A460="","",IFERROR(VLOOKUP($A460,StudentRegistry!$A:$D,3,FALSE),"Not found"))</f>
        <v/>
      </c>
      <c r="D460" s="77" t="str">
        <f>IF($A460="","",IFERROR(IF(VLOOKUP($A460,StudentRegistry!$A:$D,4,FALSE)="Active","Yes","Inactive"),"No"))</f>
        <v/>
      </c>
    </row>
    <row r="461" ht="15.75" customHeight="1">
      <c r="A461" s="45"/>
      <c r="C461" s="77" t="str">
        <f>IF($A461="","",IFERROR(VLOOKUP($A461,StudentRegistry!$A:$D,3,FALSE),"Not found"))</f>
        <v/>
      </c>
      <c r="D461" s="77" t="str">
        <f>IF($A461="","",IFERROR(IF(VLOOKUP($A461,StudentRegistry!$A:$D,4,FALSE)="Active","Yes","Inactive"),"No"))</f>
        <v/>
      </c>
    </row>
    <row r="462" ht="15.75" customHeight="1">
      <c r="A462" s="45"/>
      <c r="C462" s="77" t="str">
        <f>IF($A462="","",IFERROR(VLOOKUP($A462,StudentRegistry!$A:$D,3,FALSE),"Not found"))</f>
        <v/>
      </c>
      <c r="D462" s="77" t="str">
        <f>IF($A462="","",IFERROR(IF(VLOOKUP($A462,StudentRegistry!$A:$D,4,FALSE)="Active","Yes","Inactive"),"No"))</f>
        <v/>
      </c>
    </row>
    <row r="463" ht="15.75" customHeight="1">
      <c r="A463" s="45"/>
      <c r="C463" s="77" t="str">
        <f>IF($A463="","",IFERROR(VLOOKUP($A463,StudentRegistry!$A:$D,3,FALSE),"Not found"))</f>
        <v/>
      </c>
      <c r="D463" s="77" t="str">
        <f>IF($A463="","",IFERROR(IF(VLOOKUP($A463,StudentRegistry!$A:$D,4,FALSE)="Active","Yes","Inactive"),"No"))</f>
        <v/>
      </c>
    </row>
    <row r="464" ht="15.75" customHeight="1">
      <c r="A464" s="45"/>
      <c r="C464" s="77" t="str">
        <f>IF($A464="","",IFERROR(VLOOKUP($A464,StudentRegistry!$A:$D,3,FALSE),"Not found"))</f>
        <v/>
      </c>
      <c r="D464" s="77" t="str">
        <f>IF($A464="","",IFERROR(IF(VLOOKUP($A464,StudentRegistry!$A:$D,4,FALSE)="Active","Yes","Inactive"),"No"))</f>
        <v/>
      </c>
    </row>
    <row r="465" ht="15.75" customHeight="1">
      <c r="A465" s="45"/>
      <c r="C465" s="77" t="str">
        <f>IF($A465="","",IFERROR(VLOOKUP($A465,StudentRegistry!$A:$D,3,FALSE),"Not found"))</f>
        <v/>
      </c>
      <c r="D465" s="77" t="str">
        <f>IF($A465="","",IFERROR(IF(VLOOKUP($A465,StudentRegistry!$A:$D,4,FALSE)="Active","Yes","Inactive"),"No"))</f>
        <v/>
      </c>
    </row>
    <row r="466" ht="15.75" customHeight="1">
      <c r="A466" s="45"/>
      <c r="C466" s="77" t="str">
        <f>IF($A466="","",IFERROR(VLOOKUP($A466,StudentRegistry!$A:$D,3,FALSE),"Not found"))</f>
        <v/>
      </c>
      <c r="D466" s="77" t="str">
        <f>IF($A466="","",IFERROR(IF(VLOOKUP($A466,StudentRegistry!$A:$D,4,FALSE)="Active","Yes","Inactive"),"No"))</f>
        <v/>
      </c>
    </row>
    <row r="467" ht="15.75" customHeight="1">
      <c r="A467" s="45"/>
      <c r="C467" s="77" t="str">
        <f>IF($A467="","",IFERROR(VLOOKUP($A467,StudentRegistry!$A:$D,3,FALSE),"Not found"))</f>
        <v/>
      </c>
      <c r="D467" s="77" t="str">
        <f>IF($A467="","",IFERROR(IF(VLOOKUP($A467,StudentRegistry!$A:$D,4,FALSE)="Active","Yes","Inactive"),"No"))</f>
        <v/>
      </c>
    </row>
    <row r="468" ht="15.75" customHeight="1">
      <c r="A468" s="45"/>
      <c r="C468" s="77" t="str">
        <f>IF($A468="","",IFERROR(VLOOKUP($A468,StudentRegistry!$A:$D,3,FALSE),"Not found"))</f>
        <v/>
      </c>
      <c r="D468" s="77" t="str">
        <f>IF($A468="","",IFERROR(IF(VLOOKUP($A468,StudentRegistry!$A:$D,4,FALSE)="Active","Yes","Inactive"),"No"))</f>
        <v/>
      </c>
    </row>
    <row r="469" ht="15.75" customHeight="1">
      <c r="A469" s="45"/>
      <c r="C469" s="77" t="str">
        <f>IF($A469="","",IFERROR(VLOOKUP($A469,StudentRegistry!$A:$D,3,FALSE),"Not found"))</f>
        <v/>
      </c>
      <c r="D469" s="77" t="str">
        <f>IF($A469="","",IFERROR(IF(VLOOKUP($A469,StudentRegistry!$A:$D,4,FALSE)="Active","Yes","Inactive"),"No"))</f>
        <v/>
      </c>
    </row>
    <row r="470" ht="15.75" customHeight="1">
      <c r="A470" s="45"/>
      <c r="C470" s="77" t="str">
        <f>IF($A470="","",IFERROR(VLOOKUP($A470,StudentRegistry!$A:$D,3,FALSE),"Not found"))</f>
        <v/>
      </c>
      <c r="D470" s="77" t="str">
        <f>IF($A470="","",IFERROR(IF(VLOOKUP($A470,StudentRegistry!$A:$D,4,FALSE)="Active","Yes","Inactive"),"No"))</f>
        <v/>
      </c>
    </row>
    <row r="471" ht="15.75" customHeight="1">
      <c r="A471" s="45"/>
      <c r="C471" s="77" t="str">
        <f>IF($A471="","",IFERROR(VLOOKUP($A471,StudentRegistry!$A:$D,3,FALSE),"Not found"))</f>
        <v/>
      </c>
      <c r="D471" s="77" t="str">
        <f>IF($A471="","",IFERROR(IF(VLOOKUP($A471,StudentRegistry!$A:$D,4,FALSE)="Active","Yes","Inactive"),"No"))</f>
        <v/>
      </c>
    </row>
    <row r="472" ht="15.75" customHeight="1">
      <c r="A472" s="45"/>
      <c r="C472" s="77" t="str">
        <f>IF($A472="","",IFERROR(VLOOKUP($A472,StudentRegistry!$A:$D,3,FALSE),"Not found"))</f>
        <v/>
      </c>
      <c r="D472" s="77" t="str">
        <f>IF($A472="","",IFERROR(IF(VLOOKUP($A472,StudentRegistry!$A:$D,4,FALSE)="Active","Yes","Inactive"),"No"))</f>
        <v/>
      </c>
    </row>
    <row r="473" ht="15.75" customHeight="1">
      <c r="A473" s="45"/>
      <c r="C473" s="77" t="str">
        <f>IF($A473="","",IFERROR(VLOOKUP($A473,StudentRegistry!$A:$D,3,FALSE),"Not found"))</f>
        <v/>
      </c>
      <c r="D473" s="77" t="str">
        <f>IF($A473="","",IFERROR(IF(VLOOKUP($A473,StudentRegistry!$A:$D,4,FALSE)="Active","Yes","Inactive"),"No"))</f>
        <v/>
      </c>
    </row>
    <row r="474" ht="15.75" customHeight="1">
      <c r="A474" s="45"/>
      <c r="C474" s="77" t="str">
        <f>IF($A474="","",IFERROR(VLOOKUP($A474,StudentRegistry!$A:$D,3,FALSE),"Not found"))</f>
        <v/>
      </c>
      <c r="D474" s="77" t="str">
        <f>IF($A474="","",IFERROR(IF(VLOOKUP($A474,StudentRegistry!$A:$D,4,FALSE)="Active","Yes","Inactive"),"No"))</f>
        <v/>
      </c>
    </row>
    <row r="475" ht="15.75" customHeight="1">
      <c r="A475" s="45"/>
      <c r="C475" s="77" t="str">
        <f>IF($A475="","",IFERROR(VLOOKUP($A475,StudentRegistry!$A:$D,3,FALSE),"Not found"))</f>
        <v/>
      </c>
      <c r="D475" s="77" t="str">
        <f>IF($A475="","",IFERROR(IF(VLOOKUP($A475,StudentRegistry!$A:$D,4,FALSE)="Active","Yes","Inactive"),"No"))</f>
        <v/>
      </c>
    </row>
    <row r="476" ht="15.75" customHeight="1">
      <c r="A476" s="45"/>
      <c r="C476" s="77" t="str">
        <f>IF($A476="","",IFERROR(VLOOKUP($A476,StudentRegistry!$A:$D,3,FALSE),"Not found"))</f>
        <v/>
      </c>
      <c r="D476" s="77" t="str">
        <f>IF($A476="","",IFERROR(IF(VLOOKUP($A476,StudentRegistry!$A:$D,4,FALSE)="Active","Yes","Inactive"),"No"))</f>
        <v/>
      </c>
    </row>
    <row r="477" ht="15.75" customHeight="1">
      <c r="A477" s="45"/>
      <c r="C477" s="77" t="str">
        <f>IF($A477="","",IFERROR(VLOOKUP($A477,StudentRegistry!$A:$D,3,FALSE),"Not found"))</f>
        <v/>
      </c>
      <c r="D477" s="77" t="str">
        <f>IF($A477="","",IFERROR(IF(VLOOKUP($A477,StudentRegistry!$A:$D,4,FALSE)="Active","Yes","Inactive"),"No"))</f>
        <v/>
      </c>
    </row>
    <row r="478" ht="15.75" customHeight="1">
      <c r="A478" s="45"/>
      <c r="C478" s="77" t="str">
        <f>IF($A478="","",IFERROR(VLOOKUP($A478,StudentRegistry!$A:$D,3,FALSE),"Not found"))</f>
        <v/>
      </c>
      <c r="D478" s="77" t="str">
        <f>IF($A478="","",IFERROR(IF(VLOOKUP($A478,StudentRegistry!$A:$D,4,FALSE)="Active","Yes","Inactive"),"No"))</f>
        <v/>
      </c>
    </row>
    <row r="479" ht="15.75" customHeight="1">
      <c r="A479" s="45"/>
      <c r="C479" s="77" t="str">
        <f>IF($A479="","",IFERROR(VLOOKUP($A479,StudentRegistry!$A:$D,3,FALSE),"Not found"))</f>
        <v/>
      </c>
      <c r="D479" s="77" t="str">
        <f>IF($A479="","",IFERROR(IF(VLOOKUP($A479,StudentRegistry!$A:$D,4,FALSE)="Active","Yes","Inactive"),"No"))</f>
        <v/>
      </c>
    </row>
    <row r="480" ht="15.75" customHeight="1">
      <c r="A480" s="45"/>
      <c r="C480" s="77" t="str">
        <f>IF($A480="","",IFERROR(VLOOKUP($A480,StudentRegistry!$A:$D,3,FALSE),"Not found"))</f>
        <v/>
      </c>
      <c r="D480" s="77" t="str">
        <f>IF($A480="","",IFERROR(IF(VLOOKUP($A480,StudentRegistry!$A:$D,4,FALSE)="Active","Yes","Inactive"),"No"))</f>
        <v/>
      </c>
    </row>
    <row r="481" ht="15.75" customHeight="1">
      <c r="A481" s="45"/>
      <c r="C481" s="77" t="str">
        <f>IF($A481="","",IFERROR(VLOOKUP($A481,StudentRegistry!$A:$D,3,FALSE),"Not found"))</f>
        <v/>
      </c>
      <c r="D481" s="77" t="str">
        <f>IF($A481="","",IFERROR(IF(VLOOKUP($A481,StudentRegistry!$A:$D,4,FALSE)="Active","Yes","Inactive"),"No"))</f>
        <v/>
      </c>
    </row>
    <row r="482" ht="15.75" customHeight="1">
      <c r="A482" s="45"/>
      <c r="C482" s="77" t="str">
        <f>IF($A482="","",IFERROR(VLOOKUP($A482,StudentRegistry!$A:$D,3,FALSE),"Not found"))</f>
        <v/>
      </c>
      <c r="D482" s="77" t="str">
        <f>IF($A482="","",IFERROR(IF(VLOOKUP($A482,StudentRegistry!$A:$D,4,FALSE)="Active","Yes","Inactive"),"No"))</f>
        <v/>
      </c>
    </row>
    <row r="483" ht="15.75" customHeight="1">
      <c r="A483" s="45"/>
      <c r="C483" s="77" t="str">
        <f>IF($A483="","",IFERROR(VLOOKUP($A483,StudentRegistry!$A:$D,3,FALSE),"Not found"))</f>
        <v/>
      </c>
      <c r="D483" s="77" t="str">
        <f>IF($A483="","",IFERROR(IF(VLOOKUP($A483,StudentRegistry!$A:$D,4,FALSE)="Active","Yes","Inactive"),"No"))</f>
        <v/>
      </c>
    </row>
    <row r="484" ht="15.75" customHeight="1">
      <c r="A484" s="45"/>
      <c r="C484" s="77" t="str">
        <f>IF($A484="","",IFERROR(VLOOKUP($A484,StudentRegistry!$A:$D,3,FALSE),"Not found"))</f>
        <v/>
      </c>
      <c r="D484" s="77" t="str">
        <f>IF($A484="","",IFERROR(IF(VLOOKUP($A484,StudentRegistry!$A:$D,4,FALSE)="Active","Yes","Inactive"),"No"))</f>
        <v/>
      </c>
    </row>
    <row r="485" ht="15.75" customHeight="1">
      <c r="A485" s="45"/>
      <c r="C485" s="77" t="str">
        <f>IF($A485="","",IFERROR(VLOOKUP($A485,StudentRegistry!$A:$D,3,FALSE),"Not found"))</f>
        <v/>
      </c>
      <c r="D485" s="77" t="str">
        <f>IF($A485="","",IFERROR(IF(VLOOKUP($A485,StudentRegistry!$A:$D,4,FALSE)="Active","Yes","Inactive"),"No"))</f>
        <v/>
      </c>
    </row>
    <row r="486" ht="15.75" customHeight="1">
      <c r="A486" s="45"/>
      <c r="C486" s="77" t="str">
        <f>IF($A486="","",IFERROR(VLOOKUP($A486,StudentRegistry!$A:$D,3,FALSE),"Not found"))</f>
        <v/>
      </c>
      <c r="D486" s="77" t="str">
        <f>IF($A486="","",IFERROR(IF(VLOOKUP($A486,StudentRegistry!$A:$D,4,FALSE)="Active","Yes","Inactive"),"No"))</f>
        <v/>
      </c>
    </row>
    <row r="487" ht="15.75" customHeight="1">
      <c r="A487" s="45"/>
      <c r="C487" s="77" t="str">
        <f>IF($A487="","",IFERROR(VLOOKUP($A487,StudentRegistry!$A:$D,3,FALSE),"Not found"))</f>
        <v/>
      </c>
      <c r="D487" s="77" t="str">
        <f>IF($A487="","",IFERROR(IF(VLOOKUP($A487,StudentRegistry!$A:$D,4,FALSE)="Active","Yes","Inactive"),"No"))</f>
        <v/>
      </c>
    </row>
    <row r="488" ht="15.75" customHeight="1">
      <c r="A488" s="45"/>
      <c r="C488" s="77" t="str">
        <f>IF($A488="","",IFERROR(VLOOKUP($A488,StudentRegistry!$A:$D,3,FALSE),"Not found"))</f>
        <v/>
      </c>
      <c r="D488" s="77" t="str">
        <f>IF($A488="","",IFERROR(IF(VLOOKUP($A488,StudentRegistry!$A:$D,4,FALSE)="Active","Yes","Inactive"),"No"))</f>
        <v/>
      </c>
    </row>
    <row r="489" ht="15.75" customHeight="1">
      <c r="A489" s="45"/>
      <c r="C489" s="77" t="str">
        <f>IF($A489="","",IFERROR(VLOOKUP($A489,StudentRegistry!$A:$D,3,FALSE),"Not found"))</f>
        <v/>
      </c>
      <c r="D489" s="77" t="str">
        <f>IF($A489="","",IFERROR(IF(VLOOKUP($A489,StudentRegistry!$A:$D,4,FALSE)="Active","Yes","Inactive"),"No"))</f>
        <v/>
      </c>
    </row>
    <row r="490" ht="15.75" customHeight="1">
      <c r="A490" s="45"/>
      <c r="C490" s="77" t="str">
        <f>IF($A490="","",IFERROR(VLOOKUP($A490,StudentRegistry!$A:$D,3,FALSE),"Not found"))</f>
        <v/>
      </c>
      <c r="D490" s="77" t="str">
        <f>IF($A490="","",IFERROR(IF(VLOOKUP($A490,StudentRegistry!$A:$D,4,FALSE)="Active","Yes","Inactive"),"No"))</f>
        <v/>
      </c>
    </row>
    <row r="491" ht="15.75" customHeight="1">
      <c r="A491" s="45"/>
      <c r="C491" s="77" t="str">
        <f>IF($A491="","",IFERROR(VLOOKUP($A491,StudentRegistry!$A:$D,3,FALSE),"Not found"))</f>
        <v/>
      </c>
      <c r="D491" s="77" t="str">
        <f>IF($A491="","",IFERROR(IF(VLOOKUP($A491,StudentRegistry!$A:$D,4,FALSE)="Active","Yes","Inactive"),"No"))</f>
        <v/>
      </c>
    </row>
    <row r="492" ht="15.75" customHeight="1">
      <c r="A492" s="45"/>
      <c r="C492" s="77" t="str">
        <f>IF($A492="","",IFERROR(VLOOKUP($A492,StudentRegistry!$A:$D,3,FALSE),"Not found"))</f>
        <v/>
      </c>
      <c r="D492" s="77" t="str">
        <f>IF($A492="","",IFERROR(IF(VLOOKUP($A492,StudentRegistry!$A:$D,4,FALSE)="Active","Yes","Inactive"),"No"))</f>
        <v/>
      </c>
    </row>
    <row r="493" ht="15.75" customHeight="1">
      <c r="A493" s="45"/>
      <c r="C493" s="77" t="str">
        <f>IF($A493="","",IFERROR(VLOOKUP($A493,StudentRegistry!$A:$D,3,FALSE),"Not found"))</f>
        <v/>
      </c>
      <c r="D493" s="77" t="str">
        <f>IF($A493="","",IFERROR(IF(VLOOKUP($A493,StudentRegistry!$A:$D,4,FALSE)="Active","Yes","Inactive"),"No"))</f>
        <v/>
      </c>
    </row>
    <row r="494" ht="15.75" customHeight="1">
      <c r="A494" s="45"/>
      <c r="C494" s="77" t="str">
        <f>IF($A494="","",IFERROR(VLOOKUP($A494,StudentRegistry!$A:$D,3,FALSE),"Not found"))</f>
        <v/>
      </c>
      <c r="D494" s="77" t="str">
        <f>IF($A494="","",IFERROR(IF(VLOOKUP($A494,StudentRegistry!$A:$D,4,FALSE)="Active","Yes","Inactive"),"No"))</f>
        <v/>
      </c>
    </row>
    <row r="495" ht="15.75" customHeight="1">
      <c r="A495" s="45"/>
      <c r="C495" s="77" t="str">
        <f>IF($A495="","",IFERROR(VLOOKUP($A495,StudentRegistry!$A:$D,3,FALSE),"Not found"))</f>
        <v/>
      </c>
      <c r="D495" s="77" t="str">
        <f>IF($A495="","",IFERROR(IF(VLOOKUP($A495,StudentRegistry!$A:$D,4,FALSE)="Active","Yes","Inactive"),"No"))</f>
        <v/>
      </c>
    </row>
    <row r="496" ht="15.75" customHeight="1">
      <c r="A496" s="45"/>
      <c r="C496" s="77" t="str">
        <f>IF($A496="","",IFERROR(VLOOKUP($A496,StudentRegistry!$A:$D,3,FALSE),"Not found"))</f>
        <v/>
      </c>
      <c r="D496" s="77" t="str">
        <f>IF($A496="","",IFERROR(IF(VLOOKUP($A496,StudentRegistry!$A:$D,4,FALSE)="Active","Yes","Inactive"),"No"))</f>
        <v/>
      </c>
    </row>
    <row r="497" ht="15.75" customHeight="1">
      <c r="A497" s="45"/>
      <c r="C497" s="77" t="str">
        <f>IF($A497="","",IFERROR(VLOOKUP($A497,StudentRegistry!$A:$D,3,FALSE),"Not found"))</f>
        <v/>
      </c>
      <c r="D497" s="77" t="str">
        <f>IF($A497="","",IFERROR(IF(VLOOKUP($A497,StudentRegistry!$A:$D,4,FALSE)="Active","Yes","Inactive"),"No"))</f>
        <v/>
      </c>
    </row>
    <row r="498" ht="15.75" customHeight="1">
      <c r="A498" s="45"/>
      <c r="C498" s="77" t="str">
        <f>IF($A498="","",IFERROR(VLOOKUP($A498,StudentRegistry!$A:$D,3,FALSE),"Not found"))</f>
        <v/>
      </c>
      <c r="D498" s="77" t="str">
        <f>IF($A498="","",IFERROR(IF(VLOOKUP($A498,StudentRegistry!$A:$D,4,FALSE)="Active","Yes","Inactive"),"No"))</f>
        <v/>
      </c>
    </row>
    <row r="499" ht="15.75" customHeight="1">
      <c r="A499" s="45"/>
      <c r="C499" s="77" t="str">
        <f>IF($A499="","",IFERROR(VLOOKUP($A499,StudentRegistry!$A:$D,3,FALSE),"Not found"))</f>
        <v/>
      </c>
      <c r="D499" s="77" t="str">
        <f>IF($A499="","",IFERROR(IF(VLOOKUP($A499,StudentRegistry!$A:$D,4,FALSE)="Active","Yes","Inactive"),"No"))</f>
        <v/>
      </c>
    </row>
    <row r="500" ht="15.75" customHeight="1">
      <c r="A500" s="45"/>
      <c r="C500" s="77" t="str">
        <f>IF($A500="","",IFERROR(VLOOKUP($A500,StudentRegistry!$A:$D,3,FALSE),"Not found"))</f>
        <v/>
      </c>
      <c r="D500" s="77" t="str">
        <f>IF($A500="","",IFERROR(IF(VLOOKUP($A500,StudentRegistry!$A:$D,4,FALSE)="Active","Yes","Inactive"),"No"))</f>
        <v/>
      </c>
    </row>
    <row r="501" ht="15.75" customHeight="1">
      <c r="A501" s="45"/>
      <c r="C501" s="77" t="str">
        <f>IF($A501="","",IFERROR(VLOOKUP($A501,StudentRegistry!$A:$D,3,FALSE),"Not found"))</f>
        <v/>
      </c>
      <c r="D501" s="77" t="str">
        <f>IF($A501="","",IFERROR(IF(VLOOKUP($A501,StudentRegistry!$A:$D,4,FALSE)="Active","Yes","Inactive"),"No"))</f>
        <v/>
      </c>
    </row>
    <row r="502" ht="15.75" customHeight="1">
      <c r="A502" s="45"/>
      <c r="C502" s="77" t="str">
        <f>IF($A502="","",IFERROR(VLOOKUP($A502,StudentRegistry!$A:$D,3,FALSE),"Not found"))</f>
        <v/>
      </c>
      <c r="D502" s="77" t="str">
        <f>IF($A502="","",IFERROR(IF(VLOOKUP($A502,StudentRegistry!$A:$D,4,FALSE)="Active","Yes","Inactive"),"No"))</f>
        <v/>
      </c>
    </row>
    <row r="503" ht="15.75" customHeight="1">
      <c r="A503" s="45"/>
      <c r="C503" s="77" t="str">
        <f>IF($A503="","",IFERROR(VLOOKUP($A503,StudentRegistry!$A:$D,3,FALSE),"Not found"))</f>
        <v/>
      </c>
      <c r="D503" s="77" t="str">
        <f>IF($A503="","",IFERROR(IF(VLOOKUP($A503,StudentRegistry!$A:$D,4,FALSE)="Active","Yes","Inactive"),"No"))</f>
        <v/>
      </c>
    </row>
    <row r="504" ht="15.75" customHeight="1">
      <c r="A504" s="45"/>
      <c r="C504" s="77" t="str">
        <f>IF($A504="","",IFERROR(VLOOKUP($A504,StudentRegistry!$A:$D,3,FALSE),"Not found"))</f>
        <v/>
      </c>
      <c r="D504" s="77" t="str">
        <f>IF($A504="","",IFERROR(IF(VLOOKUP($A504,StudentRegistry!$A:$D,4,FALSE)="Active","Yes","Inactive"),"No"))</f>
        <v/>
      </c>
    </row>
    <row r="505" ht="15.75" customHeight="1">
      <c r="A505" s="45"/>
      <c r="C505" s="77" t="str">
        <f>IF($A505="","",IFERROR(VLOOKUP($A505,StudentRegistry!$A:$D,3,FALSE),"Not found"))</f>
        <v/>
      </c>
      <c r="D505" s="77" t="str">
        <f>IF($A505="","",IFERROR(IF(VLOOKUP($A505,StudentRegistry!$A:$D,4,FALSE)="Active","Yes","Inactive"),"No"))</f>
        <v/>
      </c>
    </row>
    <row r="506" ht="15.75" customHeight="1">
      <c r="A506" s="45"/>
      <c r="C506" s="77" t="str">
        <f>IF($A506="","",IFERROR(VLOOKUP($A506,StudentRegistry!$A:$D,3,FALSE),"Not found"))</f>
        <v/>
      </c>
      <c r="D506" s="77" t="str">
        <f>IF($A506="","",IFERROR(IF(VLOOKUP($A506,StudentRegistry!$A:$D,4,FALSE)="Active","Yes","Inactive"),"No"))</f>
        <v/>
      </c>
    </row>
    <row r="507" ht="15.75" customHeight="1">
      <c r="A507" s="45"/>
      <c r="C507" s="77" t="str">
        <f>IF($A507="","",IFERROR(VLOOKUP($A507,StudentRegistry!$A:$D,3,FALSE),"Not found"))</f>
        <v/>
      </c>
      <c r="D507" s="77" t="str">
        <f>IF($A507="","",IFERROR(IF(VLOOKUP($A507,StudentRegistry!$A:$D,4,FALSE)="Active","Yes","Inactive"),"No"))</f>
        <v/>
      </c>
    </row>
    <row r="508" ht="15.75" customHeight="1">
      <c r="A508" s="45"/>
      <c r="C508" s="77" t="str">
        <f>IF($A508="","",IFERROR(VLOOKUP($A508,StudentRegistry!$A:$D,3,FALSE),"Not found"))</f>
        <v/>
      </c>
      <c r="D508" s="77" t="str">
        <f>IF($A508="","",IFERROR(IF(VLOOKUP($A508,StudentRegistry!$A:$D,4,FALSE)="Active","Yes","Inactive"),"No"))</f>
        <v/>
      </c>
    </row>
    <row r="509" ht="15.75" customHeight="1">
      <c r="A509" s="45"/>
      <c r="C509" s="77" t="str">
        <f>IF($A509="","",IFERROR(VLOOKUP($A509,StudentRegistry!$A:$D,3,FALSE),"Not found"))</f>
        <v/>
      </c>
      <c r="D509" s="77" t="str">
        <f>IF($A509="","",IFERROR(IF(VLOOKUP($A509,StudentRegistry!$A:$D,4,FALSE)="Active","Yes","Inactive"),"No"))</f>
        <v/>
      </c>
    </row>
    <row r="510" ht="15.75" customHeight="1">
      <c r="A510" s="45"/>
      <c r="C510" s="77" t="str">
        <f>IF($A510="","",IFERROR(VLOOKUP($A510,StudentRegistry!$A:$D,3,FALSE),"Not found"))</f>
        <v/>
      </c>
      <c r="D510" s="77" t="str">
        <f>IF($A510="","",IFERROR(IF(VLOOKUP($A510,StudentRegistry!$A:$D,4,FALSE)="Active","Yes","Inactive"),"No"))</f>
        <v/>
      </c>
    </row>
    <row r="511" ht="15.75" customHeight="1">
      <c r="A511" s="45"/>
      <c r="C511" s="77" t="str">
        <f>IF($A511="","",IFERROR(VLOOKUP($A511,StudentRegistry!$A:$D,3,FALSE),"Not found"))</f>
        <v/>
      </c>
      <c r="D511" s="77" t="str">
        <f>IF($A511="","",IFERROR(IF(VLOOKUP($A511,StudentRegistry!$A:$D,4,FALSE)="Active","Yes","Inactive"),"No"))</f>
        <v/>
      </c>
    </row>
    <row r="512" ht="15.75" customHeight="1">
      <c r="A512" s="45"/>
      <c r="C512" s="77" t="str">
        <f>IF($A512="","",IFERROR(VLOOKUP($A512,StudentRegistry!$A:$D,3,FALSE),"Not found"))</f>
        <v/>
      </c>
      <c r="D512" s="77" t="str">
        <f>IF($A512="","",IFERROR(IF(VLOOKUP($A512,StudentRegistry!$A:$D,4,FALSE)="Active","Yes","Inactive"),"No"))</f>
        <v/>
      </c>
    </row>
    <row r="513" ht="15.75" customHeight="1">
      <c r="A513" s="45"/>
      <c r="C513" s="77" t="str">
        <f>IF($A513="","",IFERROR(VLOOKUP($A513,StudentRegistry!$A:$D,3,FALSE),"Not found"))</f>
        <v/>
      </c>
      <c r="D513" s="77" t="str">
        <f>IF($A513="","",IFERROR(IF(VLOOKUP($A513,StudentRegistry!$A:$D,4,FALSE)="Active","Yes","Inactive"),"No"))</f>
        <v/>
      </c>
    </row>
    <row r="514" ht="15.75" customHeight="1">
      <c r="A514" s="45"/>
      <c r="C514" s="77" t="str">
        <f>IF($A514="","",IFERROR(VLOOKUP($A514,StudentRegistry!$A:$D,3,FALSE),"Not found"))</f>
        <v/>
      </c>
      <c r="D514" s="77" t="str">
        <f>IF($A514="","",IFERROR(IF(VLOOKUP($A514,StudentRegistry!$A:$D,4,FALSE)="Active","Yes","Inactive"),"No"))</f>
        <v/>
      </c>
    </row>
    <row r="515" ht="15.75" customHeight="1">
      <c r="A515" s="45"/>
      <c r="C515" s="77" t="str">
        <f>IF($A515="","",IFERROR(VLOOKUP($A515,StudentRegistry!$A:$D,3,FALSE),"Not found"))</f>
        <v/>
      </c>
      <c r="D515" s="77" t="str">
        <f>IF($A515="","",IFERROR(IF(VLOOKUP($A515,StudentRegistry!$A:$D,4,FALSE)="Active","Yes","Inactive"),"No"))</f>
        <v/>
      </c>
    </row>
    <row r="516" ht="15.75" customHeight="1">
      <c r="A516" s="45"/>
      <c r="C516" s="77" t="str">
        <f>IF($A516="","",IFERROR(VLOOKUP($A516,StudentRegistry!$A:$D,3,FALSE),"Not found"))</f>
        <v/>
      </c>
      <c r="D516" s="77" t="str">
        <f>IF($A516="","",IFERROR(IF(VLOOKUP($A516,StudentRegistry!$A:$D,4,FALSE)="Active","Yes","Inactive"),"No"))</f>
        <v/>
      </c>
    </row>
    <row r="517" ht="15.75" customHeight="1">
      <c r="A517" s="45"/>
      <c r="C517" s="77" t="str">
        <f>IF($A517="","",IFERROR(VLOOKUP($A517,StudentRegistry!$A:$D,3,FALSE),"Not found"))</f>
        <v/>
      </c>
      <c r="D517" s="77" t="str">
        <f>IF($A517="","",IFERROR(IF(VLOOKUP($A517,StudentRegistry!$A:$D,4,FALSE)="Active","Yes","Inactive"),"No"))</f>
        <v/>
      </c>
    </row>
    <row r="518" ht="15.75" customHeight="1">
      <c r="A518" s="45"/>
      <c r="C518" s="77" t="str">
        <f>IF($A518="","",IFERROR(VLOOKUP($A518,StudentRegistry!$A:$D,3,FALSE),"Not found"))</f>
        <v/>
      </c>
      <c r="D518" s="77" t="str">
        <f>IF($A518="","",IFERROR(IF(VLOOKUP($A518,StudentRegistry!$A:$D,4,FALSE)="Active","Yes","Inactive"),"No"))</f>
        <v/>
      </c>
    </row>
    <row r="519" ht="15.75" customHeight="1">
      <c r="A519" s="45"/>
      <c r="C519" s="77" t="str">
        <f>IF($A519="","",IFERROR(VLOOKUP($A519,StudentRegistry!$A:$D,3,FALSE),"Not found"))</f>
        <v/>
      </c>
      <c r="D519" s="77" t="str">
        <f>IF($A519="","",IFERROR(IF(VLOOKUP($A519,StudentRegistry!$A:$D,4,FALSE)="Active","Yes","Inactive"),"No"))</f>
        <v/>
      </c>
    </row>
    <row r="520" ht="15.75" customHeight="1">
      <c r="A520" s="45"/>
      <c r="C520" s="77" t="str">
        <f>IF($A520="","",IFERROR(VLOOKUP($A520,StudentRegistry!$A:$D,3,FALSE),"Not found"))</f>
        <v/>
      </c>
      <c r="D520" s="77" t="str">
        <f>IF($A520="","",IFERROR(IF(VLOOKUP($A520,StudentRegistry!$A:$D,4,FALSE)="Active","Yes","Inactive"),"No"))</f>
        <v/>
      </c>
    </row>
    <row r="521" ht="15.75" customHeight="1">
      <c r="A521" s="45"/>
      <c r="C521" s="77" t="str">
        <f>IF($A521="","",IFERROR(VLOOKUP($A521,StudentRegistry!$A:$D,3,FALSE),"Not found"))</f>
        <v/>
      </c>
      <c r="D521" s="77" t="str">
        <f>IF($A521="","",IFERROR(IF(VLOOKUP($A521,StudentRegistry!$A:$D,4,FALSE)="Active","Yes","Inactive"),"No"))</f>
        <v/>
      </c>
    </row>
    <row r="522" ht="15.75" customHeight="1">
      <c r="A522" s="45"/>
      <c r="C522" s="77" t="str">
        <f>IF($A522="","",IFERROR(VLOOKUP($A522,StudentRegistry!$A:$D,3,FALSE),"Not found"))</f>
        <v/>
      </c>
      <c r="D522" s="77" t="str">
        <f>IF($A522="","",IFERROR(IF(VLOOKUP($A522,StudentRegistry!$A:$D,4,FALSE)="Active","Yes","Inactive"),"No"))</f>
        <v/>
      </c>
    </row>
    <row r="523" ht="15.75" customHeight="1">
      <c r="A523" s="45"/>
      <c r="C523" s="77" t="str">
        <f>IF($A523="","",IFERROR(VLOOKUP($A523,StudentRegistry!$A:$D,3,FALSE),"Not found"))</f>
        <v/>
      </c>
      <c r="D523" s="77" t="str">
        <f>IF($A523="","",IFERROR(IF(VLOOKUP($A523,StudentRegistry!$A:$D,4,FALSE)="Active","Yes","Inactive"),"No"))</f>
        <v/>
      </c>
    </row>
    <row r="524" ht="15.75" customHeight="1">
      <c r="A524" s="45"/>
      <c r="C524" s="77" t="str">
        <f>IF($A524="","",IFERROR(VLOOKUP($A524,StudentRegistry!$A:$D,3,FALSE),"Not found"))</f>
        <v/>
      </c>
      <c r="D524" s="77" t="str">
        <f>IF($A524="","",IFERROR(IF(VLOOKUP($A524,StudentRegistry!$A:$D,4,FALSE)="Active","Yes","Inactive"),"No"))</f>
        <v/>
      </c>
    </row>
    <row r="525" ht="15.75" customHeight="1">
      <c r="A525" s="45"/>
      <c r="C525" s="77" t="str">
        <f>IF($A525="","",IFERROR(VLOOKUP($A525,StudentRegistry!$A:$D,3,FALSE),"Not found"))</f>
        <v/>
      </c>
      <c r="D525" s="77" t="str">
        <f>IF($A525="","",IFERROR(IF(VLOOKUP($A525,StudentRegistry!$A:$D,4,FALSE)="Active","Yes","Inactive"),"No"))</f>
        <v/>
      </c>
    </row>
    <row r="526" ht="15.75" customHeight="1">
      <c r="A526" s="45"/>
      <c r="C526" s="77" t="str">
        <f>IF($A526="","",IFERROR(VLOOKUP($A526,StudentRegistry!$A:$D,3,FALSE),"Not found"))</f>
        <v/>
      </c>
      <c r="D526" s="77" t="str">
        <f>IF($A526="","",IFERROR(IF(VLOOKUP($A526,StudentRegistry!$A:$D,4,FALSE)="Active","Yes","Inactive"),"No"))</f>
        <v/>
      </c>
    </row>
    <row r="527" ht="15.75" customHeight="1">
      <c r="A527" s="45"/>
      <c r="C527" s="77" t="str">
        <f>IF($A527="","",IFERROR(VLOOKUP($A527,StudentRegistry!$A:$D,3,FALSE),"Not found"))</f>
        <v/>
      </c>
      <c r="D527" s="77" t="str">
        <f>IF($A527="","",IFERROR(IF(VLOOKUP($A527,StudentRegistry!$A:$D,4,FALSE)="Active","Yes","Inactive"),"No"))</f>
        <v/>
      </c>
    </row>
    <row r="528" ht="15.75" customHeight="1">
      <c r="A528" s="45"/>
      <c r="C528" s="77" t="str">
        <f>IF($A528="","",IFERROR(VLOOKUP($A528,StudentRegistry!$A:$D,3,FALSE),"Not found"))</f>
        <v/>
      </c>
      <c r="D528" s="77" t="str">
        <f>IF($A528="","",IFERROR(IF(VLOOKUP($A528,StudentRegistry!$A:$D,4,FALSE)="Active","Yes","Inactive"),"No"))</f>
        <v/>
      </c>
    </row>
    <row r="529" ht="15.75" customHeight="1">
      <c r="A529" s="45"/>
      <c r="C529" s="77" t="str">
        <f>IF($A529="","",IFERROR(VLOOKUP($A529,StudentRegistry!$A:$D,3,FALSE),"Not found"))</f>
        <v/>
      </c>
      <c r="D529" s="77" t="str">
        <f>IF($A529="","",IFERROR(IF(VLOOKUP($A529,StudentRegistry!$A:$D,4,FALSE)="Active","Yes","Inactive"),"No"))</f>
        <v/>
      </c>
    </row>
    <row r="530" ht="15.75" customHeight="1">
      <c r="A530" s="45"/>
      <c r="C530" s="77" t="str">
        <f>IF($A530="","",IFERROR(VLOOKUP($A530,StudentRegistry!$A:$D,3,FALSE),"Not found"))</f>
        <v/>
      </c>
      <c r="D530" s="77" t="str">
        <f>IF($A530="","",IFERROR(IF(VLOOKUP($A530,StudentRegistry!$A:$D,4,FALSE)="Active","Yes","Inactive"),"No"))</f>
        <v/>
      </c>
    </row>
    <row r="531" ht="15.75" customHeight="1">
      <c r="A531" s="45"/>
      <c r="C531" s="77" t="str">
        <f>IF($A531="","",IFERROR(VLOOKUP($A531,StudentRegistry!$A:$D,3,FALSE),"Not found"))</f>
        <v/>
      </c>
      <c r="D531" s="77" t="str">
        <f>IF($A531="","",IFERROR(IF(VLOOKUP($A531,StudentRegistry!$A:$D,4,FALSE)="Active","Yes","Inactive"),"No"))</f>
        <v/>
      </c>
    </row>
    <row r="532" ht="15.75" customHeight="1">
      <c r="A532" s="45"/>
      <c r="C532" s="77" t="str">
        <f>IF($A532="","",IFERROR(VLOOKUP($A532,StudentRegistry!$A:$D,3,FALSE),"Not found"))</f>
        <v/>
      </c>
      <c r="D532" s="77" t="str">
        <f>IF($A532="","",IFERROR(IF(VLOOKUP($A532,StudentRegistry!$A:$D,4,FALSE)="Active","Yes","Inactive"),"No"))</f>
        <v/>
      </c>
    </row>
    <row r="533" ht="15.75" customHeight="1">
      <c r="A533" s="45"/>
      <c r="C533" s="77" t="str">
        <f>IF($A533="","",IFERROR(VLOOKUP($A533,StudentRegistry!$A:$D,3,FALSE),"Not found"))</f>
        <v/>
      </c>
      <c r="D533" s="77" t="str">
        <f>IF($A533="","",IFERROR(IF(VLOOKUP($A533,StudentRegistry!$A:$D,4,FALSE)="Active","Yes","Inactive"),"No"))</f>
        <v/>
      </c>
    </row>
    <row r="534" ht="15.75" customHeight="1">
      <c r="A534" s="45"/>
      <c r="C534" s="77" t="str">
        <f>IF($A534="","",IFERROR(VLOOKUP($A534,StudentRegistry!$A:$D,3,FALSE),"Not found"))</f>
        <v/>
      </c>
      <c r="D534" s="77" t="str">
        <f>IF($A534="","",IFERROR(IF(VLOOKUP($A534,StudentRegistry!$A:$D,4,FALSE)="Active","Yes","Inactive"),"No"))</f>
        <v/>
      </c>
    </row>
    <row r="535" ht="15.75" customHeight="1">
      <c r="A535" s="45"/>
      <c r="C535" s="77" t="str">
        <f>IF($A535="","",IFERROR(VLOOKUP($A535,StudentRegistry!$A:$D,3,FALSE),"Not found"))</f>
        <v/>
      </c>
      <c r="D535" s="77" t="str">
        <f>IF($A535="","",IFERROR(IF(VLOOKUP($A535,StudentRegistry!$A:$D,4,FALSE)="Active","Yes","Inactive"),"No"))</f>
        <v/>
      </c>
    </row>
    <row r="536" ht="15.75" customHeight="1">
      <c r="A536" s="45"/>
      <c r="C536" s="77" t="str">
        <f>IF($A536="","",IFERROR(VLOOKUP($A536,StudentRegistry!$A:$D,3,FALSE),"Not found"))</f>
        <v/>
      </c>
      <c r="D536" s="77" t="str">
        <f>IF($A536="","",IFERROR(IF(VLOOKUP($A536,StudentRegistry!$A:$D,4,FALSE)="Active","Yes","Inactive"),"No"))</f>
        <v/>
      </c>
    </row>
    <row r="537" ht="15.75" customHeight="1">
      <c r="A537" s="45"/>
      <c r="C537" s="77" t="str">
        <f>IF($A537="","",IFERROR(VLOOKUP($A537,StudentRegistry!$A:$D,3,FALSE),"Not found"))</f>
        <v/>
      </c>
      <c r="D537" s="77" t="str">
        <f>IF($A537="","",IFERROR(IF(VLOOKUP($A537,StudentRegistry!$A:$D,4,FALSE)="Active","Yes","Inactive"),"No"))</f>
        <v/>
      </c>
    </row>
    <row r="538" ht="15.75" customHeight="1">
      <c r="A538" s="45"/>
      <c r="C538" s="77" t="str">
        <f>IF($A538="","",IFERROR(VLOOKUP($A538,StudentRegistry!$A:$D,3,FALSE),"Not found"))</f>
        <v/>
      </c>
      <c r="D538" s="77" t="str">
        <f>IF($A538="","",IFERROR(IF(VLOOKUP($A538,StudentRegistry!$A:$D,4,FALSE)="Active","Yes","Inactive"),"No"))</f>
        <v/>
      </c>
    </row>
    <row r="539" ht="15.75" customHeight="1">
      <c r="A539" s="45"/>
      <c r="C539" s="77" t="str">
        <f>IF($A539="","",IFERROR(VLOOKUP($A539,StudentRegistry!$A:$D,3,FALSE),"Not found"))</f>
        <v/>
      </c>
      <c r="D539" s="77" t="str">
        <f>IF($A539="","",IFERROR(IF(VLOOKUP($A539,StudentRegistry!$A:$D,4,FALSE)="Active","Yes","Inactive"),"No"))</f>
        <v/>
      </c>
    </row>
    <row r="540" ht="15.75" customHeight="1">
      <c r="A540" s="45"/>
      <c r="C540" s="77" t="str">
        <f>IF($A540="","",IFERROR(VLOOKUP($A540,StudentRegistry!$A:$D,3,FALSE),"Not found"))</f>
        <v/>
      </c>
      <c r="D540" s="77" t="str">
        <f>IF($A540="","",IFERROR(IF(VLOOKUP($A540,StudentRegistry!$A:$D,4,FALSE)="Active","Yes","Inactive"),"No"))</f>
        <v/>
      </c>
    </row>
    <row r="541" ht="15.75" customHeight="1">
      <c r="A541" s="45"/>
      <c r="C541" s="77" t="str">
        <f>IF($A541="","",IFERROR(VLOOKUP($A541,StudentRegistry!$A:$D,3,FALSE),"Not found"))</f>
        <v/>
      </c>
      <c r="D541" s="77" t="str">
        <f>IF($A541="","",IFERROR(IF(VLOOKUP($A541,StudentRegistry!$A:$D,4,FALSE)="Active","Yes","Inactive"),"No"))</f>
        <v/>
      </c>
    </row>
    <row r="542" ht="15.75" customHeight="1">
      <c r="A542" s="45"/>
      <c r="C542" s="77" t="str">
        <f>IF($A542="","",IFERROR(VLOOKUP($A542,StudentRegistry!$A:$D,3,FALSE),"Not found"))</f>
        <v/>
      </c>
      <c r="D542" s="77" t="str">
        <f>IF($A542="","",IFERROR(IF(VLOOKUP($A542,StudentRegistry!$A:$D,4,FALSE)="Active","Yes","Inactive"),"No"))</f>
        <v/>
      </c>
    </row>
    <row r="543" ht="15.75" customHeight="1">
      <c r="A543" s="45"/>
      <c r="C543" s="77" t="str">
        <f>IF($A543="","",IFERROR(VLOOKUP($A543,StudentRegistry!$A:$D,3,FALSE),"Not found"))</f>
        <v/>
      </c>
      <c r="D543" s="77" t="str">
        <f>IF($A543="","",IFERROR(IF(VLOOKUP($A543,StudentRegistry!$A:$D,4,FALSE)="Active","Yes","Inactive"),"No"))</f>
        <v/>
      </c>
    </row>
    <row r="544" ht="15.75" customHeight="1">
      <c r="A544" s="45"/>
      <c r="C544" s="77" t="str">
        <f>IF($A544="","",IFERROR(VLOOKUP($A544,StudentRegistry!$A:$D,3,FALSE),"Not found"))</f>
        <v/>
      </c>
      <c r="D544" s="77" t="str">
        <f>IF($A544="","",IFERROR(IF(VLOOKUP($A544,StudentRegistry!$A:$D,4,FALSE)="Active","Yes","Inactive"),"No"))</f>
        <v/>
      </c>
    </row>
    <row r="545" ht="15.75" customHeight="1">
      <c r="A545" s="45"/>
      <c r="C545" s="77" t="str">
        <f>IF($A545="","",IFERROR(VLOOKUP($A545,StudentRegistry!$A:$D,3,FALSE),"Not found"))</f>
        <v/>
      </c>
      <c r="D545" s="77" t="str">
        <f>IF($A545="","",IFERROR(IF(VLOOKUP($A545,StudentRegistry!$A:$D,4,FALSE)="Active","Yes","Inactive"),"No"))</f>
        <v/>
      </c>
    </row>
    <row r="546" ht="15.75" customHeight="1">
      <c r="A546" s="45"/>
      <c r="C546" s="77" t="str">
        <f>IF($A546="","",IFERROR(VLOOKUP($A546,StudentRegistry!$A:$D,3,FALSE),"Not found"))</f>
        <v/>
      </c>
      <c r="D546" s="77" t="str">
        <f>IF($A546="","",IFERROR(IF(VLOOKUP($A546,StudentRegistry!$A:$D,4,FALSE)="Active","Yes","Inactive"),"No"))</f>
        <v/>
      </c>
    </row>
    <row r="547" ht="15.75" customHeight="1">
      <c r="A547" s="45"/>
      <c r="C547" s="77" t="str">
        <f>IF($A547="","",IFERROR(VLOOKUP($A547,StudentRegistry!$A:$D,3,FALSE),"Not found"))</f>
        <v/>
      </c>
      <c r="D547" s="77" t="str">
        <f>IF($A547="","",IFERROR(IF(VLOOKUP($A547,StudentRegistry!$A:$D,4,FALSE)="Active","Yes","Inactive"),"No"))</f>
        <v/>
      </c>
    </row>
    <row r="548" ht="15.75" customHeight="1">
      <c r="A548" s="45"/>
      <c r="C548" s="77" t="str">
        <f>IF($A548="","",IFERROR(VLOOKUP($A548,StudentRegistry!$A:$D,3,FALSE),"Not found"))</f>
        <v/>
      </c>
      <c r="D548" s="77" t="str">
        <f>IF($A548="","",IFERROR(IF(VLOOKUP($A548,StudentRegistry!$A:$D,4,FALSE)="Active","Yes","Inactive"),"No"))</f>
        <v/>
      </c>
    </row>
    <row r="549" ht="15.75" customHeight="1">
      <c r="A549" s="45"/>
      <c r="C549" s="77" t="str">
        <f>IF($A549="","",IFERROR(VLOOKUP($A549,StudentRegistry!$A:$D,3,FALSE),"Not found"))</f>
        <v/>
      </c>
      <c r="D549" s="77" t="str">
        <f>IF($A549="","",IFERROR(IF(VLOOKUP($A549,StudentRegistry!$A:$D,4,FALSE)="Active","Yes","Inactive"),"No"))</f>
        <v/>
      </c>
    </row>
    <row r="550" ht="15.75" customHeight="1">
      <c r="A550" s="45"/>
      <c r="C550" s="77" t="str">
        <f>IF($A550="","",IFERROR(VLOOKUP($A550,StudentRegistry!$A:$D,3,FALSE),"Not found"))</f>
        <v/>
      </c>
      <c r="D550" s="77" t="str">
        <f>IF($A550="","",IFERROR(IF(VLOOKUP($A550,StudentRegistry!$A:$D,4,FALSE)="Active","Yes","Inactive"),"No"))</f>
        <v/>
      </c>
    </row>
    <row r="551" ht="15.75" customHeight="1">
      <c r="A551" s="45"/>
      <c r="C551" s="77" t="str">
        <f>IF($A551="","",IFERROR(VLOOKUP($A551,StudentRegistry!$A:$D,3,FALSE),"Not found"))</f>
        <v/>
      </c>
      <c r="D551" s="77" t="str">
        <f>IF($A551="","",IFERROR(IF(VLOOKUP($A551,StudentRegistry!$A:$D,4,FALSE)="Active","Yes","Inactive"),"No"))</f>
        <v/>
      </c>
    </row>
    <row r="552" ht="15.75" customHeight="1">
      <c r="A552" s="45"/>
      <c r="C552" s="77" t="str">
        <f>IF($A552="","",IFERROR(VLOOKUP($A552,StudentRegistry!$A:$D,3,FALSE),"Not found"))</f>
        <v/>
      </c>
      <c r="D552" s="77" t="str">
        <f>IF($A552="","",IFERROR(IF(VLOOKUP($A552,StudentRegistry!$A:$D,4,FALSE)="Active","Yes","Inactive"),"No"))</f>
        <v/>
      </c>
    </row>
    <row r="553" ht="15.75" customHeight="1">
      <c r="A553" s="45"/>
      <c r="C553" s="77" t="str">
        <f>IF($A553="","",IFERROR(VLOOKUP($A553,StudentRegistry!$A:$D,3,FALSE),"Not found"))</f>
        <v/>
      </c>
      <c r="D553" s="77" t="str">
        <f>IF($A553="","",IFERROR(IF(VLOOKUP($A553,StudentRegistry!$A:$D,4,FALSE)="Active","Yes","Inactive"),"No"))</f>
        <v/>
      </c>
    </row>
    <row r="554" ht="15.75" customHeight="1">
      <c r="A554" s="45"/>
      <c r="C554" s="77" t="str">
        <f>IF($A554="","",IFERROR(VLOOKUP($A554,StudentRegistry!$A:$D,3,FALSE),"Not found"))</f>
        <v/>
      </c>
      <c r="D554" s="77" t="str">
        <f>IF($A554="","",IFERROR(IF(VLOOKUP($A554,StudentRegistry!$A:$D,4,FALSE)="Active","Yes","Inactive"),"No"))</f>
        <v/>
      </c>
    </row>
    <row r="555" ht="15.75" customHeight="1">
      <c r="A555" s="45"/>
      <c r="C555" s="77" t="str">
        <f>IF($A555="","",IFERROR(VLOOKUP($A555,StudentRegistry!$A:$D,3,FALSE),"Not found"))</f>
        <v/>
      </c>
      <c r="D555" s="77" t="str">
        <f>IF($A555="","",IFERROR(IF(VLOOKUP($A555,StudentRegistry!$A:$D,4,FALSE)="Active","Yes","Inactive"),"No"))</f>
        <v/>
      </c>
    </row>
    <row r="556" ht="15.75" customHeight="1">
      <c r="A556" s="45"/>
      <c r="C556" s="77" t="str">
        <f>IF($A556="","",IFERROR(VLOOKUP($A556,StudentRegistry!$A:$D,3,FALSE),"Not found"))</f>
        <v/>
      </c>
      <c r="D556" s="77" t="str">
        <f>IF($A556="","",IFERROR(IF(VLOOKUP($A556,StudentRegistry!$A:$D,4,FALSE)="Active","Yes","Inactive"),"No"))</f>
        <v/>
      </c>
    </row>
    <row r="557" ht="15.75" customHeight="1">
      <c r="A557" s="45"/>
      <c r="C557" s="77" t="str">
        <f>IF($A557="","",IFERROR(VLOOKUP($A557,StudentRegistry!$A:$D,3,FALSE),"Not found"))</f>
        <v/>
      </c>
      <c r="D557" s="77" t="str">
        <f>IF($A557="","",IFERROR(IF(VLOOKUP($A557,StudentRegistry!$A:$D,4,FALSE)="Active","Yes","Inactive"),"No"))</f>
        <v/>
      </c>
    </row>
    <row r="558" ht="15.75" customHeight="1">
      <c r="A558" s="45"/>
      <c r="C558" s="77" t="str">
        <f>IF($A558="","",IFERROR(VLOOKUP($A558,StudentRegistry!$A:$D,3,FALSE),"Not found"))</f>
        <v/>
      </c>
      <c r="D558" s="77" t="str">
        <f>IF($A558="","",IFERROR(IF(VLOOKUP($A558,StudentRegistry!$A:$D,4,FALSE)="Active","Yes","Inactive"),"No"))</f>
        <v/>
      </c>
    </row>
    <row r="559" ht="15.75" customHeight="1">
      <c r="A559" s="45"/>
      <c r="C559" s="77" t="str">
        <f>IF($A559="","",IFERROR(VLOOKUP($A559,StudentRegistry!$A:$D,3,FALSE),"Not found"))</f>
        <v/>
      </c>
      <c r="D559" s="77" t="str">
        <f>IF($A559="","",IFERROR(IF(VLOOKUP($A559,StudentRegistry!$A:$D,4,FALSE)="Active","Yes","Inactive"),"No"))</f>
        <v/>
      </c>
    </row>
    <row r="560" ht="15.75" customHeight="1">
      <c r="A560" s="45"/>
      <c r="C560" s="77" t="str">
        <f>IF($A560="","",IFERROR(VLOOKUP($A560,StudentRegistry!$A:$D,3,FALSE),"Not found"))</f>
        <v/>
      </c>
      <c r="D560" s="77" t="str">
        <f>IF($A560="","",IFERROR(IF(VLOOKUP($A560,StudentRegistry!$A:$D,4,FALSE)="Active","Yes","Inactive"),"No"))</f>
        <v/>
      </c>
    </row>
    <row r="561" ht="15.75" customHeight="1">
      <c r="A561" s="45"/>
      <c r="C561" s="77" t="str">
        <f>IF($A561="","",IFERROR(VLOOKUP($A561,StudentRegistry!$A:$D,3,FALSE),"Not found"))</f>
        <v/>
      </c>
      <c r="D561" s="77" t="str">
        <f>IF($A561="","",IFERROR(IF(VLOOKUP($A561,StudentRegistry!$A:$D,4,FALSE)="Active","Yes","Inactive"),"No"))</f>
        <v/>
      </c>
    </row>
    <row r="562" ht="15.75" customHeight="1">
      <c r="A562" s="45"/>
      <c r="C562" s="77" t="str">
        <f>IF($A562="","",IFERROR(VLOOKUP($A562,StudentRegistry!$A:$D,3,FALSE),"Not found"))</f>
        <v/>
      </c>
      <c r="D562" s="77" t="str">
        <f>IF($A562="","",IFERROR(IF(VLOOKUP($A562,StudentRegistry!$A:$D,4,FALSE)="Active","Yes","Inactive"),"No"))</f>
        <v/>
      </c>
    </row>
    <row r="563" ht="15.75" customHeight="1">
      <c r="A563" s="45"/>
      <c r="C563" s="77" t="str">
        <f>IF($A563="","",IFERROR(VLOOKUP($A563,StudentRegistry!$A:$D,3,FALSE),"Not found"))</f>
        <v/>
      </c>
      <c r="D563" s="77" t="str">
        <f>IF($A563="","",IFERROR(IF(VLOOKUP($A563,StudentRegistry!$A:$D,4,FALSE)="Active","Yes","Inactive"),"No"))</f>
        <v/>
      </c>
    </row>
    <row r="564" ht="15.75" customHeight="1">
      <c r="A564" s="45"/>
      <c r="C564" s="77" t="str">
        <f>IF($A564="","",IFERROR(VLOOKUP($A564,StudentRegistry!$A:$D,3,FALSE),"Not found"))</f>
        <v/>
      </c>
      <c r="D564" s="77" t="str">
        <f>IF($A564="","",IFERROR(IF(VLOOKUP($A564,StudentRegistry!$A:$D,4,FALSE)="Active","Yes","Inactive"),"No"))</f>
        <v/>
      </c>
    </row>
    <row r="565" ht="15.75" customHeight="1">
      <c r="A565" s="45"/>
      <c r="C565" s="77" t="str">
        <f>IF($A565="","",IFERROR(VLOOKUP($A565,StudentRegistry!$A:$D,3,FALSE),"Not found"))</f>
        <v/>
      </c>
      <c r="D565" s="77" t="str">
        <f>IF($A565="","",IFERROR(IF(VLOOKUP($A565,StudentRegistry!$A:$D,4,FALSE)="Active","Yes","Inactive"),"No"))</f>
        <v/>
      </c>
    </row>
    <row r="566" ht="15.75" customHeight="1">
      <c r="A566" s="45"/>
      <c r="C566" s="77" t="str">
        <f>IF($A566="","",IFERROR(VLOOKUP($A566,StudentRegistry!$A:$D,3,FALSE),"Not found"))</f>
        <v/>
      </c>
      <c r="D566" s="77" t="str">
        <f>IF($A566="","",IFERROR(IF(VLOOKUP($A566,StudentRegistry!$A:$D,4,FALSE)="Active","Yes","Inactive"),"No"))</f>
        <v/>
      </c>
    </row>
    <row r="567" ht="15.75" customHeight="1">
      <c r="A567" s="45"/>
      <c r="C567" s="77" t="str">
        <f>IF($A567="","",IFERROR(VLOOKUP($A567,StudentRegistry!$A:$D,3,FALSE),"Not found"))</f>
        <v/>
      </c>
      <c r="D567" s="77" t="str">
        <f>IF($A567="","",IFERROR(IF(VLOOKUP($A567,StudentRegistry!$A:$D,4,FALSE)="Active","Yes","Inactive"),"No"))</f>
        <v/>
      </c>
    </row>
    <row r="568" ht="15.75" customHeight="1">
      <c r="A568" s="45"/>
      <c r="C568" s="77" t="str">
        <f>IF($A568="","",IFERROR(VLOOKUP($A568,StudentRegistry!$A:$D,3,FALSE),"Not found"))</f>
        <v/>
      </c>
      <c r="D568" s="77" t="str">
        <f>IF($A568="","",IFERROR(IF(VLOOKUP($A568,StudentRegistry!$A:$D,4,FALSE)="Active","Yes","Inactive"),"No"))</f>
        <v/>
      </c>
    </row>
    <row r="569" ht="15.75" customHeight="1">
      <c r="A569" s="45"/>
      <c r="C569" s="77" t="str">
        <f>IF($A569="","",IFERROR(VLOOKUP($A569,StudentRegistry!$A:$D,3,FALSE),"Not found"))</f>
        <v/>
      </c>
      <c r="D569" s="77" t="str">
        <f>IF($A569="","",IFERROR(IF(VLOOKUP($A569,StudentRegistry!$A:$D,4,FALSE)="Active","Yes","Inactive"),"No"))</f>
        <v/>
      </c>
    </row>
    <row r="570" ht="15.75" customHeight="1">
      <c r="A570" s="45"/>
      <c r="C570" s="77" t="str">
        <f>IF($A570="","",IFERROR(VLOOKUP($A570,StudentRegistry!$A:$D,3,FALSE),"Not found"))</f>
        <v/>
      </c>
      <c r="D570" s="77" t="str">
        <f>IF($A570="","",IFERROR(IF(VLOOKUP($A570,StudentRegistry!$A:$D,4,FALSE)="Active","Yes","Inactive"),"No"))</f>
        <v/>
      </c>
    </row>
    <row r="571" ht="15.75" customHeight="1">
      <c r="A571" s="45"/>
      <c r="C571" s="77" t="str">
        <f>IF($A571="","",IFERROR(VLOOKUP($A571,StudentRegistry!$A:$D,3,FALSE),"Not found"))</f>
        <v/>
      </c>
      <c r="D571" s="77" t="str">
        <f>IF($A571="","",IFERROR(IF(VLOOKUP($A571,StudentRegistry!$A:$D,4,FALSE)="Active","Yes","Inactive"),"No"))</f>
        <v/>
      </c>
    </row>
    <row r="572" ht="15.75" customHeight="1">
      <c r="A572" s="45"/>
      <c r="C572" s="77" t="str">
        <f>IF($A572="","",IFERROR(VLOOKUP($A572,StudentRegistry!$A:$D,3,FALSE),"Not found"))</f>
        <v/>
      </c>
      <c r="D572" s="77" t="str">
        <f>IF($A572="","",IFERROR(IF(VLOOKUP($A572,StudentRegistry!$A:$D,4,FALSE)="Active","Yes","Inactive"),"No"))</f>
        <v/>
      </c>
    </row>
    <row r="573" ht="15.75" customHeight="1">
      <c r="A573" s="45"/>
      <c r="C573" s="77" t="str">
        <f>IF($A573="","",IFERROR(VLOOKUP($A573,StudentRegistry!$A:$D,3,FALSE),"Not found"))</f>
        <v/>
      </c>
      <c r="D573" s="77" t="str">
        <f>IF($A573="","",IFERROR(IF(VLOOKUP($A573,StudentRegistry!$A:$D,4,FALSE)="Active","Yes","Inactive"),"No"))</f>
        <v/>
      </c>
    </row>
    <row r="574" ht="15.75" customHeight="1">
      <c r="A574" s="45"/>
      <c r="C574" s="77" t="str">
        <f>IF($A574="","",IFERROR(VLOOKUP($A574,StudentRegistry!$A:$D,3,FALSE),"Not found"))</f>
        <v/>
      </c>
      <c r="D574" s="77" t="str">
        <f>IF($A574="","",IFERROR(IF(VLOOKUP($A574,StudentRegistry!$A:$D,4,FALSE)="Active","Yes","Inactive"),"No"))</f>
        <v/>
      </c>
    </row>
    <row r="575" ht="15.75" customHeight="1">
      <c r="A575" s="45"/>
      <c r="C575" s="77" t="str">
        <f>IF($A575="","",IFERROR(VLOOKUP($A575,StudentRegistry!$A:$D,3,FALSE),"Not found"))</f>
        <v/>
      </c>
      <c r="D575" s="77" t="str">
        <f>IF($A575="","",IFERROR(IF(VLOOKUP($A575,StudentRegistry!$A:$D,4,FALSE)="Active","Yes","Inactive"),"No"))</f>
        <v/>
      </c>
    </row>
    <row r="576" ht="15.75" customHeight="1">
      <c r="A576" s="45"/>
      <c r="C576" s="77" t="str">
        <f>IF($A576="","",IFERROR(VLOOKUP($A576,StudentRegistry!$A:$D,3,FALSE),"Not found"))</f>
        <v/>
      </c>
      <c r="D576" s="77" t="str">
        <f>IF($A576="","",IFERROR(IF(VLOOKUP($A576,StudentRegistry!$A:$D,4,FALSE)="Active","Yes","Inactive"),"No"))</f>
        <v/>
      </c>
    </row>
    <row r="577" ht="15.75" customHeight="1">
      <c r="A577" s="45"/>
      <c r="C577" s="77" t="str">
        <f>IF($A577="","",IFERROR(VLOOKUP($A577,StudentRegistry!$A:$D,3,FALSE),"Not found"))</f>
        <v/>
      </c>
      <c r="D577" s="77" t="str">
        <f>IF($A577="","",IFERROR(IF(VLOOKUP($A577,StudentRegistry!$A:$D,4,FALSE)="Active","Yes","Inactive"),"No"))</f>
        <v/>
      </c>
    </row>
    <row r="578" ht="15.75" customHeight="1">
      <c r="A578" s="45"/>
      <c r="C578" s="77" t="str">
        <f>IF($A578="","",IFERROR(VLOOKUP($A578,StudentRegistry!$A:$D,3,FALSE),"Not found"))</f>
        <v/>
      </c>
      <c r="D578" s="77" t="str">
        <f>IF($A578="","",IFERROR(IF(VLOOKUP($A578,StudentRegistry!$A:$D,4,FALSE)="Active","Yes","Inactive"),"No"))</f>
        <v/>
      </c>
    </row>
    <row r="579" ht="15.75" customHeight="1">
      <c r="A579" s="45"/>
      <c r="C579" s="77" t="str">
        <f>IF($A579="","",IFERROR(VLOOKUP($A579,StudentRegistry!$A:$D,3,FALSE),"Not found"))</f>
        <v/>
      </c>
      <c r="D579" s="77" t="str">
        <f>IF($A579="","",IFERROR(IF(VLOOKUP($A579,StudentRegistry!$A:$D,4,FALSE)="Active","Yes","Inactive"),"No"))</f>
        <v/>
      </c>
    </row>
    <row r="580" ht="15.75" customHeight="1">
      <c r="A580" s="45"/>
      <c r="C580" s="77" t="str">
        <f>IF($A580="","",IFERROR(VLOOKUP($A580,StudentRegistry!$A:$D,3,FALSE),"Not found"))</f>
        <v/>
      </c>
      <c r="D580" s="77" t="str">
        <f>IF($A580="","",IFERROR(IF(VLOOKUP($A580,StudentRegistry!$A:$D,4,FALSE)="Active","Yes","Inactive"),"No"))</f>
        <v/>
      </c>
    </row>
    <row r="581" ht="15.75" customHeight="1">
      <c r="A581" s="45"/>
      <c r="C581" s="77" t="str">
        <f>IF($A581="","",IFERROR(VLOOKUP($A581,StudentRegistry!$A:$D,3,FALSE),"Not found"))</f>
        <v/>
      </c>
      <c r="D581" s="77" t="str">
        <f>IF($A581="","",IFERROR(IF(VLOOKUP($A581,StudentRegistry!$A:$D,4,FALSE)="Active","Yes","Inactive"),"No"))</f>
        <v/>
      </c>
    </row>
    <row r="582" ht="15.75" customHeight="1">
      <c r="A582" s="45"/>
      <c r="C582" s="77" t="str">
        <f>IF($A582="","",IFERROR(VLOOKUP($A582,StudentRegistry!$A:$D,3,FALSE),"Not found"))</f>
        <v/>
      </c>
      <c r="D582" s="77" t="str">
        <f>IF($A582="","",IFERROR(IF(VLOOKUP($A582,StudentRegistry!$A:$D,4,FALSE)="Active","Yes","Inactive"),"No"))</f>
        <v/>
      </c>
    </row>
    <row r="583" ht="15.75" customHeight="1">
      <c r="A583" s="45"/>
      <c r="C583" s="77" t="str">
        <f>IF($A583="","",IFERROR(VLOOKUP($A583,StudentRegistry!$A:$D,3,FALSE),"Not found"))</f>
        <v/>
      </c>
      <c r="D583" s="77" t="str">
        <f>IF($A583="","",IFERROR(IF(VLOOKUP($A583,StudentRegistry!$A:$D,4,FALSE)="Active","Yes","Inactive"),"No"))</f>
        <v/>
      </c>
    </row>
    <row r="584" ht="15.75" customHeight="1">
      <c r="A584" s="45"/>
      <c r="C584" s="77" t="str">
        <f>IF($A584="","",IFERROR(VLOOKUP($A584,StudentRegistry!$A:$D,3,FALSE),"Not found"))</f>
        <v/>
      </c>
      <c r="D584" s="77" t="str">
        <f>IF($A584="","",IFERROR(IF(VLOOKUP($A584,StudentRegistry!$A:$D,4,FALSE)="Active","Yes","Inactive"),"No"))</f>
        <v/>
      </c>
    </row>
    <row r="585" ht="15.75" customHeight="1">
      <c r="A585" s="45"/>
      <c r="C585" s="77" t="str">
        <f>IF($A585="","",IFERROR(VLOOKUP($A585,StudentRegistry!$A:$D,3,FALSE),"Not found"))</f>
        <v/>
      </c>
      <c r="D585" s="77" t="str">
        <f>IF($A585="","",IFERROR(IF(VLOOKUP($A585,StudentRegistry!$A:$D,4,FALSE)="Active","Yes","Inactive"),"No"))</f>
        <v/>
      </c>
    </row>
    <row r="586" ht="15.75" customHeight="1">
      <c r="A586" s="45"/>
      <c r="C586" s="77" t="str">
        <f>IF($A586="","",IFERROR(VLOOKUP($A586,StudentRegistry!$A:$D,3,FALSE),"Not found"))</f>
        <v/>
      </c>
      <c r="D586" s="77" t="str">
        <f>IF($A586="","",IFERROR(IF(VLOOKUP($A586,StudentRegistry!$A:$D,4,FALSE)="Active","Yes","Inactive"),"No"))</f>
        <v/>
      </c>
    </row>
    <row r="587" ht="15.75" customHeight="1">
      <c r="A587" s="45"/>
      <c r="C587" s="77" t="str">
        <f>IF($A587="","",IFERROR(VLOOKUP($A587,StudentRegistry!$A:$D,3,FALSE),"Not found"))</f>
        <v/>
      </c>
      <c r="D587" s="77" t="str">
        <f>IF($A587="","",IFERROR(IF(VLOOKUP($A587,StudentRegistry!$A:$D,4,FALSE)="Active","Yes","Inactive"),"No"))</f>
        <v/>
      </c>
    </row>
    <row r="588" ht="15.75" customHeight="1">
      <c r="A588" s="45"/>
      <c r="C588" s="77" t="str">
        <f>IF($A588="","",IFERROR(VLOOKUP($A588,StudentRegistry!$A:$D,3,FALSE),"Not found"))</f>
        <v/>
      </c>
      <c r="D588" s="77" t="str">
        <f>IF($A588="","",IFERROR(IF(VLOOKUP($A588,StudentRegistry!$A:$D,4,FALSE)="Active","Yes","Inactive"),"No"))</f>
        <v/>
      </c>
    </row>
    <row r="589" ht="15.75" customHeight="1">
      <c r="A589" s="45"/>
      <c r="C589" s="77" t="str">
        <f>IF($A589="","",IFERROR(VLOOKUP($A589,StudentRegistry!$A:$D,3,FALSE),"Not found"))</f>
        <v/>
      </c>
      <c r="D589" s="77" t="str">
        <f>IF($A589="","",IFERROR(IF(VLOOKUP($A589,StudentRegistry!$A:$D,4,FALSE)="Active","Yes","Inactive"),"No"))</f>
        <v/>
      </c>
    </row>
    <row r="590" ht="15.75" customHeight="1">
      <c r="A590" s="45"/>
      <c r="C590" s="77" t="str">
        <f>IF($A590="","",IFERROR(VLOOKUP($A590,StudentRegistry!$A:$D,3,FALSE),"Not found"))</f>
        <v/>
      </c>
      <c r="D590" s="77" t="str">
        <f>IF($A590="","",IFERROR(IF(VLOOKUP($A590,StudentRegistry!$A:$D,4,FALSE)="Active","Yes","Inactive"),"No"))</f>
        <v/>
      </c>
    </row>
    <row r="591" ht="15.75" customHeight="1">
      <c r="A591" s="45"/>
      <c r="C591" s="77" t="str">
        <f>IF($A591="","",IFERROR(VLOOKUP($A591,StudentRegistry!$A:$D,3,FALSE),"Not found"))</f>
        <v/>
      </c>
      <c r="D591" s="77" t="str">
        <f>IF($A591="","",IFERROR(IF(VLOOKUP($A591,StudentRegistry!$A:$D,4,FALSE)="Active","Yes","Inactive"),"No"))</f>
        <v/>
      </c>
    </row>
    <row r="592" ht="15.75" customHeight="1">
      <c r="A592" s="45"/>
      <c r="C592" s="77" t="str">
        <f>IF($A592="","",IFERROR(VLOOKUP($A592,StudentRegistry!$A:$D,3,FALSE),"Not found"))</f>
        <v/>
      </c>
      <c r="D592" s="77" t="str">
        <f>IF($A592="","",IFERROR(IF(VLOOKUP($A592,StudentRegistry!$A:$D,4,FALSE)="Active","Yes","Inactive"),"No"))</f>
        <v/>
      </c>
    </row>
    <row r="593" ht="15.75" customHeight="1">
      <c r="A593" s="45"/>
      <c r="C593" s="77" t="str">
        <f>IF($A593="","",IFERROR(VLOOKUP($A593,StudentRegistry!$A:$D,3,FALSE),"Not found"))</f>
        <v/>
      </c>
      <c r="D593" s="77" t="str">
        <f>IF($A593="","",IFERROR(IF(VLOOKUP($A593,StudentRegistry!$A:$D,4,FALSE)="Active","Yes","Inactive"),"No"))</f>
        <v/>
      </c>
    </row>
    <row r="594" ht="15.75" customHeight="1">
      <c r="A594" s="45"/>
      <c r="C594" s="77" t="str">
        <f>IF($A594="","",IFERROR(VLOOKUP($A594,StudentRegistry!$A:$D,3,FALSE),"Not found"))</f>
        <v/>
      </c>
      <c r="D594" s="77" t="str">
        <f>IF($A594="","",IFERROR(IF(VLOOKUP($A594,StudentRegistry!$A:$D,4,FALSE)="Active","Yes","Inactive"),"No"))</f>
        <v/>
      </c>
    </row>
    <row r="595" ht="15.75" customHeight="1">
      <c r="A595" s="45"/>
      <c r="C595" s="77" t="str">
        <f>IF($A595="","",IFERROR(VLOOKUP($A595,StudentRegistry!$A:$D,3,FALSE),"Not found"))</f>
        <v/>
      </c>
      <c r="D595" s="77" t="str">
        <f>IF($A595="","",IFERROR(IF(VLOOKUP($A595,StudentRegistry!$A:$D,4,FALSE)="Active","Yes","Inactive"),"No"))</f>
        <v/>
      </c>
    </row>
    <row r="596" ht="15.75" customHeight="1">
      <c r="A596" s="45"/>
      <c r="C596" s="77" t="str">
        <f>IF($A596="","",IFERROR(VLOOKUP($A596,StudentRegistry!$A:$D,3,FALSE),"Not found"))</f>
        <v/>
      </c>
      <c r="D596" s="77" t="str">
        <f>IF($A596="","",IFERROR(IF(VLOOKUP($A596,StudentRegistry!$A:$D,4,FALSE)="Active","Yes","Inactive"),"No"))</f>
        <v/>
      </c>
    </row>
    <row r="597" ht="15.75" customHeight="1">
      <c r="A597" s="45"/>
      <c r="C597" s="77" t="str">
        <f>IF($A597="","",IFERROR(VLOOKUP($A597,StudentRegistry!$A:$D,3,FALSE),"Not found"))</f>
        <v/>
      </c>
      <c r="D597" s="77" t="str">
        <f>IF($A597="","",IFERROR(IF(VLOOKUP($A597,StudentRegistry!$A:$D,4,FALSE)="Active","Yes","Inactive"),"No"))</f>
        <v/>
      </c>
    </row>
    <row r="598" ht="15.75" customHeight="1">
      <c r="A598" s="45"/>
      <c r="C598" s="77" t="str">
        <f>IF($A598="","",IFERROR(VLOOKUP($A598,StudentRegistry!$A:$D,3,FALSE),"Not found"))</f>
        <v/>
      </c>
      <c r="D598" s="77" t="str">
        <f>IF($A598="","",IFERROR(IF(VLOOKUP($A598,StudentRegistry!$A:$D,4,FALSE)="Active","Yes","Inactive"),"No"))</f>
        <v/>
      </c>
    </row>
    <row r="599" ht="15.75" customHeight="1">
      <c r="A599" s="45"/>
      <c r="C599" s="77" t="str">
        <f>IF($A599="","",IFERROR(VLOOKUP($A599,StudentRegistry!$A:$D,3,FALSE),"Not found"))</f>
        <v/>
      </c>
      <c r="D599" s="77" t="str">
        <f>IF($A599="","",IFERROR(IF(VLOOKUP($A599,StudentRegistry!$A:$D,4,FALSE)="Active","Yes","Inactive"),"No"))</f>
        <v/>
      </c>
    </row>
    <row r="600" ht="15.75" customHeight="1">
      <c r="A600" s="45"/>
      <c r="C600" s="77" t="str">
        <f>IF($A600="","",IFERROR(VLOOKUP($A600,StudentRegistry!$A:$D,3,FALSE),"Not found"))</f>
        <v/>
      </c>
      <c r="D600" s="77" t="str">
        <f>IF($A600="","",IFERROR(IF(VLOOKUP($A600,StudentRegistry!$A:$D,4,FALSE)="Active","Yes","Inactive"),"No"))</f>
        <v/>
      </c>
    </row>
    <row r="601" ht="15.75" customHeight="1">
      <c r="A601" s="45"/>
      <c r="C601" s="77" t="str">
        <f>IF($A601="","",IFERROR(VLOOKUP($A601,StudentRegistry!$A:$D,3,FALSE),"Not found"))</f>
        <v/>
      </c>
      <c r="D601" s="77" t="str">
        <f>IF($A601="","",IFERROR(IF(VLOOKUP($A601,StudentRegistry!$A:$D,4,FALSE)="Active","Yes","Inactive"),"No"))</f>
        <v/>
      </c>
    </row>
    <row r="602" ht="15.75" customHeight="1">
      <c r="A602" s="45"/>
      <c r="C602" s="77" t="str">
        <f>IF($A602="","",IFERROR(VLOOKUP($A602,StudentRegistry!$A:$D,3,FALSE),"Not found"))</f>
        <v/>
      </c>
      <c r="D602" s="77" t="str">
        <f>IF($A602="","",IFERROR(IF(VLOOKUP($A602,StudentRegistry!$A:$D,4,FALSE)="Active","Yes","Inactive"),"No"))</f>
        <v/>
      </c>
    </row>
    <row r="603" ht="15.75" customHeight="1">
      <c r="A603" s="45"/>
      <c r="C603" s="77" t="str">
        <f>IF($A603="","",IFERROR(VLOOKUP($A603,StudentRegistry!$A:$D,3,FALSE),"Not found"))</f>
        <v/>
      </c>
      <c r="D603" s="77" t="str">
        <f>IF($A603="","",IFERROR(IF(VLOOKUP($A603,StudentRegistry!$A:$D,4,FALSE)="Active","Yes","Inactive"),"No"))</f>
        <v/>
      </c>
    </row>
    <row r="604" ht="15.75" customHeight="1">
      <c r="A604" s="45"/>
      <c r="C604" s="77" t="str">
        <f>IF($A604="","",IFERROR(VLOOKUP($A604,StudentRegistry!$A:$D,3,FALSE),"Not found"))</f>
        <v/>
      </c>
      <c r="D604" s="77" t="str">
        <f>IF($A604="","",IFERROR(IF(VLOOKUP($A604,StudentRegistry!$A:$D,4,FALSE)="Active","Yes","Inactive"),"No"))</f>
        <v/>
      </c>
    </row>
    <row r="605" ht="15.75" customHeight="1">
      <c r="A605" s="45"/>
      <c r="C605" s="77" t="str">
        <f>IF($A605="","",IFERROR(VLOOKUP($A605,StudentRegistry!$A:$D,3,FALSE),"Not found"))</f>
        <v/>
      </c>
      <c r="D605" s="77" t="str">
        <f>IF($A605="","",IFERROR(IF(VLOOKUP($A605,StudentRegistry!$A:$D,4,FALSE)="Active","Yes","Inactive"),"No"))</f>
        <v/>
      </c>
    </row>
    <row r="606" ht="15.75" customHeight="1">
      <c r="A606" s="45"/>
      <c r="C606" s="77" t="str">
        <f>IF($A606="","",IFERROR(VLOOKUP($A606,StudentRegistry!$A:$D,3,FALSE),"Not found"))</f>
        <v/>
      </c>
      <c r="D606" s="77" t="str">
        <f>IF($A606="","",IFERROR(IF(VLOOKUP($A606,StudentRegistry!$A:$D,4,FALSE)="Active","Yes","Inactive"),"No"))</f>
        <v/>
      </c>
    </row>
    <row r="607" ht="15.75" customHeight="1">
      <c r="A607" s="45"/>
      <c r="C607" s="77" t="str">
        <f>IF($A607="","",IFERROR(VLOOKUP($A607,StudentRegistry!$A:$D,3,FALSE),"Not found"))</f>
        <v/>
      </c>
      <c r="D607" s="77" t="str">
        <f>IF($A607="","",IFERROR(IF(VLOOKUP($A607,StudentRegistry!$A:$D,4,FALSE)="Active","Yes","Inactive"),"No"))</f>
        <v/>
      </c>
    </row>
    <row r="608" ht="15.75" customHeight="1">
      <c r="A608" s="45"/>
      <c r="C608" s="77" t="str">
        <f>IF($A608="","",IFERROR(VLOOKUP($A608,StudentRegistry!$A:$D,3,FALSE),"Not found"))</f>
        <v/>
      </c>
      <c r="D608" s="77" t="str">
        <f>IF($A608="","",IFERROR(IF(VLOOKUP($A608,StudentRegistry!$A:$D,4,FALSE)="Active","Yes","Inactive"),"No"))</f>
        <v/>
      </c>
    </row>
    <row r="609" ht="15.75" customHeight="1">
      <c r="A609" s="45"/>
      <c r="C609" s="77" t="str">
        <f>IF($A609="","",IFERROR(VLOOKUP($A609,StudentRegistry!$A:$D,3,FALSE),"Not found"))</f>
        <v/>
      </c>
      <c r="D609" s="77" t="str">
        <f>IF($A609="","",IFERROR(IF(VLOOKUP($A609,StudentRegistry!$A:$D,4,FALSE)="Active","Yes","Inactive"),"No"))</f>
        <v/>
      </c>
    </row>
    <row r="610" ht="15.75" customHeight="1">
      <c r="A610" s="45"/>
      <c r="C610" s="77" t="str">
        <f>IF($A610="","",IFERROR(VLOOKUP($A610,StudentRegistry!$A:$D,3,FALSE),"Not found"))</f>
        <v/>
      </c>
      <c r="D610" s="77" t="str">
        <f>IF($A610="","",IFERROR(IF(VLOOKUP($A610,StudentRegistry!$A:$D,4,FALSE)="Active","Yes","Inactive"),"No"))</f>
        <v/>
      </c>
    </row>
    <row r="611" ht="15.75" customHeight="1">
      <c r="A611" s="45"/>
      <c r="C611" s="77" t="str">
        <f>IF($A611="","",IFERROR(VLOOKUP($A611,StudentRegistry!$A:$D,3,FALSE),"Not found"))</f>
        <v/>
      </c>
      <c r="D611" s="77" t="str">
        <f>IF($A611="","",IFERROR(IF(VLOOKUP($A611,StudentRegistry!$A:$D,4,FALSE)="Active","Yes","Inactive"),"No"))</f>
        <v/>
      </c>
    </row>
    <row r="612" ht="15.75" customHeight="1">
      <c r="A612" s="45"/>
      <c r="C612" s="77" t="str">
        <f>IF($A612="","",IFERROR(VLOOKUP($A612,StudentRegistry!$A:$D,3,FALSE),"Not found"))</f>
        <v/>
      </c>
      <c r="D612" s="77" t="str">
        <f>IF($A612="","",IFERROR(IF(VLOOKUP($A612,StudentRegistry!$A:$D,4,FALSE)="Active","Yes","Inactive"),"No"))</f>
        <v/>
      </c>
    </row>
    <row r="613" ht="15.75" customHeight="1">
      <c r="A613" s="45"/>
      <c r="C613" s="77" t="str">
        <f>IF($A613="","",IFERROR(VLOOKUP($A613,StudentRegistry!$A:$D,3,FALSE),"Not found"))</f>
        <v/>
      </c>
      <c r="D613" s="77" t="str">
        <f>IF($A613="","",IFERROR(IF(VLOOKUP($A613,StudentRegistry!$A:$D,4,FALSE)="Active","Yes","Inactive"),"No"))</f>
        <v/>
      </c>
    </row>
    <row r="614" ht="15.75" customHeight="1">
      <c r="A614" s="45"/>
      <c r="C614" s="77" t="str">
        <f>IF($A614="","",IFERROR(VLOOKUP($A614,StudentRegistry!$A:$D,3,FALSE),"Not found"))</f>
        <v/>
      </c>
      <c r="D614" s="77" t="str">
        <f>IF($A614="","",IFERROR(IF(VLOOKUP($A614,StudentRegistry!$A:$D,4,FALSE)="Active","Yes","Inactive"),"No"))</f>
        <v/>
      </c>
    </row>
    <row r="615" ht="15.75" customHeight="1">
      <c r="A615" s="45"/>
      <c r="C615" s="77" t="str">
        <f>IF($A615="","",IFERROR(VLOOKUP($A615,StudentRegistry!$A:$D,3,FALSE),"Not found"))</f>
        <v/>
      </c>
      <c r="D615" s="77" t="str">
        <f>IF($A615="","",IFERROR(IF(VLOOKUP($A615,StudentRegistry!$A:$D,4,FALSE)="Active","Yes","Inactive"),"No"))</f>
        <v/>
      </c>
    </row>
    <row r="616" ht="15.75" customHeight="1">
      <c r="A616" s="45"/>
      <c r="C616" s="77" t="str">
        <f>IF($A616="","",IFERROR(VLOOKUP($A616,StudentRegistry!$A:$D,3,FALSE),"Not found"))</f>
        <v/>
      </c>
      <c r="D616" s="77" t="str">
        <f>IF($A616="","",IFERROR(IF(VLOOKUP($A616,StudentRegistry!$A:$D,4,FALSE)="Active","Yes","Inactive"),"No"))</f>
        <v/>
      </c>
    </row>
    <row r="617" ht="15.75" customHeight="1">
      <c r="A617" s="45"/>
      <c r="C617" s="77" t="str">
        <f>IF($A617="","",IFERROR(VLOOKUP($A617,StudentRegistry!$A:$D,3,FALSE),"Not found"))</f>
        <v/>
      </c>
      <c r="D617" s="77" t="str">
        <f>IF($A617="","",IFERROR(IF(VLOOKUP($A617,StudentRegistry!$A:$D,4,FALSE)="Active","Yes","Inactive"),"No"))</f>
        <v/>
      </c>
    </row>
    <row r="618" ht="15.75" customHeight="1">
      <c r="A618" s="45"/>
      <c r="C618" s="77" t="str">
        <f>IF($A618="","",IFERROR(VLOOKUP($A618,StudentRegistry!$A:$D,3,FALSE),"Not found"))</f>
        <v/>
      </c>
      <c r="D618" s="77" t="str">
        <f>IF($A618="","",IFERROR(IF(VLOOKUP($A618,StudentRegistry!$A:$D,4,FALSE)="Active","Yes","Inactive"),"No"))</f>
        <v/>
      </c>
    </row>
    <row r="619" ht="15.75" customHeight="1">
      <c r="A619" s="45"/>
      <c r="C619" s="77" t="str">
        <f>IF($A619="","",IFERROR(VLOOKUP($A619,StudentRegistry!$A:$D,3,FALSE),"Not found"))</f>
        <v/>
      </c>
      <c r="D619" s="77" t="str">
        <f>IF($A619="","",IFERROR(IF(VLOOKUP($A619,StudentRegistry!$A:$D,4,FALSE)="Active","Yes","Inactive"),"No"))</f>
        <v/>
      </c>
    </row>
    <row r="620" ht="15.75" customHeight="1">
      <c r="A620" s="45"/>
      <c r="C620" s="77" t="str">
        <f>IF($A620="","",IFERROR(VLOOKUP($A620,StudentRegistry!$A:$D,3,FALSE),"Not found"))</f>
        <v/>
      </c>
      <c r="D620" s="77" t="str">
        <f>IF($A620="","",IFERROR(IF(VLOOKUP($A620,StudentRegistry!$A:$D,4,FALSE)="Active","Yes","Inactive"),"No"))</f>
        <v/>
      </c>
    </row>
    <row r="621" ht="15.75" customHeight="1">
      <c r="A621" s="45"/>
      <c r="C621" s="77" t="str">
        <f>IF($A621="","",IFERROR(VLOOKUP($A621,StudentRegistry!$A:$D,3,FALSE),"Not found"))</f>
        <v/>
      </c>
      <c r="D621" s="77" t="str">
        <f>IF($A621="","",IFERROR(IF(VLOOKUP($A621,StudentRegistry!$A:$D,4,FALSE)="Active","Yes","Inactive"),"No"))</f>
        <v/>
      </c>
    </row>
    <row r="622" ht="15.75" customHeight="1">
      <c r="A622" s="45"/>
      <c r="C622" s="77" t="str">
        <f>IF($A622="","",IFERROR(VLOOKUP($A622,StudentRegistry!$A:$D,3,FALSE),"Not found"))</f>
        <v/>
      </c>
      <c r="D622" s="77" t="str">
        <f>IF($A622="","",IFERROR(IF(VLOOKUP($A622,StudentRegistry!$A:$D,4,FALSE)="Active","Yes","Inactive"),"No"))</f>
        <v/>
      </c>
    </row>
    <row r="623" ht="15.75" customHeight="1">
      <c r="A623" s="45"/>
      <c r="C623" s="77" t="str">
        <f>IF($A623="","",IFERROR(VLOOKUP($A623,StudentRegistry!$A:$D,3,FALSE),"Not found"))</f>
        <v/>
      </c>
      <c r="D623" s="77" t="str">
        <f>IF($A623="","",IFERROR(IF(VLOOKUP($A623,StudentRegistry!$A:$D,4,FALSE)="Active","Yes","Inactive"),"No"))</f>
        <v/>
      </c>
    </row>
    <row r="624" ht="15.75" customHeight="1">
      <c r="A624" s="45"/>
      <c r="C624" s="77" t="str">
        <f>IF($A624="","",IFERROR(VLOOKUP($A624,StudentRegistry!$A:$D,3,FALSE),"Not found"))</f>
        <v/>
      </c>
      <c r="D624" s="77" t="str">
        <f>IF($A624="","",IFERROR(IF(VLOOKUP($A624,StudentRegistry!$A:$D,4,FALSE)="Active","Yes","Inactive"),"No"))</f>
        <v/>
      </c>
    </row>
    <row r="625" ht="15.75" customHeight="1">
      <c r="A625" s="45"/>
      <c r="C625" s="77" t="str">
        <f>IF($A625="","",IFERROR(VLOOKUP($A625,StudentRegistry!$A:$D,3,FALSE),"Not found"))</f>
        <v/>
      </c>
      <c r="D625" s="77" t="str">
        <f>IF($A625="","",IFERROR(IF(VLOOKUP($A625,StudentRegistry!$A:$D,4,FALSE)="Active","Yes","Inactive"),"No"))</f>
        <v/>
      </c>
    </row>
    <row r="626" ht="15.75" customHeight="1">
      <c r="A626" s="45"/>
      <c r="C626" s="77" t="str">
        <f>IF($A626="","",IFERROR(VLOOKUP($A626,StudentRegistry!$A:$D,3,FALSE),"Not found"))</f>
        <v/>
      </c>
      <c r="D626" s="77" t="str">
        <f>IF($A626="","",IFERROR(IF(VLOOKUP($A626,StudentRegistry!$A:$D,4,FALSE)="Active","Yes","Inactive"),"No"))</f>
        <v/>
      </c>
    </row>
    <row r="627" ht="15.75" customHeight="1">
      <c r="A627" s="45"/>
      <c r="C627" s="77" t="str">
        <f>IF($A627="","",IFERROR(VLOOKUP($A627,StudentRegistry!$A:$D,3,FALSE),"Not found"))</f>
        <v/>
      </c>
      <c r="D627" s="77" t="str">
        <f>IF($A627="","",IFERROR(IF(VLOOKUP($A627,StudentRegistry!$A:$D,4,FALSE)="Active","Yes","Inactive"),"No"))</f>
        <v/>
      </c>
    </row>
    <row r="628" ht="15.75" customHeight="1">
      <c r="A628" s="45"/>
      <c r="C628" s="77" t="str">
        <f>IF($A628="","",IFERROR(VLOOKUP($A628,StudentRegistry!$A:$D,3,FALSE),"Not found"))</f>
        <v/>
      </c>
      <c r="D628" s="77" t="str">
        <f>IF($A628="","",IFERROR(IF(VLOOKUP($A628,StudentRegistry!$A:$D,4,FALSE)="Active","Yes","Inactive"),"No"))</f>
        <v/>
      </c>
    </row>
    <row r="629" ht="15.75" customHeight="1">
      <c r="A629" s="45"/>
      <c r="C629" s="77" t="str">
        <f>IF($A629="","",IFERROR(VLOOKUP($A629,StudentRegistry!$A:$D,3,FALSE),"Not found"))</f>
        <v/>
      </c>
      <c r="D629" s="77" t="str">
        <f>IF($A629="","",IFERROR(IF(VLOOKUP($A629,StudentRegistry!$A:$D,4,FALSE)="Active","Yes","Inactive"),"No"))</f>
        <v/>
      </c>
    </row>
    <row r="630" ht="15.75" customHeight="1">
      <c r="A630" s="45"/>
      <c r="C630" s="77" t="str">
        <f>IF($A630="","",IFERROR(VLOOKUP($A630,StudentRegistry!$A:$D,3,FALSE),"Not found"))</f>
        <v/>
      </c>
      <c r="D630" s="77" t="str">
        <f>IF($A630="","",IFERROR(IF(VLOOKUP($A630,StudentRegistry!$A:$D,4,FALSE)="Active","Yes","Inactive"),"No"))</f>
        <v/>
      </c>
    </row>
    <row r="631" ht="15.75" customHeight="1">
      <c r="A631" s="45"/>
      <c r="C631" s="77" t="str">
        <f>IF($A631="","",IFERROR(VLOOKUP($A631,StudentRegistry!$A:$D,3,FALSE),"Not found"))</f>
        <v/>
      </c>
      <c r="D631" s="77" t="str">
        <f>IF($A631="","",IFERROR(IF(VLOOKUP($A631,StudentRegistry!$A:$D,4,FALSE)="Active","Yes","Inactive"),"No"))</f>
        <v/>
      </c>
    </row>
    <row r="632" ht="15.75" customHeight="1">
      <c r="A632" s="45"/>
      <c r="C632" s="77" t="str">
        <f>IF($A632="","",IFERROR(VLOOKUP($A632,StudentRegistry!$A:$D,3,FALSE),"Not found"))</f>
        <v/>
      </c>
      <c r="D632" s="77" t="str">
        <f>IF($A632="","",IFERROR(IF(VLOOKUP($A632,StudentRegistry!$A:$D,4,FALSE)="Active","Yes","Inactive"),"No"))</f>
        <v/>
      </c>
    </row>
    <row r="633" ht="15.75" customHeight="1">
      <c r="A633" s="45"/>
      <c r="C633" s="77" t="str">
        <f>IF($A633="","",IFERROR(VLOOKUP($A633,StudentRegistry!$A:$D,3,FALSE),"Not found"))</f>
        <v/>
      </c>
      <c r="D633" s="77" t="str">
        <f>IF($A633="","",IFERROR(IF(VLOOKUP($A633,StudentRegistry!$A:$D,4,FALSE)="Active","Yes","Inactive"),"No"))</f>
        <v/>
      </c>
    </row>
    <row r="634" ht="15.75" customHeight="1">
      <c r="A634" s="45"/>
      <c r="C634" s="77" t="str">
        <f>IF($A634="","",IFERROR(VLOOKUP($A634,StudentRegistry!$A:$D,3,FALSE),"Not found"))</f>
        <v/>
      </c>
      <c r="D634" s="77" t="str">
        <f>IF($A634="","",IFERROR(IF(VLOOKUP($A634,StudentRegistry!$A:$D,4,FALSE)="Active","Yes","Inactive"),"No"))</f>
        <v/>
      </c>
    </row>
    <row r="635" ht="15.75" customHeight="1">
      <c r="A635" s="45"/>
      <c r="C635" s="77" t="str">
        <f>IF($A635="","",IFERROR(VLOOKUP($A635,StudentRegistry!$A:$D,3,FALSE),"Not found"))</f>
        <v/>
      </c>
      <c r="D635" s="77" t="str">
        <f>IF($A635="","",IFERROR(IF(VLOOKUP($A635,StudentRegistry!$A:$D,4,FALSE)="Active","Yes","Inactive"),"No"))</f>
        <v/>
      </c>
    </row>
    <row r="636" ht="15.75" customHeight="1">
      <c r="A636" s="45"/>
      <c r="C636" s="77" t="str">
        <f>IF($A636="","",IFERROR(VLOOKUP($A636,StudentRegistry!$A:$D,3,FALSE),"Not found"))</f>
        <v/>
      </c>
      <c r="D636" s="77" t="str">
        <f>IF($A636="","",IFERROR(IF(VLOOKUP($A636,StudentRegistry!$A:$D,4,FALSE)="Active","Yes","Inactive"),"No"))</f>
        <v/>
      </c>
    </row>
    <row r="637" ht="15.75" customHeight="1">
      <c r="A637" s="45"/>
      <c r="C637" s="77" t="str">
        <f>IF($A637="","",IFERROR(VLOOKUP($A637,StudentRegistry!$A:$D,3,FALSE),"Not found"))</f>
        <v/>
      </c>
      <c r="D637" s="77" t="str">
        <f>IF($A637="","",IFERROR(IF(VLOOKUP($A637,StudentRegistry!$A:$D,4,FALSE)="Active","Yes","Inactive"),"No"))</f>
        <v/>
      </c>
    </row>
    <row r="638" ht="15.75" customHeight="1">
      <c r="A638" s="45"/>
      <c r="C638" s="77" t="str">
        <f>IF($A638="","",IFERROR(VLOOKUP($A638,StudentRegistry!$A:$D,3,FALSE),"Not found"))</f>
        <v/>
      </c>
      <c r="D638" s="77" t="str">
        <f>IF($A638="","",IFERROR(IF(VLOOKUP($A638,StudentRegistry!$A:$D,4,FALSE)="Active","Yes","Inactive"),"No"))</f>
        <v/>
      </c>
    </row>
    <row r="639" ht="15.75" customHeight="1">
      <c r="A639" s="45"/>
      <c r="C639" s="77" t="str">
        <f>IF($A639="","",IFERROR(VLOOKUP($A639,StudentRegistry!$A:$D,3,FALSE),"Not found"))</f>
        <v/>
      </c>
      <c r="D639" s="77" t="str">
        <f>IF($A639="","",IFERROR(IF(VLOOKUP($A639,StudentRegistry!$A:$D,4,FALSE)="Active","Yes","Inactive"),"No"))</f>
        <v/>
      </c>
    </row>
    <row r="640" ht="15.75" customHeight="1">
      <c r="A640" s="45"/>
      <c r="C640" s="77" t="str">
        <f>IF($A640="","",IFERROR(VLOOKUP($A640,StudentRegistry!$A:$D,3,FALSE),"Not found"))</f>
        <v/>
      </c>
      <c r="D640" s="77" t="str">
        <f>IF($A640="","",IFERROR(IF(VLOOKUP($A640,StudentRegistry!$A:$D,4,FALSE)="Active","Yes","Inactive"),"No"))</f>
        <v/>
      </c>
    </row>
    <row r="641" ht="15.75" customHeight="1">
      <c r="A641" s="45"/>
      <c r="C641" s="77" t="str">
        <f>IF($A641="","",IFERROR(VLOOKUP($A641,StudentRegistry!$A:$D,3,FALSE),"Not found"))</f>
        <v/>
      </c>
      <c r="D641" s="77" t="str">
        <f>IF($A641="","",IFERROR(IF(VLOOKUP($A641,StudentRegistry!$A:$D,4,FALSE)="Active","Yes","Inactive"),"No"))</f>
        <v/>
      </c>
    </row>
    <row r="642" ht="15.75" customHeight="1">
      <c r="A642" s="45"/>
      <c r="C642" s="77" t="str">
        <f>IF($A642="","",IFERROR(VLOOKUP($A642,StudentRegistry!$A:$D,3,FALSE),"Not found"))</f>
        <v/>
      </c>
      <c r="D642" s="77" t="str">
        <f>IF($A642="","",IFERROR(IF(VLOOKUP($A642,StudentRegistry!$A:$D,4,FALSE)="Active","Yes","Inactive"),"No"))</f>
        <v/>
      </c>
    </row>
    <row r="643" ht="15.75" customHeight="1">
      <c r="A643" s="45"/>
      <c r="C643" s="77" t="str">
        <f>IF($A643="","",IFERROR(VLOOKUP($A643,StudentRegistry!$A:$D,3,FALSE),"Not found"))</f>
        <v/>
      </c>
      <c r="D643" s="77" t="str">
        <f>IF($A643="","",IFERROR(IF(VLOOKUP($A643,StudentRegistry!$A:$D,4,FALSE)="Active","Yes","Inactive"),"No"))</f>
        <v/>
      </c>
    </row>
    <row r="644" ht="15.75" customHeight="1">
      <c r="A644" s="45"/>
      <c r="C644" s="77" t="str">
        <f>IF($A644="","",IFERROR(VLOOKUP($A644,StudentRegistry!$A:$D,3,FALSE),"Not found"))</f>
        <v/>
      </c>
      <c r="D644" s="77" t="str">
        <f>IF($A644="","",IFERROR(IF(VLOOKUP($A644,StudentRegistry!$A:$D,4,FALSE)="Active","Yes","Inactive"),"No"))</f>
        <v/>
      </c>
    </row>
    <row r="645" ht="15.75" customHeight="1">
      <c r="A645" s="45"/>
      <c r="C645" s="77" t="str">
        <f>IF($A645="","",IFERROR(VLOOKUP($A645,StudentRegistry!$A:$D,3,FALSE),"Not found"))</f>
        <v/>
      </c>
      <c r="D645" s="77" t="str">
        <f>IF($A645="","",IFERROR(IF(VLOOKUP($A645,StudentRegistry!$A:$D,4,FALSE)="Active","Yes","Inactive"),"No"))</f>
        <v/>
      </c>
    </row>
    <row r="646" ht="15.75" customHeight="1">
      <c r="A646" s="45"/>
      <c r="C646" s="77" t="str">
        <f>IF($A646="","",IFERROR(VLOOKUP($A646,StudentRegistry!$A:$D,3,FALSE),"Not found"))</f>
        <v/>
      </c>
      <c r="D646" s="77" t="str">
        <f>IF($A646="","",IFERROR(IF(VLOOKUP($A646,StudentRegistry!$A:$D,4,FALSE)="Active","Yes","Inactive"),"No"))</f>
        <v/>
      </c>
    </row>
    <row r="647" ht="15.75" customHeight="1">
      <c r="A647" s="45"/>
      <c r="C647" s="77" t="str">
        <f>IF($A647="","",IFERROR(VLOOKUP($A647,StudentRegistry!$A:$D,3,FALSE),"Not found"))</f>
        <v/>
      </c>
      <c r="D647" s="77" t="str">
        <f>IF($A647="","",IFERROR(IF(VLOOKUP($A647,StudentRegistry!$A:$D,4,FALSE)="Active","Yes","Inactive"),"No"))</f>
        <v/>
      </c>
    </row>
    <row r="648" ht="15.75" customHeight="1">
      <c r="A648" s="45"/>
      <c r="C648" s="77" t="str">
        <f>IF($A648="","",IFERROR(VLOOKUP($A648,StudentRegistry!$A:$D,3,FALSE),"Not found"))</f>
        <v/>
      </c>
      <c r="D648" s="77" t="str">
        <f>IF($A648="","",IFERROR(IF(VLOOKUP($A648,StudentRegistry!$A:$D,4,FALSE)="Active","Yes","Inactive"),"No"))</f>
        <v/>
      </c>
    </row>
    <row r="649" ht="15.75" customHeight="1">
      <c r="A649" s="45"/>
      <c r="C649" s="77" t="str">
        <f>IF($A649="","",IFERROR(VLOOKUP($A649,StudentRegistry!$A:$D,3,FALSE),"Not found"))</f>
        <v/>
      </c>
      <c r="D649" s="77" t="str">
        <f>IF($A649="","",IFERROR(IF(VLOOKUP($A649,StudentRegistry!$A:$D,4,FALSE)="Active","Yes","Inactive"),"No"))</f>
        <v/>
      </c>
    </row>
    <row r="650" ht="15.75" customHeight="1">
      <c r="A650" s="45"/>
      <c r="C650" s="77" t="str">
        <f>IF($A650="","",IFERROR(VLOOKUP($A650,StudentRegistry!$A:$D,3,FALSE),"Not found"))</f>
        <v/>
      </c>
      <c r="D650" s="77" t="str">
        <f>IF($A650="","",IFERROR(IF(VLOOKUP($A650,StudentRegistry!$A:$D,4,FALSE)="Active","Yes","Inactive"),"No"))</f>
        <v/>
      </c>
    </row>
    <row r="651" ht="15.75" customHeight="1">
      <c r="A651" s="45"/>
      <c r="C651" s="77" t="str">
        <f>IF($A651="","",IFERROR(VLOOKUP($A651,StudentRegistry!$A:$D,3,FALSE),"Not found"))</f>
        <v/>
      </c>
      <c r="D651" s="77" t="str">
        <f>IF($A651="","",IFERROR(IF(VLOOKUP($A651,StudentRegistry!$A:$D,4,FALSE)="Active","Yes","Inactive"),"No"))</f>
        <v/>
      </c>
    </row>
    <row r="652" ht="15.75" customHeight="1">
      <c r="A652" s="45"/>
      <c r="C652" s="77" t="str">
        <f>IF($A652="","",IFERROR(VLOOKUP($A652,StudentRegistry!$A:$D,3,FALSE),"Not found"))</f>
        <v/>
      </c>
      <c r="D652" s="77" t="str">
        <f>IF($A652="","",IFERROR(IF(VLOOKUP($A652,StudentRegistry!$A:$D,4,FALSE)="Active","Yes","Inactive"),"No"))</f>
        <v/>
      </c>
    </row>
    <row r="653" ht="15.75" customHeight="1">
      <c r="A653" s="45"/>
      <c r="C653" s="77" t="str">
        <f>IF($A653="","",IFERROR(VLOOKUP($A653,StudentRegistry!$A:$D,3,FALSE),"Not found"))</f>
        <v/>
      </c>
      <c r="D653" s="77" t="str">
        <f>IF($A653="","",IFERROR(IF(VLOOKUP($A653,StudentRegistry!$A:$D,4,FALSE)="Active","Yes","Inactive"),"No"))</f>
        <v/>
      </c>
    </row>
    <row r="654" ht="15.75" customHeight="1">
      <c r="A654" s="45"/>
      <c r="C654" s="77" t="str">
        <f>IF($A654="","",IFERROR(VLOOKUP($A654,StudentRegistry!$A:$D,3,FALSE),"Not found"))</f>
        <v/>
      </c>
      <c r="D654" s="77" t="str">
        <f>IF($A654="","",IFERROR(IF(VLOOKUP($A654,StudentRegistry!$A:$D,4,FALSE)="Active","Yes","Inactive"),"No"))</f>
        <v/>
      </c>
    </row>
    <row r="655" ht="15.75" customHeight="1">
      <c r="A655" s="45"/>
      <c r="C655" s="77" t="str">
        <f>IF($A655="","",IFERROR(VLOOKUP($A655,StudentRegistry!$A:$D,3,FALSE),"Not found"))</f>
        <v/>
      </c>
      <c r="D655" s="77" t="str">
        <f>IF($A655="","",IFERROR(IF(VLOOKUP($A655,StudentRegistry!$A:$D,4,FALSE)="Active","Yes","Inactive"),"No"))</f>
        <v/>
      </c>
    </row>
    <row r="656" ht="15.75" customHeight="1">
      <c r="A656" s="45"/>
      <c r="C656" s="77" t="str">
        <f>IF($A656="","",IFERROR(VLOOKUP($A656,StudentRegistry!$A:$D,3,FALSE),"Not found"))</f>
        <v/>
      </c>
      <c r="D656" s="77" t="str">
        <f>IF($A656="","",IFERROR(IF(VLOOKUP($A656,StudentRegistry!$A:$D,4,FALSE)="Active","Yes","Inactive"),"No"))</f>
        <v/>
      </c>
    </row>
    <row r="657" ht="15.75" customHeight="1">
      <c r="A657" s="45"/>
      <c r="C657" s="77" t="str">
        <f>IF($A657="","",IFERROR(VLOOKUP($A657,StudentRegistry!$A:$D,3,FALSE),"Not found"))</f>
        <v/>
      </c>
      <c r="D657" s="77" t="str">
        <f>IF($A657="","",IFERROR(IF(VLOOKUP($A657,StudentRegistry!$A:$D,4,FALSE)="Active","Yes","Inactive"),"No"))</f>
        <v/>
      </c>
    </row>
    <row r="658" ht="15.75" customHeight="1">
      <c r="A658" s="45"/>
      <c r="C658" s="77" t="str">
        <f>IF($A658="","",IFERROR(VLOOKUP($A658,StudentRegistry!$A:$D,3,FALSE),"Not found"))</f>
        <v/>
      </c>
      <c r="D658" s="77" t="str">
        <f>IF($A658="","",IFERROR(IF(VLOOKUP($A658,StudentRegistry!$A:$D,4,FALSE)="Active","Yes","Inactive"),"No"))</f>
        <v/>
      </c>
    </row>
    <row r="659" ht="15.75" customHeight="1">
      <c r="A659" s="45"/>
      <c r="C659" s="77" t="str">
        <f>IF($A659="","",IFERROR(VLOOKUP($A659,StudentRegistry!$A:$D,3,FALSE),"Not found"))</f>
        <v/>
      </c>
      <c r="D659" s="77" t="str">
        <f>IF($A659="","",IFERROR(IF(VLOOKUP($A659,StudentRegistry!$A:$D,4,FALSE)="Active","Yes","Inactive"),"No"))</f>
        <v/>
      </c>
    </row>
    <row r="660" ht="15.75" customHeight="1">
      <c r="A660" s="45"/>
      <c r="C660" s="77" t="str">
        <f>IF($A660="","",IFERROR(VLOOKUP($A660,StudentRegistry!$A:$D,3,FALSE),"Not found"))</f>
        <v/>
      </c>
      <c r="D660" s="77" t="str">
        <f>IF($A660="","",IFERROR(IF(VLOOKUP($A660,StudentRegistry!$A:$D,4,FALSE)="Active","Yes","Inactive"),"No"))</f>
        <v/>
      </c>
    </row>
    <row r="661" ht="15.75" customHeight="1">
      <c r="A661" s="45"/>
      <c r="C661" s="77" t="str">
        <f>IF($A661="","",IFERROR(VLOOKUP($A661,StudentRegistry!$A:$D,3,FALSE),"Not found"))</f>
        <v/>
      </c>
      <c r="D661" s="77" t="str">
        <f>IF($A661="","",IFERROR(IF(VLOOKUP($A661,StudentRegistry!$A:$D,4,FALSE)="Active","Yes","Inactive"),"No"))</f>
        <v/>
      </c>
    </row>
    <row r="662" ht="15.75" customHeight="1">
      <c r="A662" s="45"/>
      <c r="C662" s="77" t="str">
        <f>IF($A662="","",IFERROR(VLOOKUP($A662,StudentRegistry!$A:$D,3,FALSE),"Not found"))</f>
        <v/>
      </c>
      <c r="D662" s="77" t="str">
        <f>IF($A662="","",IFERROR(IF(VLOOKUP($A662,StudentRegistry!$A:$D,4,FALSE)="Active","Yes","Inactive"),"No"))</f>
        <v/>
      </c>
    </row>
    <row r="663" ht="15.75" customHeight="1">
      <c r="A663" s="45"/>
      <c r="C663" s="77" t="str">
        <f>IF($A663="","",IFERROR(VLOOKUP($A663,StudentRegistry!$A:$D,3,FALSE),"Not found"))</f>
        <v/>
      </c>
      <c r="D663" s="77" t="str">
        <f>IF($A663="","",IFERROR(IF(VLOOKUP($A663,StudentRegistry!$A:$D,4,FALSE)="Active","Yes","Inactive"),"No"))</f>
        <v/>
      </c>
    </row>
    <row r="664" ht="15.75" customHeight="1">
      <c r="A664" s="45"/>
      <c r="C664" s="77" t="str">
        <f>IF($A664="","",IFERROR(VLOOKUP($A664,StudentRegistry!$A:$D,3,FALSE),"Not found"))</f>
        <v/>
      </c>
      <c r="D664" s="77" t="str">
        <f>IF($A664="","",IFERROR(IF(VLOOKUP($A664,StudentRegistry!$A:$D,4,FALSE)="Active","Yes","Inactive"),"No"))</f>
        <v/>
      </c>
    </row>
    <row r="665" ht="15.75" customHeight="1">
      <c r="A665" s="45"/>
      <c r="C665" s="77" t="str">
        <f>IF($A665="","",IFERROR(VLOOKUP($A665,StudentRegistry!$A:$D,3,FALSE),"Not found"))</f>
        <v/>
      </c>
      <c r="D665" s="77" t="str">
        <f>IF($A665="","",IFERROR(IF(VLOOKUP($A665,StudentRegistry!$A:$D,4,FALSE)="Active","Yes","Inactive"),"No"))</f>
        <v/>
      </c>
    </row>
    <row r="666" ht="15.75" customHeight="1">
      <c r="A666" s="45"/>
      <c r="C666" s="77" t="str">
        <f>IF($A666="","",IFERROR(VLOOKUP($A666,StudentRegistry!$A:$D,3,FALSE),"Not found"))</f>
        <v/>
      </c>
      <c r="D666" s="77" t="str">
        <f>IF($A666="","",IFERROR(IF(VLOOKUP($A666,StudentRegistry!$A:$D,4,FALSE)="Active","Yes","Inactive"),"No"))</f>
        <v/>
      </c>
    </row>
    <row r="667" ht="15.75" customHeight="1">
      <c r="A667" s="45"/>
      <c r="C667" s="77" t="str">
        <f>IF($A667="","",IFERROR(VLOOKUP($A667,StudentRegistry!$A:$D,3,FALSE),"Not found"))</f>
        <v/>
      </c>
      <c r="D667" s="77" t="str">
        <f>IF($A667="","",IFERROR(IF(VLOOKUP($A667,StudentRegistry!$A:$D,4,FALSE)="Active","Yes","Inactive"),"No"))</f>
        <v/>
      </c>
    </row>
    <row r="668" ht="15.75" customHeight="1">
      <c r="A668" s="45"/>
      <c r="C668" s="77" t="str">
        <f>IF($A668="","",IFERROR(VLOOKUP($A668,StudentRegistry!$A:$D,3,FALSE),"Not found"))</f>
        <v/>
      </c>
      <c r="D668" s="77" t="str">
        <f>IF($A668="","",IFERROR(IF(VLOOKUP($A668,StudentRegistry!$A:$D,4,FALSE)="Active","Yes","Inactive"),"No"))</f>
        <v/>
      </c>
    </row>
    <row r="669" ht="15.75" customHeight="1">
      <c r="A669" s="45"/>
      <c r="C669" s="77" t="str">
        <f>IF($A669="","",IFERROR(VLOOKUP($A669,StudentRegistry!$A:$D,3,FALSE),"Not found"))</f>
        <v/>
      </c>
      <c r="D669" s="77" t="str">
        <f>IF($A669="","",IFERROR(IF(VLOOKUP($A669,StudentRegistry!$A:$D,4,FALSE)="Active","Yes","Inactive"),"No"))</f>
        <v/>
      </c>
    </row>
    <row r="670" ht="15.75" customHeight="1">
      <c r="A670" s="45"/>
      <c r="C670" s="77" t="str">
        <f>IF($A670="","",IFERROR(VLOOKUP($A670,StudentRegistry!$A:$D,3,FALSE),"Not found"))</f>
        <v/>
      </c>
      <c r="D670" s="77" t="str">
        <f>IF($A670="","",IFERROR(IF(VLOOKUP($A670,StudentRegistry!$A:$D,4,FALSE)="Active","Yes","Inactive"),"No"))</f>
        <v/>
      </c>
    </row>
    <row r="671" ht="15.75" customHeight="1">
      <c r="A671" s="45"/>
      <c r="C671" s="77" t="str">
        <f>IF($A671="","",IFERROR(VLOOKUP($A671,StudentRegistry!$A:$D,3,FALSE),"Not found"))</f>
        <v/>
      </c>
      <c r="D671" s="77" t="str">
        <f>IF($A671="","",IFERROR(IF(VLOOKUP($A671,StudentRegistry!$A:$D,4,FALSE)="Active","Yes","Inactive"),"No"))</f>
        <v/>
      </c>
    </row>
    <row r="672" ht="15.75" customHeight="1">
      <c r="A672" s="45"/>
      <c r="C672" s="77" t="str">
        <f>IF($A672="","",IFERROR(VLOOKUP($A672,StudentRegistry!$A:$D,3,FALSE),"Not found"))</f>
        <v/>
      </c>
      <c r="D672" s="77" t="str">
        <f>IF($A672="","",IFERROR(IF(VLOOKUP($A672,StudentRegistry!$A:$D,4,FALSE)="Active","Yes","Inactive"),"No"))</f>
        <v/>
      </c>
    </row>
    <row r="673" ht="15.75" customHeight="1">
      <c r="A673" s="45"/>
      <c r="C673" s="77" t="str">
        <f>IF($A673="","",IFERROR(VLOOKUP($A673,StudentRegistry!$A:$D,3,FALSE),"Not found"))</f>
        <v/>
      </c>
      <c r="D673" s="77" t="str">
        <f>IF($A673="","",IFERROR(IF(VLOOKUP($A673,StudentRegistry!$A:$D,4,FALSE)="Active","Yes","Inactive"),"No"))</f>
        <v/>
      </c>
    </row>
    <row r="674" ht="15.75" customHeight="1">
      <c r="A674" s="45"/>
      <c r="C674" s="77" t="str">
        <f>IF($A674="","",IFERROR(VLOOKUP($A674,StudentRegistry!$A:$D,3,FALSE),"Not found"))</f>
        <v/>
      </c>
      <c r="D674" s="77" t="str">
        <f>IF($A674="","",IFERROR(IF(VLOOKUP($A674,StudentRegistry!$A:$D,4,FALSE)="Active","Yes","Inactive"),"No"))</f>
        <v/>
      </c>
    </row>
    <row r="675" ht="15.75" customHeight="1">
      <c r="A675" s="45"/>
      <c r="C675" s="77" t="str">
        <f>IF($A675="","",IFERROR(VLOOKUP($A675,StudentRegistry!$A:$D,3,FALSE),"Not found"))</f>
        <v/>
      </c>
      <c r="D675" s="77" t="str">
        <f>IF($A675="","",IFERROR(IF(VLOOKUP($A675,StudentRegistry!$A:$D,4,FALSE)="Active","Yes","Inactive"),"No"))</f>
        <v/>
      </c>
    </row>
    <row r="676" ht="15.75" customHeight="1">
      <c r="A676" s="45"/>
      <c r="C676" s="77" t="str">
        <f>IF($A676="","",IFERROR(VLOOKUP($A676,StudentRegistry!$A:$D,3,FALSE),"Not found"))</f>
        <v/>
      </c>
      <c r="D676" s="77" t="str">
        <f>IF($A676="","",IFERROR(IF(VLOOKUP($A676,StudentRegistry!$A:$D,4,FALSE)="Active","Yes","Inactive"),"No"))</f>
        <v/>
      </c>
    </row>
    <row r="677" ht="15.75" customHeight="1">
      <c r="A677" s="45"/>
      <c r="C677" s="77" t="str">
        <f>IF($A677="","",IFERROR(VLOOKUP($A677,StudentRegistry!$A:$D,3,FALSE),"Not found"))</f>
        <v/>
      </c>
      <c r="D677" s="77" t="str">
        <f>IF($A677="","",IFERROR(IF(VLOOKUP($A677,StudentRegistry!$A:$D,4,FALSE)="Active","Yes","Inactive"),"No"))</f>
        <v/>
      </c>
    </row>
    <row r="678" ht="15.75" customHeight="1">
      <c r="A678" s="45"/>
      <c r="C678" s="77" t="str">
        <f>IF($A678="","",IFERROR(VLOOKUP($A678,StudentRegistry!$A:$D,3,FALSE),"Not found"))</f>
        <v/>
      </c>
      <c r="D678" s="77" t="str">
        <f>IF($A678="","",IFERROR(IF(VLOOKUP($A678,StudentRegistry!$A:$D,4,FALSE)="Active","Yes","Inactive"),"No"))</f>
        <v/>
      </c>
    </row>
    <row r="679" ht="15.75" customHeight="1">
      <c r="A679" s="45"/>
      <c r="C679" s="77" t="str">
        <f>IF($A679="","",IFERROR(VLOOKUP($A679,StudentRegistry!$A:$D,3,FALSE),"Not found"))</f>
        <v/>
      </c>
      <c r="D679" s="77" t="str">
        <f>IF($A679="","",IFERROR(IF(VLOOKUP($A679,StudentRegistry!$A:$D,4,FALSE)="Active","Yes","Inactive"),"No"))</f>
        <v/>
      </c>
    </row>
    <row r="680" ht="15.75" customHeight="1">
      <c r="A680" s="45"/>
      <c r="C680" s="77" t="str">
        <f>IF($A680="","",IFERROR(VLOOKUP($A680,StudentRegistry!$A:$D,3,FALSE),"Not found"))</f>
        <v/>
      </c>
      <c r="D680" s="77" t="str">
        <f>IF($A680="","",IFERROR(IF(VLOOKUP($A680,StudentRegistry!$A:$D,4,FALSE)="Active","Yes","Inactive"),"No"))</f>
        <v/>
      </c>
    </row>
    <row r="681" ht="15.75" customHeight="1">
      <c r="A681" s="45"/>
      <c r="C681" s="77" t="str">
        <f>IF($A681="","",IFERROR(VLOOKUP($A681,StudentRegistry!$A:$D,3,FALSE),"Not found"))</f>
        <v/>
      </c>
      <c r="D681" s="77" t="str">
        <f>IF($A681="","",IFERROR(IF(VLOOKUP($A681,StudentRegistry!$A:$D,4,FALSE)="Active","Yes","Inactive"),"No"))</f>
        <v/>
      </c>
    </row>
    <row r="682" ht="15.75" customHeight="1">
      <c r="A682" s="45"/>
      <c r="C682" s="77" t="str">
        <f>IF($A682="","",IFERROR(VLOOKUP($A682,StudentRegistry!$A:$D,3,FALSE),"Not found"))</f>
        <v/>
      </c>
      <c r="D682" s="77" t="str">
        <f>IF($A682="","",IFERROR(IF(VLOOKUP($A682,StudentRegistry!$A:$D,4,FALSE)="Active","Yes","Inactive"),"No"))</f>
        <v/>
      </c>
    </row>
    <row r="683" ht="15.75" customHeight="1">
      <c r="A683" s="45"/>
      <c r="C683" s="77" t="str">
        <f>IF($A683="","",IFERROR(VLOOKUP($A683,StudentRegistry!$A:$D,3,FALSE),"Not found"))</f>
        <v/>
      </c>
      <c r="D683" s="77" t="str">
        <f>IF($A683="","",IFERROR(IF(VLOOKUP($A683,StudentRegistry!$A:$D,4,FALSE)="Active","Yes","Inactive"),"No"))</f>
        <v/>
      </c>
    </row>
    <row r="684" ht="15.75" customHeight="1">
      <c r="A684" s="45"/>
      <c r="C684" s="77" t="str">
        <f>IF($A684="","",IFERROR(VLOOKUP($A684,StudentRegistry!$A:$D,3,FALSE),"Not found"))</f>
        <v/>
      </c>
      <c r="D684" s="77" t="str">
        <f>IF($A684="","",IFERROR(IF(VLOOKUP($A684,StudentRegistry!$A:$D,4,FALSE)="Active","Yes","Inactive"),"No"))</f>
        <v/>
      </c>
    </row>
    <row r="685" ht="15.75" customHeight="1">
      <c r="A685" s="45"/>
      <c r="C685" s="77" t="str">
        <f>IF($A685="","",IFERROR(VLOOKUP($A685,StudentRegistry!$A:$D,3,FALSE),"Not found"))</f>
        <v/>
      </c>
      <c r="D685" s="77" t="str">
        <f>IF($A685="","",IFERROR(IF(VLOOKUP($A685,StudentRegistry!$A:$D,4,FALSE)="Active","Yes","Inactive"),"No"))</f>
        <v/>
      </c>
    </row>
    <row r="686" ht="15.75" customHeight="1">
      <c r="A686" s="45"/>
      <c r="C686" s="77" t="str">
        <f>IF($A686="","",IFERROR(VLOOKUP($A686,StudentRegistry!$A:$D,3,FALSE),"Not found"))</f>
        <v/>
      </c>
      <c r="D686" s="77" t="str">
        <f>IF($A686="","",IFERROR(IF(VLOOKUP($A686,StudentRegistry!$A:$D,4,FALSE)="Active","Yes","Inactive"),"No"))</f>
        <v/>
      </c>
    </row>
    <row r="687" ht="15.75" customHeight="1">
      <c r="A687" s="45"/>
      <c r="C687" s="77" t="str">
        <f>IF($A687="","",IFERROR(VLOOKUP($A687,StudentRegistry!$A:$D,3,FALSE),"Not found"))</f>
        <v/>
      </c>
      <c r="D687" s="77" t="str">
        <f>IF($A687="","",IFERROR(IF(VLOOKUP($A687,StudentRegistry!$A:$D,4,FALSE)="Active","Yes","Inactive"),"No"))</f>
        <v/>
      </c>
    </row>
    <row r="688" ht="15.75" customHeight="1">
      <c r="A688" s="45"/>
      <c r="C688" s="77" t="str">
        <f>IF($A688="","",IFERROR(VLOOKUP($A688,StudentRegistry!$A:$D,3,FALSE),"Not found"))</f>
        <v/>
      </c>
      <c r="D688" s="77" t="str">
        <f>IF($A688="","",IFERROR(IF(VLOOKUP($A688,StudentRegistry!$A:$D,4,FALSE)="Active","Yes","Inactive"),"No"))</f>
        <v/>
      </c>
    </row>
    <row r="689" ht="15.75" customHeight="1">
      <c r="A689" s="45"/>
      <c r="C689" s="77" t="str">
        <f>IF($A689="","",IFERROR(VLOOKUP($A689,StudentRegistry!$A:$D,3,FALSE),"Not found"))</f>
        <v/>
      </c>
      <c r="D689" s="77" t="str">
        <f>IF($A689="","",IFERROR(IF(VLOOKUP($A689,StudentRegistry!$A:$D,4,FALSE)="Active","Yes","Inactive"),"No"))</f>
        <v/>
      </c>
    </row>
    <row r="690" ht="15.75" customHeight="1">
      <c r="A690" s="45"/>
      <c r="C690" s="77" t="str">
        <f>IF($A690="","",IFERROR(VLOOKUP($A690,StudentRegistry!$A:$D,3,FALSE),"Not found"))</f>
        <v/>
      </c>
      <c r="D690" s="77" t="str">
        <f>IF($A690="","",IFERROR(IF(VLOOKUP($A690,StudentRegistry!$A:$D,4,FALSE)="Active","Yes","Inactive"),"No"))</f>
        <v/>
      </c>
    </row>
    <row r="691" ht="15.75" customHeight="1">
      <c r="A691" s="45"/>
      <c r="C691" s="77" t="str">
        <f>IF($A691="","",IFERROR(VLOOKUP($A691,StudentRegistry!$A:$D,3,FALSE),"Not found"))</f>
        <v/>
      </c>
      <c r="D691" s="77" t="str">
        <f>IF($A691="","",IFERROR(IF(VLOOKUP($A691,StudentRegistry!$A:$D,4,FALSE)="Active","Yes","Inactive"),"No"))</f>
        <v/>
      </c>
    </row>
    <row r="692" ht="15.75" customHeight="1">
      <c r="A692" s="45"/>
      <c r="C692" s="77" t="str">
        <f>IF($A692="","",IFERROR(VLOOKUP($A692,StudentRegistry!$A:$D,3,FALSE),"Not found"))</f>
        <v/>
      </c>
      <c r="D692" s="77" t="str">
        <f>IF($A692="","",IFERROR(IF(VLOOKUP($A692,StudentRegistry!$A:$D,4,FALSE)="Active","Yes","Inactive"),"No"))</f>
        <v/>
      </c>
    </row>
    <row r="693" ht="15.75" customHeight="1">
      <c r="A693" s="45"/>
      <c r="C693" s="77" t="str">
        <f>IF($A693="","",IFERROR(VLOOKUP($A693,StudentRegistry!$A:$D,3,FALSE),"Not found"))</f>
        <v/>
      </c>
      <c r="D693" s="77" t="str">
        <f>IF($A693="","",IFERROR(IF(VLOOKUP($A693,StudentRegistry!$A:$D,4,FALSE)="Active","Yes","Inactive"),"No"))</f>
        <v/>
      </c>
    </row>
    <row r="694" ht="15.75" customHeight="1">
      <c r="A694" s="45"/>
      <c r="C694" s="77" t="str">
        <f>IF($A694="","",IFERROR(VLOOKUP($A694,StudentRegistry!$A:$D,3,FALSE),"Not found"))</f>
        <v/>
      </c>
      <c r="D694" s="77" t="str">
        <f>IF($A694="","",IFERROR(IF(VLOOKUP($A694,StudentRegistry!$A:$D,4,FALSE)="Active","Yes","Inactive"),"No"))</f>
        <v/>
      </c>
    </row>
    <row r="695" ht="15.75" customHeight="1">
      <c r="A695" s="45"/>
      <c r="C695" s="77" t="str">
        <f>IF($A695="","",IFERROR(VLOOKUP($A695,StudentRegistry!$A:$D,3,FALSE),"Not found"))</f>
        <v/>
      </c>
      <c r="D695" s="77" t="str">
        <f>IF($A695="","",IFERROR(IF(VLOOKUP($A695,StudentRegistry!$A:$D,4,FALSE)="Active","Yes","Inactive"),"No"))</f>
        <v/>
      </c>
    </row>
    <row r="696" ht="15.75" customHeight="1">
      <c r="A696" s="45"/>
      <c r="C696" s="77" t="str">
        <f>IF($A696="","",IFERROR(VLOOKUP($A696,StudentRegistry!$A:$D,3,FALSE),"Not found"))</f>
        <v/>
      </c>
      <c r="D696" s="77" t="str">
        <f>IF($A696="","",IFERROR(IF(VLOOKUP($A696,StudentRegistry!$A:$D,4,FALSE)="Active","Yes","Inactive"),"No"))</f>
        <v/>
      </c>
    </row>
    <row r="697" ht="15.75" customHeight="1">
      <c r="A697" s="45"/>
      <c r="C697" s="77" t="str">
        <f>IF($A697="","",IFERROR(VLOOKUP($A697,StudentRegistry!$A:$D,3,FALSE),"Not found"))</f>
        <v/>
      </c>
      <c r="D697" s="77" t="str">
        <f>IF($A697="","",IFERROR(IF(VLOOKUP($A697,StudentRegistry!$A:$D,4,FALSE)="Active","Yes","Inactive"),"No"))</f>
        <v/>
      </c>
    </row>
    <row r="698" ht="15.75" customHeight="1">
      <c r="A698" s="45"/>
      <c r="C698" s="77" t="str">
        <f>IF($A698="","",IFERROR(VLOOKUP($A698,StudentRegistry!$A:$D,3,FALSE),"Not found"))</f>
        <v/>
      </c>
      <c r="D698" s="77" t="str">
        <f>IF($A698="","",IFERROR(IF(VLOOKUP($A698,StudentRegistry!$A:$D,4,FALSE)="Active","Yes","Inactive"),"No"))</f>
        <v/>
      </c>
    </row>
    <row r="699" ht="15.75" customHeight="1">
      <c r="A699" s="45"/>
      <c r="C699" s="77" t="str">
        <f>IF($A699="","",IFERROR(VLOOKUP($A699,StudentRegistry!$A:$D,3,FALSE),"Not found"))</f>
        <v/>
      </c>
      <c r="D699" s="77" t="str">
        <f>IF($A699="","",IFERROR(IF(VLOOKUP($A699,StudentRegistry!$A:$D,4,FALSE)="Active","Yes","Inactive"),"No"))</f>
        <v/>
      </c>
    </row>
    <row r="700" ht="15.75" customHeight="1">
      <c r="A700" s="45"/>
      <c r="C700" s="77" t="str">
        <f>IF($A700="","",IFERROR(VLOOKUP($A700,StudentRegistry!$A:$D,3,FALSE),"Not found"))</f>
        <v/>
      </c>
      <c r="D700" s="77" t="str">
        <f>IF($A700="","",IFERROR(IF(VLOOKUP($A700,StudentRegistry!$A:$D,4,FALSE)="Active","Yes","Inactive"),"No"))</f>
        <v/>
      </c>
    </row>
    <row r="701" ht="15.75" customHeight="1">
      <c r="A701" s="45"/>
      <c r="C701" s="77" t="str">
        <f>IF($A701="","",IFERROR(VLOOKUP($A701,StudentRegistry!$A:$D,3,FALSE),"Not found"))</f>
        <v/>
      </c>
      <c r="D701" s="77" t="str">
        <f>IF($A701="","",IFERROR(IF(VLOOKUP($A701,StudentRegistry!$A:$D,4,FALSE)="Active","Yes","Inactive"),"No"))</f>
        <v/>
      </c>
    </row>
    <row r="702" ht="15.75" customHeight="1">
      <c r="A702" s="45"/>
      <c r="C702" s="77" t="str">
        <f>IF($A702="","",IFERROR(VLOOKUP($A702,StudentRegistry!$A:$D,3,FALSE),"Not found"))</f>
        <v/>
      </c>
      <c r="D702" s="77" t="str">
        <f>IF($A702="","",IFERROR(IF(VLOOKUP($A702,StudentRegistry!$A:$D,4,FALSE)="Active","Yes","Inactive"),"No"))</f>
        <v/>
      </c>
    </row>
    <row r="703" ht="15.75" customHeight="1">
      <c r="A703" s="45"/>
      <c r="C703" s="77" t="str">
        <f>IF($A703="","",IFERROR(VLOOKUP($A703,StudentRegistry!$A:$D,3,FALSE),"Not found"))</f>
        <v/>
      </c>
      <c r="D703" s="77" t="str">
        <f>IF($A703="","",IFERROR(IF(VLOOKUP($A703,StudentRegistry!$A:$D,4,FALSE)="Active","Yes","Inactive"),"No"))</f>
        <v/>
      </c>
    </row>
    <row r="704" ht="15.75" customHeight="1">
      <c r="A704" s="45"/>
      <c r="C704" s="77" t="str">
        <f>IF($A704="","",IFERROR(VLOOKUP($A704,StudentRegistry!$A:$D,3,FALSE),"Not found"))</f>
        <v/>
      </c>
      <c r="D704" s="77" t="str">
        <f>IF($A704="","",IFERROR(IF(VLOOKUP($A704,StudentRegistry!$A:$D,4,FALSE)="Active","Yes","Inactive"),"No"))</f>
        <v/>
      </c>
    </row>
    <row r="705" ht="15.75" customHeight="1">
      <c r="A705" s="45"/>
      <c r="C705" s="77" t="str">
        <f>IF($A705="","",IFERROR(VLOOKUP($A705,StudentRegistry!$A:$D,3,FALSE),"Not found"))</f>
        <v/>
      </c>
      <c r="D705" s="77" t="str">
        <f>IF($A705="","",IFERROR(IF(VLOOKUP($A705,StudentRegistry!$A:$D,4,FALSE)="Active","Yes","Inactive"),"No"))</f>
        <v/>
      </c>
    </row>
    <row r="706" ht="15.75" customHeight="1">
      <c r="A706" s="45"/>
      <c r="C706" s="77" t="str">
        <f>IF($A706="","",IFERROR(VLOOKUP($A706,StudentRegistry!$A:$D,3,FALSE),"Not found"))</f>
        <v/>
      </c>
      <c r="D706" s="77" t="str">
        <f>IF($A706="","",IFERROR(IF(VLOOKUP($A706,StudentRegistry!$A:$D,4,FALSE)="Active","Yes","Inactive"),"No"))</f>
        <v/>
      </c>
    </row>
    <row r="707" ht="15.75" customHeight="1">
      <c r="A707" s="45"/>
      <c r="C707" s="77" t="str">
        <f>IF($A707="","",IFERROR(VLOOKUP($A707,StudentRegistry!$A:$D,3,FALSE),"Not found"))</f>
        <v/>
      </c>
      <c r="D707" s="77" t="str">
        <f>IF($A707="","",IFERROR(IF(VLOOKUP($A707,StudentRegistry!$A:$D,4,FALSE)="Active","Yes","Inactive"),"No"))</f>
        <v/>
      </c>
    </row>
    <row r="708" ht="15.75" customHeight="1">
      <c r="A708" s="45"/>
      <c r="C708" s="77" t="str">
        <f>IF($A708="","",IFERROR(VLOOKUP($A708,StudentRegistry!$A:$D,3,FALSE),"Not found"))</f>
        <v/>
      </c>
      <c r="D708" s="77" t="str">
        <f>IF($A708="","",IFERROR(IF(VLOOKUP($A708,StudentRegistry!$A:$D,4,FALSE)="Active","Yes","Inactive"),"No"))</f>
        <v/>
      </c>
    </row>
    <row r="709" ht="15.75" customHeight="1">
      <c r="A709" s="45"/>
      <c r="C709" s="77" t="str">
        <f>IF($A709="","",IFERROR(VLOOKUP($A709,StudentRegistry!$A:$D,3,FALSE),"Not found"))</f>
        <v/>
      </c>
      <c r="D709" s="77" t="str">
        <f>IF($A709="","",IFERROR(IF(VLOOKUP($A709,StudentRegistry!$A:$D,4,FALSE)="Active","Yes","Inactive"),"No"))</f>
        <v/>
      </c>
    </row>
    <row r="710" ht="15.75" customHeight="1">
      <c r="A710" s="45"/>
      <c r="C710" s="77" t="str">
        <f>IF($A710="","",IFERROR(VLOOKUP($A710,StudentRegistry!$A:$D,3,FALSE),"Not found"))</f>
        <v/>
      </c>
      <c r="D710" s="77" t="str">
        <f>IF($A710="","",IFERROR(IF(VLOOKUP($A710,StudentRegistry!$A:$D,4,FALSE)="Active","Yes","Inactive"),"No"))</f>
        <v/>
      </c>
    </row>
    <row r="711" ht="15.75" customHeight="1">
      <c r="A711" s="45"/>
      <c r="C711" s="77" t="str">
        <f>IF($A711="","",IFERROR(VLOOKUP($A711,StudentRegistry!$A:$D,3,FALSE),"Not found"))</f>
        <v/>
      </c>
      <c r="D711" s="77" t="str">
        <f>IF($A711="","",IFERROR(IF(VLOOKUP($A711,StudentRegistry!$A:$D,4,FALSE)="Active","Yes","Inactive"),"No"))</f>
        <v/>
      </c>
    </row>
    <row r="712" ht="15.75" customHeight="1">
      <c r="A712" s="45"/>
      <c r="C712" s="77" t="str">
        <f>IF($A712="","",IFERROR(VLOOKUP($A712,StudentRegistry!$A:$D,3,FALSE),"Not found"))</f>
        <v/>
      </c>
      <c r="D712" s="77" t="str">
        <f>IF($A712="","",IFERROR(IF(VLOOKUP($A712,StudentRegistry!$A:$D,4,FALSE)="Active","Yes","Inactive"),"No"))</f>
        <v/>
      </c>
    </row>
    <row r="713" ht="15.75" customHeight="1">
      <c r="A713" s="45"/>
      <c r="C713" s="77" t="str">
        <f>IF($A713="","",IFERROR(VLOOKUP($A713,StudentRegistry!$A:$D,3,FALSE),"Not found"))</f>
        <v/>
      </c>
      <c r="D713" s="77" t="str">
        <f>IF($A713="","",IFERROR(IF(VLOOKUP($A713,StudentRegistry!$A:$D,4,FALSE)="Active","Yes","Inactive"),"No"))</f>
        <v/>
      </c>
    </row>
    <row r="714" ht="15.75" customHeight="1">
      <c r="A714" s="45"/>
      <c r="C714" s="77" t="str">
        <f>IF($A714="","",IFERROR(VLOOKUP($A714,StudentRegistry!$A:$D,3,FALSE),"Not found"))</f>
        <v/>
      </c>
      <c r="D714" s="77" t="str">
        <f>IF($A714="","",IFERROR(IF(VLOOKUP($A714,StudentRegistry!$A:$D,4,FALSE)="Active","Yes","Inactive"),"No"))</f>
        <v/>
      </c>
    </row>
    <row r="715" ht="15.75" customHeight="1">
      <c r="A715" s="45"/>
      <c r="C715" s="77" t="str">
        <f>IF($A715="","",IFERROR(VLOOKUP($A715,StudentRegistry!$A:$D,3,FALSE),"Not found"))</f>
        <v/>
      </c>
      <c r="D715" s="77" t="str">
        <f>IF($A715="","",IFERROR(IF(VLOOKUP($A715,StudentRegistry!$A:$D,4,FALSE)="Active","Yes","Inactive"),"No"))</f>
        <v/>
      </c>
    </row>
    <row r="716" ht="15.75" customHeight="1">
      <c r="A716" s="45"/>
      <c r="C716" s="77" t="str">
        <f>IF($A716="","",IFERROR(VLOOKUP($A716,StudentRegistry!$A:$D,3,FALSE),"Not found"))</f>
        <v/>
      </c>
      <c r="D716" s="77" t="str">
        <f>IF($A716="","",IFERROR(IF(VLOOKUP($A716,StudentRegistry!$A:$D,4,FALSE)="Active","Yes","Inactive"),"No"))</f>
        <v/>
      </c>
    </row>
    <row r="717" ht="15.75" customHeight="1">
      <c r="A717" s="45"/>
      <c r="C717" s="77" t="str">
        <f>IF($A717="","",IFERROR(VLOOKUP($A717,StudentRegistry!$A:$D,3,FALSE),"Not found"))</f>
        <v/>
      </c>
      <c r="D717" s="77" t="str">
        <f>IF($A717="","",IFERROR(IF(VLOOKUP($A717,StudentRegistry!$A:$D,4,FALSE)="Active","Yes","Inactive"),"No"))</f>
        <v/>
      </c>
    </row>
    <row r="718" ht="15.75" customHeight="1">
      <c r="A718" s="45"/>
      <c r="C718" s="77" t="str">
        <f>IF($A718="","",IFERROR(VLOOKUP($A718,StudentRegistry!$A:$D,3,FALSE),"Not found"))</f>
        <v/>
      </c>
      <c r="D718" s="77" t="str">
        <f>IF($A718="","",IFERROR(IF(VLOOKUP($A718,StudentRegistry!$A:$D,4,FALSE)="Active","Yes","Inactive"),"No"))</f>
        <v/>
      </c>
    </row>
    <row r="719" ht="15.75" customHeight="1">
      <c r="A719" s="45"/>
      <c r="C719" s="77" t="str">
        <f>IF($A719="","",IFERROR(VLOOKUP($A719,StudentRegistry!$A:$D,3,FALSE),"Not found"))</f>
        <v/>
      </c>
      <c r="D719" s="77" t="str">
        <f>IF($A719="","",IFERROR(IF(VLOOKUP($A719,StudentRegistry!$A:$D,4,FALSE)="Active","Yes","Inactive"),"No"))</f>
        <v/>
      </c>
    </row>
    <row r="720" ht="15.75" customHeight="1">
      <c r="A720" s="45"/>
      <c r="C720" s="77" t="str">
        <f>IF($A720="","",IFERROR(VLOOKUP($A720,StudentRegistry!$A:$D,3,FALSE),"Not found"))</f>
        <v/>
      </c>
      <c r="D720" s="77" t="str">
        <f>IF($A720="","",IFERROR(IF(VLOOKUP($A720,StudentRegistry!$A:$D,4,FALSE)="Active","Yes","Inactive"),"No"))</f>
        <v/>
      </c>
    </row>
    <row r="721" ht="15.75" customHeight="1">
      <c r="A721" s="45"/>
      <c r="C721" s="77" t="str">
        <f>IF($A721="","",IFERROR(VLOOKUP($A721,StudentRegistry!$A:$D,3,FALSE),"Not found"))</f>
        <v/>
      </c>
      <c r="D721" s="77" t="str">
        <f>IF($A721="","",IFERROR(IF(VLOOKUP($A721,StudentRegistry!$A:$D,4,FALSE)="Active","Yes","Inactive"),"No"))</f>
        <v/>
      </c>
    </row>
    <row r="722" ht="15.75" customHeight="1">
      <c r="A722" s="45"/>
      <c r="C722" s="77" t="str">
        <f>IF($A722="","",IFERROR(VLOOKUP($A722,StudentRegistry!$A:$D,3,FALSE),"Not found"))</f>
        <v/>
      </c>
      <c r="D722" s="77" t="str">
        <f>IF($A722="","",IFERROR(IF(VLOOKUP($A722,StudentRegistry!$A:$D,4,FALSE)="Active","Yes","Inactive"),"No"))</f>
        <v/>
      </c>
    </row>
    <row r="723" ht="15.75" customHeight="1">
      <c r="A723" s="45"/>
      <c r="C723" s="77" t="str">
        <f>IF($A723="","",IFERROR(VLOOKUP($A723,StudentRegistry!$A:$D,3,FALSE),"Not found"))</f>
        <v/>
      </c>
      <c r="D723" s="77" t="str">
        <f>IF($A723="","",IFERROR(IF(VLOOKUP($A723,StudentRegistry!$A:$D,4,FALSE)="Active","Yes","Inactive"),"No"))</f>
        <v/>
      </c>
    </row>
    <row r="724" ht="15.75" customHeight="1">
      <c r="A724" s="45"/>
      <c r="C724" s="77" t="str">
        <f>IF($A724="","",IFERROR(VLOOKUP($A724,StudentRegistry!$A:$D,3,FALSE),"Not found"))</f>
        <v/>
      </c>
      <c r="D724" s="77" t="str">
        <f>IF($A724="","",IFERROR(IF(VLOOKUP($A724,StudentRegistry!$A:$D,4,FALSE)="Active","Yes","Inactive"),"No"))</f>
        <v/>
      </c>
    </row>
    <row r="725" ht="15.75" customHeight="1">
      <c r="A725" s="45"/>
      <c r="C725" s="77" t="str">
        <f>IF($A725="","",IFERROR(VLOOKUP($A725,StudentRegistry!$A:$D,3,FALSE),"Not found"))</f>
        <v/>
      </c>
      <c r="D725" s="77" t="str">
        <f>IF($A725="","",IFERROR(IF(VLOOKUP($A725,StudentRegistry!$A:$D,4,FALSE)="Active","Yes","Inactive"),"No"))</f>
        <v/>
      </c>
    </row>
    <row r="726" ht="15.75" customHeight="1">
      <c r="A726" s="45"/>
      <c r="C726" s="77" t="str">
        <f>IF($A726="","",IFERROR(VLOOKUP($A726,StudentRegistry!$A:$D,3,FALSE),"Not found"))</f>
        <v/>
      </c>
      <c r="D726" s="77" t="str">
        <f>IF($A726="","",IFERROR(IF(VLOOKUP($A726,StudentRegistry!$A:$D,4,FALSE)="Active","Yes","Inactive"),"No"))</f>
        <v/>
      </c>
    </row>
    <row r="727" ht="15.75" customHeight="1">
      <c r="A727" s="45"/>
      <c r="C727" s="77" t="str">
        <f>IF($A727="","",IFERROR(VLOOKUP($A727,StudentRegistry!$A:$D,3,FALSE),"Not found"))</f>
        <v/>
      </c>
      <c r="D727" s="77" t="str">
        <f>IF($A727="","",IFERROR(IF(VLOOKUP($A727,StudentRegistry!$A:$D,4,FALSE)="Active","Yes","Inactive"),"No"))</f>
        <v/>
      </c>
    </row>
    <row r="728" ht="15.75" customHeight="1">
      <c r="A728" s="45"/>
      <c r="C728" s="77" t="str">
        <f>IF($A728="","",IFERROR(VLOOKUP($A728,StudentRegistry!$A:$D,3,FALSE),"Not found"))</f>
        <v/>
      </c>
      <c r="D728" s="77" t="str">
        <f>IF($A728="","",IFERROR(IF(VLOOKUP($A728,StudentRegistry!$A:$D,4,FALSE)="Active","Yes","Inactive"),"No"))</f>
        <v/>
      </c>
    </row>
    <row r="729" ht="15.75" customHeight="1">
      <c r="A729" s="45"/>
      <c r="C729" s="77" t="str">
        <f>IF($A729="","",IFERROR(VLOOKUP($A729,StudentRegistry!$A:$D,3,FALSE),"Not found"))</f>
        <v/>
      </c>
      <c r="D729" s="77" t="str">
        <f>IF($A729="","",IFERROR(IF(VLOOKUP($A729,StudentRegistry!$A:$D,4,FALSE)="Active","Yes","Inactive"),"No"))</f>
        <v/>
      </c>
    </row>
    <row r="730" ht="15.75" customHeight="1">
      <c r="A730" s="45"/>
      <c r="C730" s="77" t="str">
        <f>IF($A730="","",IFERROR(VLOOKUP($A730,StudentRegistry!$A:$D,3,FALSE),"Not found"))</f>
        <v/>
      </c>
      <c r="D730" s="77" t="str">
        <f>IF($A730="","",IFERROR(IF(VLOOKUP($A730,StudentRegistry!$A:$D,4,FALSE)="Active","Yes","Inactive"),"No"))</f>
        <v/>
      </c>
    </row>
    <row r="731" ht="15.75" customHeight="1">
      <c r="A731" s="45"/>
      <c r="C731" s="77" t="str">
        <f>IF($A731="","",IFERROR(VLOOKUP($A731,StudentRegistry!$A:$D,3,FALSE),"Not found"))</f>
        <v/>
      </c>
      <c r="D731" s="77" t="str">
        <f>IF($A731="","",IFERROR(IF(VLOOKUP($A731,StudentRegistry!$A:$D,4,FALSE)="Active","Yes","Inactive"),"No"))</f>
        <v/>
      </c>
    </row>
    <row r="732" ht="15.75" customHeight="1">
      <c r="A732" s="45"/>
      <c r="C732" s="77" t="str">
        <f>IF($A732="","",IFERROR(VLOOKUP($A732,StudentRegistry!$A:$D,3,FALSE),"Not found"))</f>
        <v/>
      </c>
      <c r="D732" s="77" t="str">
        <f>IF($A732="","",IFERROR(IF(VLOOKUP($A732,StudentRegistry!$A:$D,4,FALSE)="Active","Yes","Inactive"),"No"))</f>
        <v/>
      </c>
    </row>
    <row r="733" ht="15.75" customHeight="1">
      <c r="A733" s="45"/>
      <c r="C733" s="77" t="str">
        <f>IF($A733="","",IFERROR(VLOOKUP($A733,StudentRegistry!$A:$D,3,FALSE),"Not found"))</f>
        <v/>
      </c>
      <c r="D733" s="77" t="str">
        <f>IF($A733="","",IFERROR(IF(VLOOKUP($A733,StudentRegistry!$A:$D,4,FALSE)="Active","Yes","Inactive"),"No"))</f>
        <v/>
      </c>
    </row>
    <row r="734" ht="15.75" customHeight="1">
      <c r="A734" s="45"/>
      <c r="C734" s="77" t="str">
        <f>IF($A734="","",IFERROR(VLOOKUP($A734,StudentRegistry!$A:$D,3,FALSE),"Not found"))</f>
        <v/>
      </c>
      <c r="D734" s="77" t="str">
        <f>IF($A734="","",IFERROR(IF(VLOOKUP($A734,StudentRegistry!$A:$D,4,FALSE)="Active","Yes","Inactive"),"No"))</f>
        <v/>
      </c>
    </row>
    <row r="735" ht="15.75" customHeight="1">
      <c r="A735" s="45"/>
      <c r="C735" s="77" t="str">
        <f>IF($A735="","",IFERROR(VLOOKUP($A735,StudentRegistry!$A:$D,3,FALSE),"Not found"))</f>
        <v/>
      </c>
      <c r="D735" s="77" t="str">
        <f>IF($A735="","",IFERROR(IF(VLOOKUP($A735,StudentRegistry!$A:$D,4,FALSE)="Active","Yes","Inactive"),"No"))</f>
        <v/>
      </c>
    </row>
    <row r="736" ht="15.75" customHeight="1">
      <c r="A736" s="45"/>
      <c r="C736" s="77" t="str">
        <f>IF($A736="","",IFERROR(VLOOKUP($A736,StudentRegistry!$A:$D,3,FALSE),"Not found"))</f>
        <v/>
      </c>
      <c r="D736" s="77" t="str">
        <f>IF($A736="","",IFERROR(IF(VLOOKUP($A736,StudentRegistry!$A:$D,4,FALSE)="Active","Yes","Inactive"),"No"))</f>
        <v/>
      </c>
    </row>
    <row r="737" ht="15.75" customHeight="1">
      <c r="A737" s="45"/>
      <c r="C737" s="77" t="str">
        <f>IF($A737="","",IFERROR(VLOOKUP($A737,StudentRegistry!$A:$D,3,FALSE),"Not found"))</f>
        <v/>
      </c>
      <c r="D737" s="77" t="str">
        <f>IF($A737="","",IFERROR(IF(VLOOKUP($A737,StudentRegistry!$A:$D,4,FALSE)="Active","Yes","Inactive"),"No"))</f>
        <v/>
      </c>
    </row>
    <row r="738" ht="15.75" customHeight="1">
      <c r="A738" s="45"/>
      <c r="C738" s="77" t="str">
        <f>IF($A738="","",IFERROR(VLOOKUP($A738,StudentRegistry!$A:$D,3,FALSE),"Not found"))</f>
        <v/>
      </c>
      <c r="D738" s="77" t="str">
        <f>IF($A738="","",IFERROR(IF(VLOOKUP($A738,StudentRegistry!$A:$D,4,FALSE)="Active","Yes","Inactive"),"No"))</f>
        <v/>
      </c>
    </row>
    <row r="739" ht="15.75" customHeight="1">
      <c r="A739" s="45"/>
      <c r="C739" s="77" t="str">
        <f>IF($A739="","",IFERROR(VLOOKUP($A739,StudentRegistry!$A:$D,3,FALSE),"Not found"))</f>
        <v/>
      </c>
      <c r="D739" s="77" t="str">
        <f>IF($A739="","",IFERROR(IF(VLOOKUP($A739,StudentRegistry!$A:$D,4,FALSE)="Active","Yes","Inactive"),"No"))</f>
        <v/>
      </c>
    </row>
    <row r="740" ht="15.75" customHeight="1">
      <c r="A740" s="45"/>
      <c r="C740" s="77" t="str">
        <f>IF($A740="","",IFERROR(VLOOKUP($A740,StudentRegistry!$A:$D,3,FALSE),"Not found"))</f>
        <v/>
      </c>
      <c r="D740" s="77" t="str">
        <f>IF($A740="","",IFERROR(IF(VLOOKUP($A740,StudentRegistry!$A:$D,4,FALSE)="Active","Yes","Inactive"),"No"))</f>
        <v/>
      </c>
    </row>
    <row r="741" ht="15.75" customHeight="1">
      <c r="A741" s="45"/>
      <c r="C741" s="77" t="str">
        <f>IF($A741="","",IFERROR(VLOOKUP($A741,StudentRegistry!$A:$D,3,FALSE),"Not found"))</f>
        <v/>
      </c>
      <c r="D741" s="77" t="str">
        <f>IF($A741="","",IFERROR(IF(VLOOKUP($A741,StudentRegistry!$A:$D,4,FALSE)="Active","Yes","Inactive"),"No"))</f>
        <v/>
      </c>
    </row>
    <row r="742" ht="15.75" customHeight="1">
      <c r="A742" s="45"/>
      <c r="C742" s="77" t="str">
        <f>IF($A742="","",IFERROR(VLOOKUP($A742,StudentRegistry!$A:$D,3,FALSE),"Not found"))</f>
        <v/>
      </c>
      <c r="D742" s="77" t="str">
        <f>IF($A742="","",IFERROR(IF(VLOOKUP($A742,StudentRegistry!$A:$D,4,FALSE)="Active","Yes","Inactive"),"No"))</f>
        <v/>
      </c>
    </row>
    <row r="743" ht="15.75" customHeight="1">
      <c r="A743" s="45"/>
      <c r="C743" s="77" t="str">
        <f>IF($A743="","",IFERROR(VLOOKUP($A743,StudentRegistry!$A:$D,3,FALSE),"Not found"))</f>
        <v/>
      </c>
      <c r="D743" s="77" t="str">
        <f>IF($A743="","",IFERROR(IF(VLOOKUP($A743,StudentRegistry!$A:$D,4,FALSE)="Active","Yes","Inactive"),"No"))</f>
        <v/>
      </c>
    </row>
    <row r="744" ht="15.75" customHeight="1">
      <c r="A744" s="45"/>
      <c r="C744" s="77" t="str">
        <f>IF($A744="","",IFERROR(VLOOKUP($A744,StudentRegistry!$A:$D,3,FALSE),"Not found"))</f>
        <v/>
      </c>
      <c r="D744" s="77" t="str">
        <f>IF($A744="","",IFERROR(IF(VLOOKUP($A744,StudentRegistry!$A:$D,4,FALSE)="Active","Yes","Inactive"),"No"))</f>
        <v/>
      </c>
    </row>
    <row r="745" ht="15.75" customHeight="1">
      <c r="A745" s="45"/>
      <c r="C745" s="77" t="str">
        <f>IF($A745="","",IFERROR(VLOOKUP($A745,StudentRegistry!$A:$D,3,FALSE),"Not found"))</f>
        <v/>
      </c>
      <c r="D745" s="77" t="str">
        <f>IF($A745="","",IFERROR(IF(VLOOKUP($A745,StudentRegistry!$A:$D,4,FALSE)="Active","Yes","Inactive"),"No"))</f>
        <v/>
      </c>
    </row>
    <row r="746" ht="15.75" customHeight="1">
      <c r="A746" s="45"/>
      <c r="C746" s="77" t="str">
        <f>IF($A746="","",IFERROR(VLOOKUP($A746,StudentRegistry!$A:$D,3,FALSE),"Not found"))</f>
        <v/>
      </c>
      <c r="D746" s="77" t="str">
        <f>IF($A746="","",IFERROR(IF(VLOOKUP($A746,StudentRegistry!$A:$D,4,FALSE)="Active","Yes","Inactive"),"No"))</f>
        <v/>
      </c>
    </row>
    <row r="747" ht="15.75" customHeight="1">
      <c r="A747" s="45"/>
      <c r="C747" s="77" t="str">
        <f>IF($A747="","",IFERROR(VLOOKUP($A747,StudentRegistry!$A:$D,3,FALSE),"Not found"))</f>
        <v/>
      </c>
      <c r="D747" s="77" t="str">
        <f>IF($A747="","",IFERROR(IF(VLOOKUP($A747,StudentRegistry!$A:$D,4,FALSE)="Active","Yes","Inactive"),"No"))</f>
        <v/>
      </c>
    </row>
    <row r="748" ht="15.75" customHeight="1">
      <c r="A748" s="45"/>
      <c r="C748" s="77" t="str">
        <f>IF($A748="","",IFERROR(VLOOKUP($A748,StudentRegistry!$A:$D,3,FALSE),"Not found"))</f>
        <v/>
      </c>
      <c r="D748" s="77" t="str">
        <f>IF($A748="","",IFERROR(IF(VLOOKUP($A748,StudentRegistry!$A:$D,4,FALSE)="Active","Yes","Inactive"),"No"))</f>
        <v/>
      </c>
    </row>
    <row r="749" ht="15.75" customHeight="1">
      <c r="A749" s="45"/>
      <c r="C749" s="77" t="str">
        <f>IF($A749="","",IFERROR(VLOOKUP($A749,StudentRegistry!$A:$D,3,FALSE),"Not found"))</f>
        <v/>
      </c>
      <c r="D749" s="77" t="str">
        <f>IF($A749="","",IFERROR(IF(VLOOKUP($A749,StudentRegistry!$A:$D,4,FALSE)="Active","Yes","Inactive"),"No"))</f>
        <v/>
      </c>
    </row>
    <row r="750" ht="15.75" customHeight="1">
      <c r="A750" s="45"/>
      <c r="C750" s="77" t="str">
        <f>IF($A750="","",IFERROR(VLOOKUP($A750,StudentRegistry!$A:$D,3,FALSE),"Not found"))</f>
        <v/>
      </c>
      <c r="D750" s="77" t="str">
        <f>IF($A750="","",IFERROR(IF(VLOOKUP($A750,StudentRegistry!$A:$D,4,FALSE)="Active","Yes","Inactive"),"No"))</f>
        <v/>
      </c>
    </row>
    <row r="751" ht="15.75" customHeight="1">
      <c r="A751" s="45"/>
      <c r="C751" s="77" t="str">
        <f>IF($A751="","",IFERROR(VLOOKUP($A751,StudentRegistry!$A:$D,3,FALSE),"Not found"))</f>
        <v/>
      </c>
      <c r="D751" s="77" t="str">
        <f>IF($A751="","",IFERROR(IF(VLOOKUP($A751,StudentRegistry!$A:$D,4,FALSE)="Active","Yes","Inactive"),"No"))</f>
        <v/>
      </c>
    </row>
    <row r="752" ht="15.75" customHeight="1">
      <c r="A752" s="45"/>
      <c r="C752" s="77" t="str">
        <f>IF($A752="","",IFERROR(VLOOKUP($A752,StudentRegistry!$A:$D,3,FALSE),"Not found"))</f>
        <v/>
      </c>
      <c r="D752" s="77" t="str">
        <f>IF($A752="","",IFERROR(IF(VLOOKUP($A752,StudentRegistry!$A:$D,4,FALSE)="Active","Yes","Inactive"),"No"))</f>
        <v/>
      </c>
    </row>
    <row r="753" ht="15.75" customHeight="1">
      <c r="A753" s="45"/>
      <c r="C753" s="77" t="str">
        <f>IF($A753="","",IFERROR(VLOOKUP($A753,StudentRegistry!$A:$D,3,FALSE),"Not found"))</f>
        <v/>
      </c>
      <c r="D753" s="77" t="str">
        <f>IF($A753="","",IFERROR(IF(VLOOKUP($A753,StudentRegistry!$A:$D,4,FALSE)="Active","Yes","Inactive"),"No"))</f>
        <v/>
      </c>
    </row>
    <row r="754" ht="15.75" customHeight="1">
      <c r="A754" s="45"/>
      <c r="C754" s="77" t="str">
        <f>IF($A754="","",IFERROR(VLOOKUP($A754,StudentRegistry!$A:$D,3,FALSE),"Not found"))</f>
        <v/>
      </c>
      <c r="D754" s="77" t="str">
        <f>IF($A754="","",IFERROR(IF(VLOOKUP($A754,StudentRegistry!$A:$D,4,FALSE)="Active","Yes","Inactive"),"No"))</f>
        <v/>
      </c>
    </row>
    <row r="755" ht="15.75" customHeight="1">
      <c r="A755" s="45"/>
      <c r="C755" s="77" t="str">
        <f>IF($A755="","",IFERROR(VLOOKUP($A755,StudentRegistry!$A:$D,3,FALSE),"Not found"))</f>
        <v/>
      </c>
      <c r="D755" s="77" t="str">
        <f>IF($A755="","",IFERROR(IF(VLOOKUP($A755,StudentRegistry!$A:$D,4,FALSE)="Active","Yes","Inactive"),"No"))</f>
        <v/>
      </c>
    </row>
    <row r="756" ht="15.75" customHeight="1">
      <c r="A756" s="45"/>
      <c r="C756" s="77" t="str">
        <f>IF($A756="","",IFERROR(VLOOKUP($A756,StudentRegistry!$A:$D,3,FALSE),"Not found"))</f>
        <v/>
      </c>
      <c r="D756" s="77" t="str">
        <f>IF($A756="","",IFERROR(IF(VLOOKUP($A756,StudentRegistry!$A:$D,4,FALSE)="Active","Yes","Inactive"),"No"))</f>
        <v/>
      </c>
    </row>
    <row r="757" ht="15.75" customHeight="1">
      <c r="A757" s="45"/>
      <c r="C757" s="77" t="str">
        <f>IF($A757="","",IFERROR(VLOOKUP($A757,StudentRegistry!$A:$D,3,FALSE),"Not found"))</f>
        <v/>
      </c>
      <c r="D757" s="77" t="str">
        <f>IF($A757="","",IFERROR(IF(VLOOKUP($A757,StudentRegistry!$A:$D,4,FALSE)="Active","Yes","Inactive"),"No"))</f>
        <v/>
      </c>
    </row>
    <row r="758" ht="15.75" customHeight="1">
      <c r="A758" s="45"/>
      <c r="C758" s="77" t="str">
        <f>IF($A758="","",IFERROR(VLOOKUP($A758,StudentRegistry!$A:$D,3,FALSE),"Not found"))</f>
        <v/>
      </c>
      <c r="D758" s="77" t="str">
        <f>IF($A758="","",IFERROR(IF(VLOOKUP($A758,StudentRegistry!$A:$D,4,FALSE)="Active","Yes","Inactive"),"No"))</f>
        <v/>
      </c>
    </row>
    <row r="759" ht="15.75" customHeight="1">
      <c r="A759" s="45"/>
      <c r="C759" s="77" t="str">
        <f>IF($A759="","",IFERROR(VLOOKUP($A759,StudentRegistry!$A:$D,3,FALSE),"Not found"))</f>
        <v/>
      </c>
      <c r="D759" s="77" t="str">
        <f>IF($A759="","",IFERROR(IF(VLOOKUP($A759,StudentRegistry!$A:$D,4,FALSE)="Active","Yes","Inactive"),"No"))</f>
        <v/>
      </c>
    </row>
    <row r="760" ht="15.75" customHeight="1">
      <c r="A760" s="45"/>
      <c r="C760" s="77" t="str">
        <f>IF($A760="","",IFERROR(VLOOKUP($A760,StudentRegistry!$A:$D,3,FALSE),"Not found"))</f>
        <v/>
      </c>
      <c r="D760" s="77" t="str">
        <f>IF($A760="","",IFERROR(IF(VLOOKUP($A760,StudentRegistry!$A:$D,4,FALSE)="Active","Yes","Inactive"),"No"))</f>
        <v/>
      </c>
    </row>
    <row r="761" ht="15.75" customHeight="1">
      <c r="A761" s="45"/>
      <c r="C761" s="77" t="str">
        <f>IF($A761="","",IFERROR(VLOOKUP($A761,StudentRegistry!$A:$D,3,FALSE),"Not found"))</f>
        <v/>
      </c>
      <c r="D761" s="77" t="str">
        <f>IF($A761="","",IFERROR(IF(VLOOKUP($A761,StudentRegistry!$A:$D,4,FALSE)="Active","Yes","Inactive"),"No"))</f>
        <v/>
      </c>
    </row>
    <row r="762" ht="15.75" customHeight="1">
      <c r="A762" s="45"/>
      <c r="C762" s="77" t="str">
        <f>IF($A762="","",IFERROR(VLOOKUP($A762,StudentRegistry!$A:$D,3,FALSE),"Not found"))</f>
        <v/>
      </c>
      <c r="D762" s="77" t="str">
        <f>IF($A762="","",IFERROR(IF(VLOOKUP($A762,StudentRegistry!$A:$D,4,FALSE)="Active","Yes","Inactive"),"No"))</f>
        <v/>
      </c>
    </row>
    <row r="763" ht="15.75" customHeight="1">
      <c r="A763" s="45"/>
      <c r="C763" s="77" t="str">
        <f>IF($A763="","",IFERROR(VLOOKUP($A763,StudentRegistry!$A:$D,3,FALSE),"Not found"))</f>
        <v/>
      </c>
      <c r="D763" s="77" t="str">
        <f>IF($A763="","",IFERROR(IF(VLOOKUP($A763,StudentRegistry!$A:$D,4,FALSE)="Active","Yes","Inactive"),"No"))</f>
        <v/>
      </c>
    </row>
    <row r="764" ht="15.75" customHeight="1">
      <c r="A764" s="45"/>
      <c r="C764" s="77" t="str">
        <f>IF($A764="","",IFERROR(VLOOKUP($A764,StudentRegistry!$A:$D,3,FALSE),"Not found"))</f>
        <v/>
      </c>
      <c r="D764" s="77" t="str">
        <f>IF($A764="","",IFERROR(IF(VLOOKUP($A764,StudentRegistry!$A:$D,4,FALSE)="Active","Yes","Inactive"),"No"))</f>
        <v/>
      </c>
    </row>
    <row r="765" ht="15.75" customHeight="1">
      <c r="A765" s="45"/>
      <c r="C765" s="77" t="str">
        <f>IF($A765="","",IFERROR(VLOOKUP($A765,StudentRegistry!$A:$D,3,FALSE),"Not found"))</f>
        <v/>
      </c>
      <c r="D765" s="77" t="str">
        <f>IF($A765="","",IFERROR(IF(VLOOKUP($A765,StudentRegistry!$A:$D,4,FALSE)="Active","Yes","Inactive"),"No"))</f>
        <v/>
      </c>
    </row>
    <row r="766" ht="15.75" customHeight="1">
      <c r="A766" s="45"/>
      <c r="C766" s="77" t="str">
        <f>IF($A766="","",IFERROR(VLOOKUP($A766,StudentRegistry!$A:$D,3,FALSE),"Not found"))</f>
        <v/>
      </c>
      <c r="D766" s="77" t="str">
        <f>IF($A766="","",IFERROR(IF(VLOOKUP($A766,StudentRegistry!$A:$D,4,FALSE)="Active","Yes","Inactive"),"No"))</f>
        <v/>
      </c>
    </row>
    <row r="767" ht="15.75" customHeight="1">
      <c r="A767" s="45"/>
      <c r="C767" s="77" t="str">
        <f>IF($A767="","",IFERROR(VLOOKUP($A767,StudentRegistry!$A:$D,3,FALSE),"Not found"))</f>
        <v/>
      </c>
      <c r="D767" s="77" t="str">
        <f>IF($A767="","",IFERROR(IF(VLOOKUP($A767,StudentRegistry!$A:$D,4,FALSE)="Active","Yes","Inactive"),"No"))</f>
        <v/>
      </c>
    </row>
    <row r="768" ht="15.75" customHeight="1">
      <c r="A768" s="45"/>
      <c r="C768" s="77" t="str">
        <f>IF($A768="","",IFERROR(VLOOKUP($A768,StudentRegistry!$A:$D,3,FALSE),"Not found"))</f>
        <v/>
      </c>
      <c r="D768" s="77" t="str">
        <f>IF($A768="","",IFERROR(IF(VLOOKUP($A768,StudentRegistry!$A:$D,4,FALSE)="Active","Yes","Inactive"),"No"))</f>
        <v/>
      </c>
    </row>
    <row r="769" ht="15.75" customHeight="1">
      <c r="A769" s="45"/>
      <c r="C769" s="77" t="str">
        <f>IF($A769="","",IFERROR(VLOOKUP($A769,StudentRegistry!$A:$D,3,FALSE),"Not found"))</f>
        <v/>
      </c>
      <c r="D769" s="77" t="str">
        <f>IF($A769="","",IFERROR(IF(VLOOKUP($A769,StudentRegistry!$A:$D,4,FALSE)="Active","Yes","Inactive"),"No"))</f>
        <v/>
      </c>
    </row>
    <row r="770" ht="15.75" customHeight="1">
      <c r="A770" s="45"/>
      <c r="C770" s="77" t="str">
        <f>IF($A770="","",IFERROR(VLOOKUP($A770,StudentRegistry!$A:$D,3,FALSE),"Not found"))</f>
        <v/>
      </c>
      <c r="D770" s="77" t="str">
        <f>IF($A770="","",IFERROR(IF(VLOOKUP($A770,StudentRegistry!$A:$D,4,FALSE)="Active","Yes","Inactive"),"No"))</f>
        <v/>
      </c>
    </row>
    <row r="771" ht="15.75" customHeight="1">
      <c r="A771" s="45"/>
      <c r="C771" s="77" t="str">
        <f>IF($A771="","",IFERROR(VLOOKUP($A771,StudentRegistry!$A:$D,3,FALSE),"Not found"))</f>
        <v/>
      </c>
      <c r="D771" s="77" t="str">
        <f>IF($A771="","",IFERROR(IF(VLOOKUP($A771,StudentRegistry!$A:$D,4,FALSE)="Active","Yes","Inactive"),"No"))</f>
        <v/>
      </c>
    </row>
    <row r="772" ht="15.75" customHeight="1">
      <c r="A772" s="45"/>
      <c r="C772" s="77" t="str">
        <f>IF($A772="","",IFERROR(VLOOKUP($A772,StudentRegistry!$A:$D,3,FALSE),"Not found"))</f>
        <v/>
      </c>
      <c r="D772" s="77" t="str">
        <f>IF($A772="","",IFERROR(IF(VLOOKUP($A772,StudentRegistry!$A:$D,4,FALSE)="Active","Yes","Inactive"),"No"))</f>
        <v/>
      </c>
    </row>
    <row r="773" ht="15.75" customHeight="1">
      <c r="A773" s="45"/>
      <c r="C773" s="77" t="str">
        <f>IF($A773="","",IFERROR(VLOOKUP($A773,StudentRegistry!$A:$D,3,FALSE),"Not found"))</f>
        <v/>
      </c>
      <c r="D773" s="77" t="str">
        <f>IF($A773="","",IFERROR(IF(VLOOKUP($A773,StudentRegistry!$A:$D,4,FALSE)="Active","Yes","Inactive"),"No"))</f>
        <v/>
      </c>
    </row>
    <row r="774" ht="15.75" customHeight="1">
      <c r="A774" s="45"/>
      <c r="C774" s="77" t="str">
        <f>IF($A774="","",IFERROR(VLOOKUP($A774,StudentRegistry!$A:$D,3,FALSE),"Not found"))</f>
        <v/>
      </c>
      <c r="D774" s="77" t="str">
        <f>IF($A774="","",IFERROR(IF(VLOOKUP($A774,StudentRegistry!$A:$D,4,FALSE)="Active","Yes","Inactive"),"No"))</f>
        <v/>
      </c>
    </row>
    <row r="775" ht="15.75" customHeight="1">
      <c r="A775" s="45"/>
      <c r="C775" s="77" t="str">
        <f>IF($A775="","",IFERROR(VLOOKUP($A775,StudentRegistry!$A:$D,3,FALSE),"Not found"))</f>
        <v/>
      </c>
      <c r="D775" s="77" t="str">
        <f>IF($A775="","",IFERROR(IF(VLOOKUP($A775,StudentRegistry!$A:$D,4,FALSE)="Active","Yes","Inactive"),"No"))</f>
        <v/>
      </c>
    </row>
    <row r="776" ht="15.75" customHeight="1">
      <c r="A776" s="45"/>
      <c r="C776" s="77" t="str">
        <f>IF($A776="","",IFERROR(VLOOKUP($A776,StudentRegistry!$A:$D,3,FALSE),"Not found"))</f>
        <v/>
      </c>
      <c r="D776" s="77" t="str">
        <f>IF($A776="","",IFERROR(IF(VLOOKUP($A776,StudentRegistry!$A:$D,4,FALSE)="Active","Yes","Inactive"),"No"))</f>
        <v/>
      </c>
    </row>
    <row r="777" ht="15.75" customHeight="1">
      <c r="A777" s="45"/>
      <c r="C777" s="77" t="str">
        <f>IF($A777="","",IFERROR(VLOOKUP($A777,StudentRegistry!$A:$D,3,FALSE),"Not found"))</f>
        <v/>
      </c>
      <c r="D777" s="77" t="str">
        <f>IF($A777="","",IFERROR(IF(VLOOKUP($A777,StudentRegistry!$A:$D,4,FALSE)="Active","Yes","Inactive"),"No"))</f>
        <v/>
      </c>
    </row>
    <row r="778" ht="15.75" customHeight="1">
      <c r="A778" s="45"/>
      <c r="C778" s="77" t="str">
        <f>IF($A778="","",IFERROR(VLOOKUP($A778,StudentRegistry!$A:$D,3,FALSE),"Not found"))</f>
        <v/>
      </c>
      <c r="D778" s="77" t="str">
        <f>IF($A778="","",IFERROR(IF(VLOOKUP($A778,StudentRegistry!$A:$D,4,FALSE)="Active","Yes","Inactive"),"No"))</f>
        <v/>
      </c>
    </row>
    <row r="779" ht="15.75" customHeight="1">
      <c r="A779" s="45"/>
      <c r="C779" s="77" t="str">
        <f>IF($A779="","",IFERROR(VLOOKUP($A779,StudentRegistry!$A:$D,3,FALSE),"Not found"))</f>
        <v/>
      </c>
      <c r="D779" s="77" t="str">
        <f>IF($A779="","",IFERROR(IF(VLOOKUP($A779,StudentRegistry!$A:$D,4,FALSE)="Active","Yes","Inactive"),"No"))</f>
        <v/>
      </c>
    </row>
    <row r="780" ht="15.75" customHeight="1">
      <c r="A780" s="45"/>
      <c r="C780" s="77" t="str">
        <f>IF($A780="","",IFERROR(VLOOKUP($A780,StudentRegistry!$A:$D,3,FALSE),"Not found"))</f>
        <v/>
      </c>
      <c r="D780" s="77" t="str">
        <f>IF($A780="","",IFERROR(IF(VLOOKUP($A780,StudentRegistry!$A:$D,4,FALSE)="Active","Yes","Inactive"),"No"))</f>
        <v/>
      </c>
    </row>
    <row r="781" ht="15.75" customHeight="1">
      <c r="A781" s="45"/>
      <c r="C781" s="77" t="str">
        <f>IF($A781="","",IFERROR(VLOOKUP($A781,StudentRegistry!$A:$D,3,FALSE),"Not found"))</f>
        <v/>
      </c>
      <c r="D781" s="77" t="str">
        <f>IF($A781="","",IFERROR(IF(VLOOKUP($A781,StudentRegistry!$A:$D,4,FALSE)="Active","Yes","Inactive"),"No"))</f>
        <v/>
      </c>
    </row>
    <row r="782" ht="15.75" customHeight="1">
      <c r="A782" s="45"/>
      <c r="C782" s="77" t="str">
        <f>IF($A782="","",IFERROR(VLOOKUP($A782,StudentRegistry!$A:$D,3,FALSE),"Not found"))</f>
        <v/>
      </c>
      <c r="D782" s="77" t="str">
        <f>IF($A782="","",IFERROR(IF(VLOOKUP($A782,StudentRegistry!$A:$D,4,FALSE)="Active","Yes","Inactive"),"No"))</f>
        <v/>
      </c>
    </row>
    <row r="783" ht="15.75" customHeight="1">
      <c r="A783" s="45"/>
      <c r="C783" s="77" t="str">
        <f>IF($A783="","",IFERROR(VLOOKUP($A783,StudentRegistry!$A:$D,3,FALSE),"Not found"))</f>
        <v/>
      </c>
      <c r="D783" s="77" t="str">
        <f>IF($A783="","",IFERROR(IF(VLOOKUP($A783,StudentRegistry!$A:$D,4,FALSE)="Active","Yes","Inactive"),"No"))</f>
        <v/>
      </c>
    </row>
    <row r="784" ht="15.75" customHeight="1">
      <c r="A784" s="45"/>
      <c r="C784" s="77" t="str">
        <f>IF($A784="","",IFERROR(VLOOKUP($A784,StudentRegistry!$A:$D,3,FALSE),"Not found"))</f>
        <v/>
      </c>
      <c r="D784" s="77" t="str">
        <f>IF($A784="","",IFERROR(IF(VLOOKUP($A784,StudentRegistry!$A:$D,4,FALSE)="Active","Yes","Inactive"),"No"))</f>
        <v/>
      </c>
    </row>
    <row r="785" ht="15.75" customHeight="1">
      <c r="A785" s="45"/>
      <c r="C785" s="77" t="str">
        <f>IF($A785="","",IFERROR(VLOOKUP($A785,StudentRegistry!$A:$D,3,FALSE),"Not found"))</f>
        <v/>
      </c>
      <c r="D785" s="77" t="str">
        <f>IF($A785="","",IFERROR(IF(VLOOKUP($A785,StudentRegistry!$A:$D,4,FALSE)="Active","Yes","Inactive"),"No"))</f>
        <v/>
      </c>
    </row>
    <row r="786" ht="15.75" customHeight="1">
      <c r="A786" s="45"/>
      <c r="C786" s="77" t="str">
        <f>IF($A786="","",IFERROR(VLOOKUP($A786,StudentRegistry!$A:$D,3,FALSE),"Not found"))</f>
        <v/>
      </c>
      <c r="D786" s="77" t="str">
        <f>IF($A786="","",IFERROR(IF(VLOOKUP($A786,StudentRegistry!$A:$D,4,FALSE)="Active","Yes","Inactive"),"No"))</f>
        <v/>
      </c>
    </row>
    <row r="787" ht="15.75" customHeight="1">
      <c r="A787" s="45"/>
      <c r="C787" s="77" t="str">
        <f>IF($A787="","",IFERROR(VLOOKUP($A787,StudentRegistry!$A:$D,3,FALSE),"Not found"))</f>
        <v/>
      </c>
      <c r="D787" s="77" t="str">
        <f>IF($A787="","",IFERROR(IF(VLOOKUP($A787,StudentRegistry!$A:$D,4,FALSE)="Active","Yes","Inactive"),"No"))</f>
        <v/>
      </c>
    </row>
    <row r="788" ht="15.75" customHeight="1">
      <c r="A788" s="45"/>
      <c r="C788" s="77" t="str">
        <f>IF($A788="","",IFERROR(VLOOKUP($A788,StudentRegistry!$A:$D,3,FALSE),"Not found"))</f>
        <v/>
      </c>
      <c r="D788" s="77" t="str">
        <f>IF($A788="","",IFERROR(IF(VLOOKUP($A788,StudentRegistry!$A:$D,4,FALSE)="Active","Yes","Inactive"),"No"))</f>
        <v/>
      </c>
    </row>
    <row r="789" ht="15.75" customHeight="1">
      <c r="A789" s="45"/>
      <c r="C789" s="77" t="str">
        <f>IF($A789="","",IFERROR(VLOOKUP($A789,StudentRegistry!$A:$D,3,FALSE),"Not found"))</f>
        <v/>
      </c>
      <c r="D789" s="77" t="str">
        <f>IF($A789="","",IFERROR(IF(VLOOKUP($A789,StudentRegistry!$A:$D,4,FALSE)="Active","Yes","Inactive"),"No"))</f>
        <v/>
      </c>
    </row>
    <row r="790" ht="15.75" customHeight="1">
      <c r="A790" s="45"/>
      <c r="C790" s="77" t="str">
        <f>IF($A790="","",IFERROR(VLOOKUP($A790,StudentRegistry!$A:$D,3,FALSE),"Not found"))</f>
        <v/>
      </c>
      <c r="D790" s="77" t="str">
        <f>IF($A790="","",IFERROR(IF(VLOOKUP($A790,StudentRegistry!$A:$D,4,FALSE)="Active","Yes","Inactive"),"No"))</f>
        <v/>
      </c>
    </row>
    <row r="791" ht="15.75" customHeight="1">
      <c r="A791" s="45"/>
      <c r="C791" s="77" t="str">
        <f>IF($A791="","",IFERROR(VLOOKUP($A791,StudentRegistry!$A:$D,3,FALSE),"Not found"))</f>
        <v/>
      </c>
      <c r="D791" s="77" t="str">
        <f>IF($A791="","",IFERROR(IF(VLOOKUP($A791,StudentRegistry!$A:$D,4,FALSE)="Active","Yes","Inactive"),"No"))</f>
        <v/>
      </c>
    </row>
    <row r="792" ht="15.75" customHeight="1">
      <c r="A792" s="45"/>
      <c r="C792" s="77" t="str">
        <f>IF($A792="","",IFERROR(VLOOKUP($A792,StudentRegistry!$A:$D,3,FALSE),"Not found"))</f>
        <v/>
      </c>
      <c r="D792" s="77" t="str">
        <f>IF($A792="","",IFERROR(IF(VLOOKUP($A792,StudentRegistry!$A:$D,4,FALSE)="Active","Yes","Inactive"),"No"))</f>
        <v/>
      </c>
    </row>
    <row r="793" ht="15.75" customHeight="1">
      <c r="A793" s="45"/>
      <c r="C793" s="77" t="str">
        <f>IF($A793="","",IFERROR(VLOOKUP($A793,StudentRegistry!$A:$D,3,FALSE),"Not found"))</f>
        <v/>
      </c>
      <c r="D793" s="77" t="str">
        <f>IF($A793="","",IFERROR(IF(VLOOKUP($A793,StudentRegistry!$A:$D,4,FALSE)="Active","Yes","Inactive"),"No"))</f>
        <v/>
      </c>
    </row>
    <row r="794" ht="15.75" customHeight="1">
      <c r="A794" s="45"/>
      <c r="C794" s="77" t="str">
        <f>IF($A794="","",IFERROR(VLOOKUP($A794,StudentRegistry!$A:$D,3,FALSE),"Not found"))</f>
        <v/>
      </c>
      <c r="D794" s="77" t="str">
        <f>IF($A794="","",IFERROR(IF(VLOOKUP($A794,StudentRegistry!$A:$D,4,FALSE)="Active","Yes","Inactive"),"No"))</f>
        <v/>
      </c>
    </row>
    <row r="795" ht="15.75" customHeight="1">
      <c r="A795" s="45"/>
      <c r="C795" s="77" t="str">
        <f>IF($A795="","",IFERROR(VLOOKUP($A795,StudentRegistry!$A:$D,3,FALSE),"Not found"))</f>
        <v/>
      </c>
      <c r="D795" s="77" t="str">
        <f>IF($A795="","",IFERROR(IF(VLOOKUP($A795,StudentRegistry!$A:$D,4,FALSE)="Active","Yes","Inactive"),"No"))</f>
        <v/>
      </c>
    </row>
    <row r="796" ht="15.75" customHeight="1">
      <c r="A796" s="45"/>
      <c r="C796" s="77" t="str">
        <f>IF($A796="","",IFERROR(VLOOKUP($A796,StudentRegistry!$A:$D,3,FALSE),"Not found"))</f>
        <v/>
      </c>
      <c r="D796" s="77" t="str">
        <f>IF($A796="","",IFERROR(IF(VLOOKUP($A796,StudentRegistry!$A:$D,4,FALSE)="Active","Yes","Inactive"),"No"))</f>
        <v/>
      </c>
    </row>
    <row r="797" ht="15.75" customHeight="1">
      <c r="A797" s="45"/>
      <c r="C797" s="77" t="str">
        <f>IF($A797="","",IFERROR(VLOOKUP($A797,StudentRegistry!$A:$D,3,FALSE),"Not found"))</f>
        <v/>
      </c>
      <c r="D797" s="77" t="str">
        <f>IF($A797="","",IFERROR(IF(VLOOKUP($A797,StudentRegistry!$A:$D,4,FALSE)="Active","Yes","Inactive"),"No"))</f>
        <v/>
      </c>
    </row>
    <row r="798" ht="15.75" customHeight="1">
      <c r="A798" s="45"/>
      <c r="C798" s="77" t="str">
        <f>IF($A798="","",IFERROR(VLOOKUP($A798,StudentRegistry!$A:$D,3,FALSE),"Not found"))</f>
        <v/>
      </c>
      <c r="D798" s="77" t="str">
        <f>IF($A798="","",IFERROR(IF(VLOOKUP($A798,StudentRegistry!$A:$D,4,FALSE)="Active","Yes","Inactive"),"No"))</f>
        <v/>
      </c>
    </row>
    <row r="799" ht="15.75" customHeight="1">
      <c r="A799" s="45"/>
      <c r="C799" s="77" t="str">
        <f>IF($A799="","",IFERROR(VLOOKUP($A799,StudentRegistry!$A:$D,3,FALSE),"Not found"))</f>
        <v/>
      </c>
      <c r="D799" s="77" t="str">
        <f>IF($A799="","",IFERROR(IF(VLOOKUP($A799,StudentRegistry!$A:$D,4,FALSE)="Active","Yes","Inactive"),"No"))</f>
        <v/>
      </c>
    </row>
    <row r="800" ht="15.75" customHeight="1">
      <c r="A800" s="45"/>
      <c r="C800" s="77" t="str">
        <f>IF($A800="","",IFERROR(VLOOKUP($A800,StudentRegistry!$A:$D,3,FALSE),"Not found"))</f>
        <v/>
      </c>
      <c r="D800" s="77" t="str">
        <f>IF($A800="","",IFERROR(IF(VLOOKUP($A800,StudentRegistry!$A:$D,4,FALSE)="Active","Yes","Inactive"),"No"))</f>
        <v/>
      </c>
    </row>
    <row r="801" ht="15.75" customHeight="1">
      <c r="A801" s="45"/>
      <c r="C801" s="77" t="str">
        <f>IF($A801="","",IFERROR(VLOOKUP($A801,StudentRegistry!$A:$D,3,FALSE),"Not found"))</f>
        <v/>
      </c>
      <c r="D801" s="77" t="str">
        <f>IF($A801="","",IFERROR(IF(VLOOKUP($A801,StudentRegistry!$A:$D,4,FALSE)="Active","Yes","Inactive"),"No"))</f>
        <v/>
      </c>
    </row>
    <row r="802" ht="15.75" customHeight="1">
      <c r="A802" s="45"/>
      <c r="C802" s="77" t="str">
        <f>IF($A802="","",IFERROR(VLOOKUP($A802,StudentRegistry!$A:$D,3,FALSE),"Not found"))</f>
        <v/>
      </c>
      <c r="D802" s="77" t="str">
        <f>IF($A802="","",IFERROR(IF(VLOOKUP($A802,StudentRegistry!$A:$D,4,FALSE)="Active","Yes","Inactive"),"No"))</f>
        <v/>
      </c>
    </row>
    <row r="803" ht="15.75" customHeight="1">
      <c r="A803" s="45"/>
      <c r="C803" s="77" t="str">
        <f>IF($A803="","",IFERROR(VLOOKUP($A803,StudentRegistry!$A:$D,3,FALSE),"Not found"))</f>
        <v/>
      </c>
      <c r="D803" s="77" t="str">
        <f>IF($A803="","",IFERROR(IF(VLOOKUP($A803,StudentRegistry!$A:$D,4,FALSE)="Active","Yes","Inactive"),"No"))</f>
        <v/>
      </c>
    </row>
    <row r="804" ht="15.75" customHeight="1">
      <c r="A804" s="45"/>
      <c r="C804" s="77" t="str">
        <f>IF($A804="","",IFERROR(VLOOKUP($A804,StudentRegistry!$A:$D,3,FALSE),"Not found"))</f>
        <v/>
      </c>
      <c r="D804" s="77" t="str">
        <f>IF($A804="","",IFERROR(IF(VLOOKUP($A804,StudentRegistry!$A:$D,4,FALSE)="Active","Yes","Inactive"),"No"))</f>
        <v/>
      </c>
    </row>
    <row r="805" ht="15.75" customHeight="1">
      <c r="A805" s="45"/>
      <c r="C805" s="77" t="str">
        <f>IF($A805="","",IFERROR(VLOOKUP($A805,StudentRegistry!$A:$D,3,FALSE),"Not found"))</f>
        <v/>
      </c>
      <c r="D805" s="77" t="str">
        <f>IF($A805="","",IFERROR(IF(VLOOKUP($A805,StudentRegistry!$A:$D,4,FALSE)="Active","Yes","Inactive"),"No"))</f>
        <v/>
      </c>
    </row>
    <row r="806" ht="15.75" customHeight="1">
      <c r="A806" s="45"/>
      <c r="C806" s="77" t="str">
        <f>IF($A806="","",IFERROR(VLOOKUP($A806,StudentRegistry!$A:$D,3,FALSE),"Not found"))</f>
        <v/>
      </c>
      <c r="D806" s="77" t="str">
        <f>IF($A806="","",IFERROR(IF(VLOOKUP($A806,StudentRegistry!$A:$D,4,FALSE)="Active","Yes","Inactive"),"No"))</f>
        <v/>
      </c>
    </row>
    <row r="807" ht="15.75" customHeight="1">
      <c r="A807" s="45"/>
      <c r="C807" s="77" t="str">
        <f>IF($A807="","",IFERROR(VLOOKUP($A807,StudentRegistry!$A:$D,3,FALSE),"Not found"))</f>
        <v/>
      </c>
      <c r="D807" s="77" t="str">
        <f>IF($A807="","",IFERROR(IF(VLOOKUP($A807,StudentRegistry!$A:$D,4,FALSE)="Active","Yes","Inactive"),"No"))</f>
        <v/>
      </c>
    </row>
    <row r="808" ht="15.75" customHeight="1">
      <c r="A808" s="45"/>
      <c r="C808" s="77" t="str">
        <f>IF($A808="","",IFERROR(VLOOKUP($A808,StudentRegistry!$A:$D,3,FALSE),"Not found"))</f>
        <v/>
      </c>
      <c r="D808" s="77" t="str">
        <f>IF($A808="","",IFERROR(IF(VLOOKUP($A808,StudentRegistry!$A:$D,4,FALSE)="Active","Yes","Inactive"),"No"))</f>
        <v/>
      </c>
    </row>
    <row r="809" ht="15.75" customHeight="1">
      <c r="A809" s="45"/>
      <c r="C809" s="77" t="str">
        <f>IF($A809="","",IFERROR(VLOOKUP($A809,StudentRegistry!$A:$D,3,FALSE),"Not found"))</f>
        <v/>
      </c>
      <c r="D809" s="77" t="str">
        <f>IF($A809="","",IFERROR(IF(VLOOKUP($A809,StudentRegistry!$A:$D,4,FALSE)="Active","Yes","Inactive"),"No"))</f>
        <v/>
      </c>
    </row>
    <row r="810" ht="15.75" customHeight="1">
      <c r="A810" s="45"/>
      <c r="C810" s="77" t="str">
        <f>IF($A810="","",IFERROR(VLOOKUP($A810,StudentRegistry!$A:$D,3,FALSE),"Not found"))</f>
        <v/>
      </c>
      <c r="D810" s="77" t="str">
        <f>IF($A810="","",IFERROR(IF(VLOOKUP($A810,StudentRegistry!$A:$D,4,FALSE)="Active","Yes","Inactive"),"No"))</f>
        <v/>
      </c>
    </row>
    <row r="811" ht="15.75" customHeight="1">
      <c r="A811" s="45"/>
      <c r="C811" s="77" t="str">
        <f>IF($A811="","",IFERROR(VLOOKUP($A811,StudentRegistry!$A:$D,3,FALSE),"Not found"))</f>
        <v/>
      </c>
      <c r="D811" s="77" t="str">
        <f>IF($A811="","",IFERROR(IF(VLOOKUP($A811,StudentRegistry!$A:$D,4,FALSE)="Active","Yes","Inactive"),"No"))</f>
        <v/>
      </c>
    </row>
    <row r="812" ht="15.75" customHeight="1">
      <c r="A812" s="45"/>
      <c r="C812" s="77" t="str">
        <f>IF($A812="","",IFERROR(VLOOKUP($A812,StudentRegistry!$A:$D,3,FALSE),"Not found"))</f>
        <v/>
      </c>
      <c r="D812" s="77" t="str">
        <f>IF($A812="","",IFERROR(IF(VLOOKUP($A812,StudentRegistry!$A:$D,4,FALSE)="Active","Yes","Inactive"),"No"))</f>
        <v/>
      </c>
    </row>
    <row r="813" ht="15.75" customHeight="1">
      <c r="A813" s="45"/>
      <c r="C813" s="77" t="str">
        <f>IF($A813="","",IFERROR(VLOOKUP($A813,StudentRegistry!$A:$D,3,FALSE),"Not found"))</f>
        <v/>
      </c>
      <c r="D813" s="77" t="str">
        <f>IF($A813="","",IFERROR(IF(VLOOKUP($A813,StudentRegistry!$A:$D,4,FALSE)="Active","Yes","Inactive"),"No"))</f>
        <v/>
      </c>
    </row>
    <row r="814" ht="15.75" customHeight="1">
      <c r="A814" s="45"/>
      <c r="C814" s="77" t="str">
        <f>IF($A814="","",IFERROR(VLOOKUP($A814,StudentRegistry!$A:$D,3,FALSE),"Not found"))</f>
        <v/>
      </c>
      <c r="D814" s="77" t="str">
        <f>IF($A814="","",IFERROR(IF(VLOOKUP($A814,StudentRegistry!$A:$D,4,FALSE)="Active","Yes","Inactive"),"No"))</f>
        <v/>
      </c>
    </row>
    <row r="815" ht="15.75" customHeight="1">
      <c r="A815" s="45"/>
      <c r="C815" s="77" t="str">
        <f>IF($A815="","",IFERROR(VLOOKUP($A815,StudentRegistry!$A:$D,3,FALSE),"Not found"))</f>
        <v/>
      </c>
      <c r="D815" s="77" t="str">
        <f>IF($A815="","",IFERROR(IF(VLOOKUP($A815,StudentRegistry!$A:$D,4,FALSE)="Active","Yes","Inactive"),"No"))</f>
        <v/>
      </c>
    </row>
    <row r="816" ht="15.75" customHeight="1">
      <c r="A816" s="45"/>
      <c r="C816" s="77" t="str">
        <f>IF($A816="","",IFERROR(VLOOKUP($A816,StudentRegistry!$A:$D,3,FALSE),"Not found"))</f>
        <v/>
      </c>
      <c r="D816" s="77" t="str">
        <f>IF($A816="","",IFERROR(IF(VLOOKUP($A816,StudentRegistry!$A:$D,4,FALSE)="Active","Yes","Inactive"),"No"))</f>
        <v/>
      </c>
    </row>
    <row r="817" ht="15.75" customHeight="1">
      <c r="A817" s="45"/>
      <c r="C817" s="77" t="str">
        <f>IF($A817="","",IFERROR(VLOOKUP($A817,StudentRegistry!$A:$D,3,FALSE),"Not found"))</f>
        <v/>
      </c>
      <c r="D817" s="77" t="str">
        <f>IF($A817="","",IFERROR(IF(VLOOKUP($A817,StudentRegistry!$A:$D,4,FALSE)="Active","Yes","Inactive"),"No"))</f>
        <v/>
      </c>
    </row>
    <row r="818" ht="15.75" customHeight="1">
      <c r="A818" s="45"/>
      <c r="C818" s="77" t="str">
        <f>IF($A818="","",IFERROR(VLOOKUP($A818,StudentRegistry!$A:$D,3,FALSE),"Not found"))</f>
        <v/>
      </c>
      <c r="D818" s="77" t="str">
        <f>IF($A818="","",IFERROR(IF(VLOOKUP($A818,StudentRegistry!$A:$D,4,FALSE)="Active","Yes","Inactive"),"No"))</f>
        <v/>
      </c>
    </row>
    <row r="819" ht="15.75" customHeight="1">
      <c r="A819" s="45"/>
      <c r="C819" s="77" t="str">
        <f>IF($A819="","",IFERROR(VLOOKUP($A819,StudentRegistry!$A:$D,3,FALSE),"Not found"))</f>
        <v/>
      </c>
      <c r="D819" s="77" t="str">
        <f>IF($A819="","",IFERROR(IF(VLOOKUP($A819,StudentRegistry!$A:$D,4,FALSE)="Active","Yes","Inactive"),"No"))</f>
        <v/>
      </c>
    </row>
    <row r="820" ht="15.75" customHeight="1">
      <c r="A820" s="45"/>
      <c r="C820" s="77" t="str">
        <f>IF($A820="","",IFERROR(VLOOKUP($A820,StudentRegistry!$A:$D,3,FALSE),"Not found"))</f>
        <v/>
      </c>
      <c r="D820" s="77" t="str">
        <f>IF($A820="","",IFERROR(IF(VLOOKUP($A820,StudentRegistry!$A:$D,4,FALSE)="Active","Yes","Inactive"),"No"))</f>
        <v/>
      </c>
    </row>
    <row r="821" ht="15.75" customHeight="1">
      <c r="A821" s="45"/>
      <c r="C821" s="77" t="str">
        <f>IF($A821="","",IFERROR(VLOOKUP($A821,StudentRegistry!$A:$D,3,FALSE),"Not found"))</f>
        <v/>
      </c>
      <c r="D821" s="77" t="str">
        <f>IF($A821="","",IFERROR(IF(VLOOKUP($A821,StudentRegistry!$A:$D,4,FALSE)="Active","Yes","Inactive"),"No"))</f>
        <v/>
      </c>
    </row>
    <row r="822" ht="15.75" customHeight="1">
      <c r="A822" s="45"/>
      <c r="C822" s="77" t="str">
        <f>IF($A822="","",IFERROR(VLOOKUP($A822,StudentRegistry!$A:$D,3,FALSE),"Not found"))</f>
        <v/>
      </c>
      <c r="D822" s="77" t="str">
        <f>IF($A822="","",IFERROR(IF(VLOOKUP($A822,StudentRegistry!$A:$D,4,FALSE)="Active","Yes","Inactive"),"No"))</f>
        <v/>
      </c>
    </row>
    <row r="823" ht="15.75" customHeight="1">
      <c r="A823" s="45"/>
      <c r="C823" s="77" t="str">
        <f>IF($A823="","",IFERROR(VLOOKUP($A823,StudentRegistry!$A:$D,3,FALSE),"Not found"))</f>
        <v/>
      </c>
      <c r="D823" s="77" t="str">
        <f>IF($A823="","",IFERROR(IF(VLOOKUP($A823,StudentRegistry!$A:$D,4,FALSE)="Active","Yes","Inactive"),"No"))</f>
        <v/>
      </c>
    </row>
    <row r="824" ht="15.75" customHeight="1">
      <c r="A824" s="45"/>
      <c r="C824" s="77" t="str">
        <f>IF($A824="","",IFERROR(VLOOKUP($A824,StudentRegistry!$A:$D,3,FALSE),"Not found"))</f>
        <v/>
      </c>
      <c r="D824" s="77" t="str">
        <f>IF($A824="","",IFERROR(IF(VLOOKUP($A824,StudentRegistry!$A:$D,4,FALSE)="Active","Yes","Inactive"),"No"))</f>
        <v/>
      </c>
    </row>
    <row r="825" ht="15.75" customHeight="1">
      <c r="A825" s="45"/>
      <c r="C825" s="77" t="str">
        <f>IF($A825="","",IFERROR(VLOOKUP($A825,StudentRegistry!$A:$D,3,FALSE),"Not found"))</f>
        <v/>
      </c>
      <c r="D825" s="77" t="str">
        <f>IF($A825="","",IFERROR(IF(VLOOKUP($A825,StudentRegistry!$A:$D,4,FALSE)="Active","Yes","Inactive"),"No"))</f>
        <v/>
      </c>
    </row>
    <row r="826" ht="15.75" customHeight="1">
      <c r="A826" s="45"/>
      <c r="C826" s="77" t="str">
        <f>IF($A826="","",IFERROR(VLOOKUP($A826,StudentRegistry!$A:$D,3,FALSE),"Not found"))</f>
        <v/>
      </c>
      <c r="D826" s="77" t="str">
        <f>IF($A826="","",IFERROR(IF(VLOOKUP($A826,StudentRegistry!$A:$D,4,FALSE)="Active","Yes","Inactive"),"No"))</f>
        <v/>
      </c>
    </row>
    <row r="827" ht="15.75" customHeight="1">
      <c r="A827" s="45"/>
      <c r="C827" s="77" t="str">
        <f>IF($A827="","",IFERROR(VLOOKUP($A827,StudentRegistry!$A:$D,3,FALSE),"Not found"))</f>
        <v/>
      </c>
      <c r="D827" s="77" t="str">
        <f>IF($A827="","",IFERROR(IF(VLOOKUP($A827,StudentRegistry!$A:$D,4,FALSE)="Active","Yes","Inactive"),"No"))</f>
        <v/>
      </c>
    </row>
    <row r="828" ht="15.75" customHeight="1">
      <c r="A828" s="45"/>
      <c r="C828" s="77" t="str">
        <f>IF($A828="","",IFERROR(VLOOKUP($A828,StudentRegistry!$A:$D,3,FALSE),"Not found"))</f>
        <v/>
      </c>
      <c r="D828" s="77" t="str">
        <f>IF($A828="","",IFERROR(IF(VLOOKUP($A828,StudentRegistry!$A:$D,4,FALSE)="Active","Yes","Inactive"),"No"))</f>
        <v/>
      </c>
    </row>
    <row r="829" ht="15.75" customHeight="1">
      <c r="A829" s="45"/>
      <c r="C829" s="77" t="str">
        <f>IF($A829="","",IFERROR(VLOOKUP($A829,StudentRegistry!$A:$D,3,FALSE),"Not found"))</f>
        <v/>
      </c>
      <c r="D829" s="77" t="str">
        <f>IF($A829="","",IFERROR(IF(VLOOKUP($A829,StudentRegistry!$A:$D,4,FALSE)="Active","Yes","Inactive"),"No"))</f>
        <v/>
      </c>
    </row>
    <row r="830" ht="15.75" customHeight="1">
      <c r="A830" s="45"/>
      <c r="C830" s="77" t="str">
        <f>IF($A830="","",IFERROR(VLOOKUP($A830,StudentRegistry!$A:$D,3,FALSE),"Not found"))</f>
        <v/>
      </c>
      <c r="D830" s="77" t="str">
        <f>IF($A830="","",IFERROR(IF(VLOOKUP($A830,StudentRegistry!$A:$D,4,FALSE)="Active","Yes","Inactive"),"No"))</f>
        <v/>
      </c>
    </row>
    <row r="831" ht="15.75" customHeight="1">
      <c r="A831" s="45"/>
      <c r="C831" s="77" t="str">
        <f>IF($A831="","",IFERROR(VLOOKUP($A831,StudentRegistry!$A:$D,3,FALSE),"Not found"))</f>
        <v/>
      </c>
      <c r="D831" s="77" t="str">
        <f>IF($A831="","",IFERROR(IF(VLOOKUP($A831,StudentRegistry!$A:$D,4,FALSE)="Active","Yes","Inactive"),"No"))</f>
        <v/>
      </c>
    </row>
    <row r="832" ht="15.75" customHeight="1">
      <c r="A832" s="45"/>
      <c r="C832" s="77" t="str">
        <f>IF($A832="","",IFERROR(VLOOKUP($A832,StudentRegistry!$A:$D,3,FALSE),"Not found"))</f>
        <v/>
      </c>
      <c r="D832" s="77" t="str">
        <f>IF($A832="","",IFERROR(IF(VLOOKUP($A832,StudentRegistry!$A:$D,4,FALSE)="Active","Yes","Inactive"),"No"))</f>
        <v/>
      </c>
    </row>
    <row r="833" ht="15.75" customHeight="1">
      <c r="A833" s="45"/>
      <c r="C833" s="77" t="str">
        <f>IF($A833="","",IFERROR(VLOOKUP($A833,StudentRegistry!$A:$D,3,FALSE),"Not found"))</f>
        <v/>
      </c>
      <c r="D833" s="77" t="str">
        <f>IF($A833="","",IFERROR(IF(VLOOKUP($A833,StudentRegistry!$A:$D,4,FALSE)="Active","Yes","Inactive"),"No"))</f>
        <v/>
      </c>
    </row>
    <row r="834" ht="15.75" customHeight="1">
      <c r="A834" s="45"/>
      <c r="C834" s="77" t="str">
        <f>IF($A834="","",IFERROR(VLOOKUP($A834,StudentRegistry!$A:$D,3,FALSE),"Not found"))</f>
        <v/>
      </c>
      <c r="D834" s="77" t="str">
        <f>IF($A834="","",IFERROR(IF(VLOOKUP($A834,StudentRegistry!$A:$D,4,FALSE)="Active","Yes","Inactive"),"No"))</f>
        <v/>
      </c>
    </row>
    <row r="835" ht="15.75" customHeight="1">
      <c r="A835" s="45"/>
      <c r="C835" s="77" t="str">
        <f>IF($A835="","",IFERROR(VLOOKUP($A835,StudentRegistry!$A:$D,3,FALSE),"Not found"))</f>
        <v/>
      </c>
      <c r="D835" s="77" t="str">
        <f>IF($A835="","",IFERROR(IF(VLOOKUP($A835,StudentRegistry!$A:$D,4,FALSE)="Active","Yes","Inactive"),"No"))</f>
        <v/>
      </c>
    </row>
    <row r="836" ht="15.75" customHeight="1">
      <c r="A836" s="45"/>
      <c r="C836" s="77" t="str">
        <f>IF($A836="","",IFERROR(VLOOKUP($A836,StudentRegistry!$A:$D,3,FALSE),"Not found"))</f>
        <v/>
      </c>
      <c r="D836" s="77" t="str">
        <f>IF($A836="","",IFERROR(IF(VLOOKUP($A836,StudentRegistry!$A:$D,4,FALSE)="Active","Yes","Inactive"),"No"))</f>
        <v/>
      </c>
    </row>
    <row r="837" ht="15.75" customHeight="1">
      <c r="A837" s="45"/>
      <c r="C837" s="77" t="str">
        <f>IF($A837="","",IFERROR(VLOOKUP($A837,StudentRegistry!$A:$D,3,FALSE),"Not found"))</f>
        <v/>
      </c>
      <c r="D837" s="77" t="str">
        <f>IF($A837="","",IFERROR(IF(VLOOKUP($A837,StudentRegistry!$A:$D,4,FALSE)="Active","Yes","Inactive"),"No"))</f>
        <v/>
      </c>
    </row>
    <row r="838" ht="15.75" customHeight="1">
      <c r="A838" s="45"/>
      <c r="C838" s="77" t="str">
        <f>IF($A838="","",IFERROR(VLOOKUP($A838,StudentRegistry!$A:$D,3,FALSE),"Not found"))</f>
        <v/>
      </c>
      <c r="D838" s="77" t="str">
        <f>IF($A838="","",IFERROR(IF(VLOOKUP($A838,StudentRegistry!$A:$D,4,FALSE)="Active","Yes","Inactive"),"No"))</f>
        <v/>
      </c>
    </row>
    <row r="839" ht="15.75" customHeight="1">
      <c r="A839" s="45"/>
      <c r="C839" s="77" t="str">
        <f>IF($A839="","",IFERROR(VLOOKUP($A839,StudentRegistry!$A:$D,3,FALSE),"Not found"))</f>
        <v/>
      </c>
      <c r="D839" s="77" t="str">
        <f>IF($A839="","",IFERROR(IF(VLOOKUP($A839,StudentRegistry!$A:$D,4,FALSE)="Active","Yes","Inactive"),"No"))</f>
        <v/>
      </c>
    </row>
    <row r="840" ht="15.75" customHeight="1">
      <c r="A840" s="45"/>
      <c r="C840" s="77" t="str">
        <f>IF($A840="","",IFERROR(VLOOKUP($A840,StudentRegistry!$A:$D,3,FALSE),"Not found"))</f>
        <v/>
      </c>
      <c r="D840" s="77" t="str">
        <f>IF($A840="","",IFERROR(IF(VLOOKUP($A840,StudentRegistry!$A:$D,4,FALSE)="Active","Yes","Inactive"),"No"))</f>
        <v/>
      </c>
    </row>
    <row r="841" ht="15.75" customHeight="1">
      <c r="A841" s="45"/>
      <c r="C841" s="77" t="str">
        <f>IF($A841="","",IFERROR(VLOOKUP($A841,StudentRegistry!$A:$D,3,FALSE),"Not found"))</f>
        <v/>
      </c>
      <c r="D841" s="77" t="str">
        <f>IF($A841="","",IFERROR(IF(VLOOKUP($A841,StudentRegistry!$A:$D,4,FALSE)="Active","Yes","Inactive"),"No"))</f>
        <v/>
      </c>
    </row>
    <row r="842" ht="15.75" customHeight="1">
      <c r="A842" s="45"/>
      <c r="C842" s="77" t="str">
        <f>IF($A842="","",IFERROR(VLOOKUP($A842,StudentRegistry!$A:$D,3,FALSE),"Not found"))</f>
        <v/>
      </c>
      <c r="D842" s="77" t="str">
        <f>IF($A842="","",IFERROR(IF(VLOOKUP($A842,StudentRegistry!$A:$D,4,FALSE)="Active","Yes","Inactive"),"No"))</f>
        <v/>
      </c>
    </row>
    <row r="843" ht="15.75" customHeight="1">
      <c r="A843" s="45"/>
      <c r="C843" s="77" t="str">
        <f>IF($A843="","",IFERROR(VLOOKUP($A843,StudentRegistry!$A:$D,3,FALSE),"Not found"))</f>
        <v/>
      </c>
      <c r="D843" s="77" t="str">
        <f>IF($A843="","",IFERROR(IF(VLOOKUP($A843,StudentRegistry!$A:$D,4,FALSE)="Active","Yes","Inactive"),"No"))</f>
        <v/>
      </c>
    </row>
    <row r="844" ht="15.75" customHeight="1">
      <c r="A844" s="45"/>
      <c r="C844" s="77" t="str">
        <f>IF($A844="","",IFERROR(VLOOKUP($A844,StudentRegistry!$A:$D,3,FALSE),"Not found"))</f>
        <v/>
      </c>
      <c r="D844" s="77" t="str">
        <f>IF($A844="","",IFERROR(IF(VLOOKUP($A844,StudentRegistry!$A:$D,4,FALSE)="Active","Yes","Inactive"),"No"))</f>
        <v/>
      </c>
    </row>
    <row r="845" ht="15.75" customHeight="1">
      <c r="A845" s="45"/>
      <c r="C845" s="77" t="str">
        <f>IF($A845="","",IFERROR(VLOOKUP($A845,StudentRegistry!$A:$D,3,FALSE),"Not found"))</f>
        <v/>
      </c>
      <c r="D845" s="77" t="str">
        <f>IF($A845="","",IFERROR(IF(VLOOKUP($A845,StudentRegistry!$A:$D,4,FALSE)="Active","Yes","Inactive"),"No"))</f>
        <v/>
      </c>
    </row>
    <row r="846" ht="15.75" customHeight="1">
      <c r="A846" s="45"/>
      <c r="C846" s="77" t="str">
        <f>IF($A846="","",IFERROR(VLOOKUP($A846,StudentRegistry!$A:$D,3,FALSE),"Not found"))</f>
        <v/>
      </c>
      <c r="D846" s="77" t="str">
        <f>IF($A846="","",IFERROR(IF(VLOOKUP($A846,StudentRegistry!$A:$D,4,FALSE)="Active","Yes","Inactive"),"No"))</f>
        <v/>
      </c>
    </row>
    <row r="847" ht="15.75" customHeight="1">
      <c r="A847" s="45"/>
      <c r="C847" s="77" t="str">
        <f>IF($A847="","",IFERROR(VLOOKUP($A847,StudentRegistry!$A:$D,3,FALSE),"Not found"))</f>
        <v/>
      </c>
      <c r="D847" s="77" t="str">
        <f>IF($A847="","",IFERROR(IF(VLOOKUP($A847,StudentRegistry!$A:$D,4,FALSE)="Active","Yes","Inactive"),"No"))</f>
        <v/>
      </c>
    </row>
    <row r="848" ht="15.75" customHeight="1">
      <c r="A848" s="45"/>
      <c r="C848" s="77" t="str">
        <f>IF($A848="","",IFERROR(VLOOKUP($A848,StudentRegistry!$A:$D,3,FALSE),"Not found"))</f>
        <v/>
      </c>
      <c r="D848" s="77" t="str">
        <f>IF($A848="","",IFERROR(IF(VLOOKUP($A848,StudentRegistry!$A:$D,4,FALSE)="Active","Yes","Inactive"),"No"))</f>
        <v/>
      </c>
    </row>
    <row r="849" ht="15.75" customHeight="1">
      <c r="A849" s="45"/>
      <c r="C849" s="77" t="str">
        <f>IF($A849="","",IFERROR(VLOOKUP($A849,StudentRegistry!$A:$D,3,FALSE),"Not found"))</f>
        <v/>
      </c>
      <c r="D849" s="77" t="str">
        <f>IF($A849="","",IFERROR(IF(VLOOKUP($A849,StudentRegistry!$A:$D,4,FALSE)="Active","Yes","Inactive"),"No"))</f>
        <v/>
      </c>
    </row>
    <row r="850" ht="15.75" customHeight="1">
      <c r="A850" s="45"/>
      <c r="C850" s="77" t="str">
        <f>IF($A850="","",IFERROR(VLOOKUP($A850,StudentRegistry!$A:$D,3,FALSE),"Not found"))</f>
        <v/>
      </c>
      <c r="D850" s="77" t="str">
        <f>IF($A850="","",IFERROR(IF(VLOOKUP($A850,StudentRegistry!$A:$D,4,FALSE)="Active","Yes","Inactive"),"No"))</f>
        <v/>
      </c>
    </row>
    <row r="851" ht="15.75" customHeight="1">
      <c r="A851" s="45"/>
      <c r="C851" s="77" t="str">
        <f>IF($A851="","",IFERROR(VLOOKUP($A851,StudentRegistry!$A:$D,3,FALSE),"Not found"))</f>
        <v/>
      </c>
      <c r="D851" s="77" t="str">
        <f>IF($A851="","",IFERROR(IF(VLOOKUP($A851,StudentRegistry!$A:$D,4,FALSE)="Active","Yes","Inactive"),"No"))</f>
        <v/>
      </c>
    </row>
    <row r="852" ht="15.75" customHeight="1">
      <c r="A852" s="45"/>
      <c r="C852" s="77" t="str">
        <f>IF($A852="","",IFERROR(VLOOKUP($A852,StudentRegistry!$A:$D,3,FALSE),"Not found"))</f>
        <v/>
      </c>
      <c r="D852" s="77" t="str">
        <f>IF($A852="","",IFERROR(IF(VLOOKUP($A852,StudentRegistry!$A:$D,4,FALSE)="Active","Yes","Inactive"),"No"))</f>
        <v/>
      </c>
    </row>
    <row r="853" ht="15.75" customHeight="1">
      <c r="A853" s="45"/>
      <c r="C853" s="77" t="str">
        <f>IF($A853="","",IFERROR(VLOOKUP($A853,StudentRegistry!$A:$D,3,FALSE),"Not found"))</f>
        <v/>
      </c>
      <c r="D853" s="77" t="str">
        <f>IF($A853="","",IFERROR(IF(VLOOKUP($A853,StudentRegistry!$A:$D,4,FALSE)="Active","Yes","Inactive"),"No"))</f>
        <v/>
      </c>
    </row>
    <row r="854" ht="15.75" customHeight="1">
      <c r="A854" s="45"/>
      <c r="C854" s="77" t="str">
        <f>IF($A854="","",IFERROR(VLOOKUP($A854,StudentRegistry!$A:$D,3,FALSE),"Not found"))</f>
        <v/>
      </c>
      <c r="D854" s="77" t="str">
        <f>IF($A854="","",IFERROR(IF(VLOOKUP($A854,StudentRegistry!$A:$D,4,FALSE)="Active","Yes","Inactive"),"No"))</f>
        <v/>
      </c>
    </row>
    <row r="855" ht="15.75" customHeight="1">
      <c r="A855" s="45"/>
      <c r="C855" s="77" t="str">
        <f>IF($A855="","",IFERROR(VLOOKUP($A855,StudentRegistry!$A:$D,3,FALSE),"Not found"))</f>
        <v/>
      </c>
      <c r="D855" s="77" t="str">
        <f>IF($A855="","",IFERROR(IF(VLOOKUP($A855,StudentRegistry!$A:$D,4,FALSE)="Active","Yes","Inactive"),"No"))</f>
        <v/>
      </c>
    </row>
    <row r="856" ht="15.75" customHeight="1">
      <c r="A856" s="45"/>
      <c r="C856" s="77" t="str">
        <f>IF($A856="","",IFERROR(VLOOKUP($A856,StudentRegistry!$A:$D,3,FALSE),"Not found"))</f>
        <v/>
      </c>
      <c r="D856" s="77" t="str">
        <f>IF($A856="","",IFERROR(IF(VLOOKUP($A856,StudentRegistry!$A:$D,4,FALSE)="Active","Yes","Inactive"),"No"))</f>
        <v/>
      </c>
    </row>
    <row r="857" ht="15.75" customHeight="1">
      <c r="A857" s="45"/>
      <c r="C857" s="77" t="str">
        <f>IF($A857="","",IFERROR(VLOOKUP($A857,StudentRegistry!$A:$D,3,FALSE),"Not found"))</f>
        <v/>
      </c>
      <c r="D857" s="77" t="str">
        <f>IF($A857="","",IFERROR(IF(VLOOKUP($A857,StudentRegistry!$A:$D,4,FALSE)="Active","Yes","Inactive"),"No"))</f>
        <v/>
      </c>
    </row>
    <row r="858" ht="15.75" customHeight="1">
      <c r="A858" s="45"/>
      <c r="C858" s="77" t="str">
        <f>IF($A858="","",IFERROR(VLOOKUP($A858,StudentRegistry!$A:$D,3,FALSE),"Not found"))</f>
        <v/>
      </c>
      <c r="D858" s="77" t="str">
        <f>IF($A858="","",IFERROR(IF(VLOOKUP($A858,StudentRegistry!$A:$D,4,FALSE)="Active","Yes","Inactive"),"No"))</f>
        <v/>
      </c>
    </row>
    <row r="859" ht="15.75" customHeight="1">
      <c r="A859" s="45"/>
      <c r="C859" s="77" t="str">
        <f>IF($A859="","",IFERROR(VLOOKUP($A859,StudentRegistry!$A:$D,3,FALSE),"Not found"))</f>
        <v/>
      </c>
      <c r="D859" s="77" t="str">
        <f>IF($A859="","",IFERROR(IF(VLOOKUP($A859,StudentRegistry!$A:$D,4,FALSE)="Active","Yes","Inactive"),"No"))</f>
        <v/>
      </c>
    </row>
    <row r="860" ht="15.75" customHeight="1">
      <c r="A860" s="45"/>
      <c r="C860" s="77" t="str">
        <f>IF($A860="","",IFERROR(VLOOKUP($A860,StudentRegistry!$A:$D,3,FALSE),"Not found"))</f>
        <v/>
      </c>
      <c r="D860" s="77" t="str">
        <f>IF($A860="","",IFERROR(IF(VLOOKUP($A860,StudentRegistry!$A:$D,4,FALSE)="Active","Yes","Inactive"),"No"))</f>
        <v/>
      </c>
    </row>
    <row r="861" ht="15.75" customHeight="1">
      <c r="A861" s="45"/>
      <c r="C861" s="77" t="str">
        <f>IF($A861="","",IFERROR(VLOOKUP($A861,StudentRegistry!$A:$D,3,FALSE),"Not found"))</f>
        <v/>
      </c>
      <c r="D861" s="77" t="str">
        <f>IF($A861="","",IFERROR(IF(VLOOKUP($A861,StudentRegistry!$A:$D,4,FALSE)="Active","Yes","Inactive"),"No"))</f>
        <v/>
      </c>
    </row>
    <row r="862" ht="15.75" customHeight="1">
      <c r="A862" s="45"/>
      <c r="C862" s="77" t="str">
        <f>IF($A862="","",IFERROR(VLOOKUP($A862,StudentRegistry!$A:$D,3,FALSE),"Not found"))</f>
        <v/>
      </c>
      <c r="D862" s="77" t="str">
        <f>IF($A862="","",IFERROR(IF(VLOOKUP($A862,StudentRegistry!$A:$D,4,FALSE)="Active","Yes","Inactive"),"No"))</f>
        <v/>
      </c>
    </row>
    <row r="863" ht="15.75" customHeight="1">
      <c r="A863" s="45"/>
      <c r="C863" s="77" t="str">
        <f>IF($A863="","",IFERROR(VLOOKUP($A863,StudentRegistry!$A:$D,3,FALSE),"Not found"))</f>
        <v/>
      </c>
      <c r="D863" s="77" t="str">
        <f>IF($A863="","",IFERROR(IF(VLOOKUP($A863,StudentRegistry!$A:$D,4,FALSE)="Active","Yes","Inactive"),"No"))</f>
        <v/>
      </c>
    </row>
    <row r="864" ht="15.75" customHeight="1">
      <c r="A864" s="45"/>
      <c r="C864" s="77" t="str">
        <f>IF($A864="","",IFERROR(VLOOKUP($A864,StudentRegistry!$A:$D,3,FALSE),"Not found"))</f>
        <v/>
      </c>
      <c r="D864" s="77" t="str">
        <f>IF($A864="","",IFERROR(IF(VLOOKUP($A864,StudentRegistry!$A:$D,4,FALSE)="Active","Yes","Inactive"),"No"))</f>
        <v/>
      </c>
    </row>
    <row r="865" ht="15.75" customHeight="1">
      <c r="A865" s="45"/>
      <c r="C865" s="77" t="str">
        <f>IF($A865="","",IFERROR(VLOOKUP($A865,StudentRegistry!$A:$D,3,FALSE),"Not found"))</f>
        <v/>
      </c>
      <c r="D865" s="77" t="str">
        <f>IF($A865="","",IFERROR(IF(VLOOKUP($A865,StudentRegistry!$A:$D,4,FALSE)="Active","Yes","Inactive"),"No"))</f>
        <v/>
      </c>
    </row>
    <row r="866" ht="15.75" customHeight="1">
      <c r="A866" s="45"/>
      <c r="C866" s="77" t="str">
        <f>IF($A866="","",IFERROR(VLOOKUP($A866,StudentRegistry!$A:$D,3,FALSE),"Not found"))</f>
        <v/>
      </c>
      <c r="D866" s="77" t="str">
        <f>IF($A866="","",IFERROR(IF(VLOOKUP($A866,StudentRegistry!$A:$D,4,FALSE)="Active","Yes","Inactive"),"No"))</f>
        <v/>
      </c>
    </row>
    <row r="867" ht="15.75" customHeight="1">
      <c r="A867" s="45"/>
      <c r="C867" s="77" t="str">
        <f>IF($A867="","",IFERROR(VLOOKUP($A867,StudentRegistry!$A:$D,3,FALSE),"Not found"))</f>
        <v/>
      </c>
      <c r="D867" s="77" t="str">
        <f>IF($A867="","",IFERROR(IF(VLOOKUP($A867,StudentRegistry!$A:$D,4,FALSE)="Active","Yes","Inactive"),"No"))</f>
        <v/>
      </c>
    </row>
    <row r="868" ht="15.75" customHeight="1">
      <c r="A868" s="45"/>
      <c r="C868" s="77" t="str">
        <f>IF($A868="","",IFERROR(VLOOKUP($A868,StudentRegistry!$A:$D,3,FALSE),"Not found"))</f>
        <v/>
      </c>
      <c r="D868" s="77" t="str">
        <f>IF($A868="","",IFERROR(IF(VLOOKUP($A868,StudentRegistry!$A:$D,4,FALSE)="Active","Yes","Inactive"),"No"))</f>
        <v/>
      </c>
    </row>
    <row r="869" ht="15.75" customHeight="1">
      <c r="A869" s="45"/>
      <c r="C869" s="77" t="str">
        <f>IF($A869="","",IFERROR(VLOOKUP($A869,StudentRegistry!$A:$D,3,FALSE),"Not found"))</f>
        <v/>
      </c>
      <c r="D869" s="77" t="str">
        <f>IF($A869="","",IFERROR(IF(VLOOKUP($A869,StudentRegistry!$A:$D,4,FALSE)="Active","Yes","Inactive"),"No"))</f>
        <v/>
      </c>
    </row>
    <row r="870" ht="15.75" customHeight="1">
      <c r="A870" s="45"/>
      <c r="C870" s="77" t="str">
        <f>IF($A870="","",IFERROR(VLOOKUP($A870,StudentRegistry!$A:$D,3,FALSE),"Not found"))</f>
        <v/>
      </c>
      <c r="D870" s="77" t="str">
        <f>IF($A870="","",IFERROR(IF(VLOOKUP($A870,StudentRegistry!$A:$D,4,FALSE)="Active","Yes","Inactive"),"No"))</f>
        <v/>
      </c>
    </row>
    <row r="871" ht="15.75" customHeight="1">
      <c r="A871" s="45"/>
      <c r="C871" s="77" t="str">
        <f>IF($A871="","",IFERROR(VLOOKUP($A871,StudentRegistry!$A:$D,3,FALSE),"Not found"))</f>
        <v/>
      </c>
      <c r="D871" s="77" t="str">
        <f>IF($A871="","",IFERROR(IF(VLOOKUP($A871,StudentRegistry!$A:$D,4,FALSE)="Active","Yes","Inactive"),"No"))</f>
        <v/>
      </c>
    </row>
    <row r="872" ht="15.75" customHeight="1">
      <c r="A872" s="45"/>
      <c r="C872" s="77" t="str">
        <f>IF($A872="","",IFERROR(VLOOKUP($A872,StudentRegistry!$A:$D,3,FALSE),"Not found"))</f>
        <v/>
      </c>
      <c r="D872" s="77" t="str">
        <f>IF($A872="","",IFERROR(IF(VLOOKUP($A872,StudentRegistry!$A:$D,4,FALSE)="Active","Yes","Inactive"),"No"))</f>
        <v/>
      </c>
    </row>
    <row r="873" ht="15.75" customHeight="1">
      <c r="A873" s="45"/>
      <c r="C873" s="77" t="str">
        <f>IF($A873="","",IFERROR(VLOOKUP($A873,StudentRegistry!$A:$D,3,FALSE),"Not found"))</f>
        <v/>
      </c>
      <c r="D873" s="77" t="str">
        <f>IF($A873="","",IFERROR(IF(VLOOKUP($A873,StudentRegistry!$A:$D,4,FALSE)="Active","Yes","Inactive"),"No"))</f>
        <v/>
      </c>
    </row>
    <row r="874" ht="15.75" customHeight="1">
      <c r="A874" s="45"/>
      <c r="C874" s="77" t="str">
        <f>IF($A874="","",IFERROR(VLOOKUP($A874,StudentRegistry!$A:$D,3,FALSE),"Not found"))</f>
        <v/>
      </c>
      <c r="D874" s="77" t="str">
        <f>IF($A874="","",IFERROR(IF(VLOOKUP($A874,StudentRegistry!$A:$D,4,FALSE)="Active","Yes","Inactive"),"No"))</f>
        <v/>
      </c>
    </row>
    <row r="875" ht="15.75" customHeight="1">
      <c r="A875" s="45"/>
      <c r="C875" s="77" t="str">
        <f>IF($A875="","",IFERROR(VLOOKUP($A875,StudentRegistry!$A:$D,3,FALSE),"Not found"))</f>
        <v/>
      </c>
      <c r="D875" s="77" t="str">
        <f>IF($A875="","",IFERROR(IF(VLOOKUP($A875,StudentRegistry!$A:$D,4,FALSE)="Active","Yes","Inactive"),"No"))</f>
        <v/>
      </c>
    </row>
    <row r="876" ht="15.75" customHeight="1">
      <c r="A876" s="45"/>
      <c r="C876" s="77" t="str">
        <f>IF($A876="","",IFERROR(VLOOKUP($A876,StudentRegistry!$A:$D,3,FALSE),"Not found"))</f>
        <v/>
      </c>
      <c r="D876" s="77" t="str">
        <f>IF($A876="","",IFERROR(IF(VLOOKUP($A876,StudentRegistry!$A:$D,4,FALSE)="Active","Yes","Inactive"),"No"))</f>
        <v/>
      </c>
    </row>
    <row r="877" ht="15.75" customHeight="1">
      <c r="A877" s="45"/>
      <c r="C877" s="77" t="str">
        <f>IF($A877="","",IFERROR(VLOOKUP($A877,StudentRegistry!$A:$D,3,FALSE),"Not found"))</f>
        <v/>
      </c>
      <c r="D877" s="77" t="str">
        <f>IF($A877="","",IFERROR(IF(VLOOKUP($A877,StudentRegistry!$A:$D,4,FALSE)="Active","Yes","Inactive"),"No"))</f>
        <v/>
      </c>
    </row>
    <row r="878" ht="15.75" customHeight="1">
      <c r="A878" s="45"/>
      <c r="C878" s="77" t="str">
        <f>IF($A878="","",IFERROR(VLOOKUP($A878,StudentRegistry!$A:$D,3,FALSE),"Not found"))</f>
        <v/>
      </c>
      <c r="D878" s="77" t="str">
        <f>IF($A878="","",IFERROR(IF(VLOOKUP($A878,StudentRegistry!$A:$D,4,FALSE)="Active","Yes","Inactive"),"No"))</f>
        <v/>
      </c>
    </row>
    <row r="879" ht="15.75" customHeight="1">
      <c r="A879" s="45"/>
      <c r="C879" s="77" t="str">
        <f>IF($A879="","",IFERROR(VLOOKUP($A879,StudentRegistry!$A:$D,3,FALSE),"Not found"))</f>
        <v/>
      </c>
      <c r="D879" s="77" t="str">
        <f>IF($A879="","",IFERROR(IF(VLOOKUP($A879,StudentRegistry!$A:$D,4,FALSE)="Active","Yes","Inactive"),"No"))</f>
        <v/>
      </c>
    </row>
    <row r="880" ht="15.75" customHeight="1">
      <c r="A880" s="45"/>
      <c r="C880" s="77" t="str">
        <f>IF($A880="","",IFERROR(VLOOKUP($A880,StudentRegistry!$A:$D,3,FALSE),"Not found"))</f>
        <v/>
      </c>
      <c r="D880" s="77" t="str">
        <f>IF($A880="","",IFERROR(IF(VLOOKUP($A880,StudentRegistry!$A:$D,4,FALSE)="Active","Yes","Inactive"),"No"))</f>
        <v/>
      </c>
    </row>
    <row r="881" ht="15.75" customHeight="1">
      <c r="A881" s="45"/>
      <c r="C881" s="77" t="str">
        <f>IF($A881="","",IFERROR(VLOOKUP($A881,StudentRegistry!$A:$D,3,FALSE),"Not found"))</f>
        <v/>
      </c>
      <c r="D881" s="77" t="str">
        <f>IF($A881="","",IFERROR(IF(VLOOKUP($A881,StudentRegistry!$A:$D,4,FALSE)="Active","Yes","Inactive"),"No"))</f>
        <v/>
      </c>
    </row>
    <row r="882" ht="15.75" customHeight="1">
      <c r="A882" s="45"/>
      <c r="C882" s="77" t="str">
        <f>IF($A882="","",IFERROR(VLOOKUP($A882,StudentRegistry!$A:$D,3,FALSE),"Not found"))</f>
        <v/>
      </c>
      <c r="D882" s="77" t="str">
        <f>IF($A882="","",IFERROR(IF(VLOOKUP($A882,StudentRegistry!$A:$D,4,FALSE)="Active","Yes","Inactive"),"No"))</f>
        <v/>
      </c>
    </row>
    <row r="883" ht="15.75" customHeight="1">
      <c r="A883" s="45"/>
      <c r="C883" s="77" t="str">
        <f>IF($A883="","",IFERROR(VLOOKUP($A883,StudentRegistry!$A:$D,3,FALSE),"Not found"))</f>
        <v/>
      </c>
      <c r="D883" s="77" t="str">
        <f>IF($A883="","",IFERROR(IF(VLOOKUP($A883,StudentRegistry!$A:$D,4,FALSE)="Active","Yes","Inactive"),"No"))</f>
        <v/>
      </c>
    </row>
    <row r="884" ht="15.75" customHeight="1">
      <c r="A884" s="45"/>
      <c r="C884" s="77" t="str">
        <f>IF($A884="","",IFERROR(VLOOKUP($A884,StudentRegistry!$A:$D,3,FALSE),"Not found"))</f>
        <v/>
      </c>
      <c r="D884" s="77" t="str">
        <f>IF($A884="","",IFERROR(IF(VLOOKUP($A884,StudentRegistry!$A:$D,4,FALSE)="Active","Yes","Inactive"),"No"))</f>
        <v/>
      </c>
    </row>
    <row r="885" ht="15.75" customHeight="1">
      <c r="A885" s="45"/>
      <c r="C885" s="77" t="str">
        <f>IF($A885="","",IFERROR(VLOOKUP($A885,StudentRegistry!$A:$D,3,FALSE),"Not found"))</f>
        <v/>
      </c>
      <c r="D885" s="77" t="str">
        <f>IF($A885="","",IFERROR(IF(VLOOKUP($A885,StudentRegistry!$A:$D,4,FALSE)="Active","Yes","Inactive"),"No"))</f>
        <v/>
      </c>
    </row>
    <row r="886" ht="15.75" customHeight="1">
      <c r="A886" s="45"/>
      <c r="C886" s="77" t="str">
        <f>IF($A886="","",IFERROR(VLOOKUP($A886,StudentRegistry!$A:$D,3,FALSE),"Not found"))</f>
        <v/>
      </c>
      <c r="D886" s="77" t="str">
        <f>IF($A886="","",IFERROR(IF(VLOOKUP($A886,StudentRegistry!$A:$D,4,FALSE)="Active","Yes","Inactive"),"No"))</f>
        <v/>
      </c>
    </row>
    <row r="887" ht="15.75" customHeight="1">
      <c r="A887" s="45"/>
      <c r="C887" s="77" t="str">
        <f>IF($A887="","",IFERROR(VLOOKUP($A887,StudentRegistry!$A:$D,3,FALSE),"Not found"))</f>
        <v/>
      </c>
      <c r="D887" s="77" t="str">
        <f>IF($A887="","",IFERROR(IF(VLOOKUP($A887,StudentRegistry!$A:$D,4,FALSE)="Active","Yes","Inactive"),"No"))</f>
        <v/>
      </c>
    </row>
    <row r="888" ht="15.75" customHeight="1">
      <c r="A888" s="45"/>
      <c r="C888" s="77" t="str">
        <f>IF($A888="","",IFERROR(VLOOKUP($A888,StudentRegistry!$A:$D,3,FALSE),"Not found"))</f>
        <v/>
      </c>
      <c r="D888" s="77" t="str">
        <f>IF($A888="","",IFERROR(IF(VLOOKUP($A888,StudentRegistry!$A:$D,4,FALSE)="Active","Yes","Inactive"),"No"))</f>
        <v/>
      </c>
    </row>
    <row r="889" ht="15.75" customHeight="1">
      <c r="A889" s="45"/>
      <c r="C889" s="77" t="str">
        <f>IF($A889="","",IFERROR(VLOOKUP($A889,StudentRegistry!$A:$D,3,FALSE),"Not found"))</f>
        <v/>
      </c>
      <c r="D889" s="77" t="str">
        <f>IF($A889="","",IFERROR(IF(VLOOKUP($A889,StudentRegistry!$A:$D,4,FALSE)="Active","Yes","Inactive"),"No"))</f>
        <v/>
      </c>
    </row>
    <row r="890" ht="15.75" customHeight="1">
      <c r="A890" s="45"/>
      <c r="C890" s="77" t="str">
        <f>IF($A890="","",IFERROR(VLOOKUP($A890,StudentRegistry!$A:$D,3,FALSE),"Not found"))</f>
        <v/>
      </c>
      <c r="D890" s="77" t="str">
        <f>IF($A890="","",IFERROR(IF(VLOOKUP($A890,StudentRegistry!$A:$D,4,FALSE)="Active","Yes","Inactive"),"No"))</f>
        <v/>
      </c>
    </row>
    <row r="891" ht="15.75" customHeight="1">
      <c r="A891" s="45"/>
      <c r="C891" s="77" t="str">
        <f>IF($A891="","",IFERROR(VLOOKUP($A891,StudentRegistry!$A:$D,3,FALSE),"Not found"))</f>
        <v/>
      </c>
      <c r="D891" s="77" t="str">
        <f>IF($A891="","",IFERROR(IF(VLOOKUP($A891,StudentRegistry!$A:$D,4,FALSE)="Active","Yes","Inactive"),"No"))</f>
        <v/>
      </c>
    </row>
    <row r="892" ht="15.75" customHeight="1">
      <c r="A892" s="45"/>
      <c r="C892" s="77" t="str">
        <f>IF($A892="","",IFERROR(VLOOKUP($A892,StudentRegistry!$A:$D,3,FALSE),"Not found"))</f>
        <v/>
      </c>
      <c r="D892" s="77" t="str">
        <f>IF($A892="","",IFERROR(IF(VLOOKUP($A892,StudentRegistry!$A:$D,4,FALSE)="Active","Yes","Inactive"),"No"))</f>
        <v/>
      </c>
    </row>
    <row r="893" ht="15.75" customHeight="1">
      <c r="A893" s="45"/>
      <c r="C893" s="77" t="str">
        <f>IF($A893="","",IFERROR(VLOOKUP($A893,StudentRegistry!$A:$D,3,FALSE),"Not found"))</f>
        <v/>
      </c>
      <c r="D893" s="77" t="str">
        <f>IF($A893="","",IFERROR(IF(VLOOKUP($A893,StudentRegistry!$A:$D,4,FALSE)="Active","Yes","Inactive"),"No"))</f>
        <v/>
      </c>
    </row>
    <row r="894" ht="15.75" customHeight="1">
      <c r="A894" s="45"/>
      <c r="C894" s="77" t="str">
        <f>IF($A894="","",IFERROR(VLOOKUP($A894,StudentRegistry!$A:$D,3,FALSE),"Not found"))</f>
        <v/>
      </c>
      <c r="D894" s="77" t="str">
        <f>IF($A894="","",IFERROR(IF(VLOOKUP($A894,StudentRegistry!$A:$D,4,FALSE)="Active","Yes","Inactive"),"No"))</f>
        <v/>
      </c>
    </row>
    <row r="895" ht="15.75" customHeight="1">
      <c r="A895" s="45"/>
      <c r="C895" s="77" t="str">
        <f>IF($A895="","",IFERROR(VLOOKUP($A895,StudentRegistry!$A:$D,3,FALSE),"Not found"))</f>
        <v/>
      </c>
      <c r="D895" s="77" t="str">
        <f>IF($A895="","",IFERROR(IF(VLOOKUP($A895,StudentRegistry!$A:$D,4,FALSE)="Active","Yes","Inactive"),"No"))</f>
        <v/>
      </c>
    </row>
    <row r="896" ht="15.75" customHeight="1">
      <c r="A896" s="45"/>
      <c r="C896" s="77" t="str">
        <f>IF($A896="","",IFERROR(VLOOKUP($A896,StudentRegistry!$A:$D,3,FALSE),"Not found"))</f>
        <v/>
      </c>
      <c r="D896" s="77" t="str">
        <f>IF($A896="","",IFERROR(IF(VLOOKUP($A896,StudentRegistry!$A:$D,4,FALSE)="Active","Yes","Inactive"),"No"))</f>
        <v/>
      </c>
    </row>
    <row r="897" ht="15.75" customHeight="1">
      <c r="A897" s="45"/>
      <c r="C897" s="77" t="str">
        <f>IF($A897="","",IFERROR(VLOOKUP($A897,StudentRegistry!$A:$D,3,FALSE),"Not found"))</f>
        <v/>
      </c>
      <c r="D897" s="77" t="str">
        <f>IF($A897="","",IFERROR(IF(VLOOKUP($A897,StudentRegistry!$A:$D,4,FALSE)="Active","Yes","Inactive"),"No"))</f>
        <v/>
      </c>
    </row>
    <row r="898" ht="15.75" customHeight="1">
      <c r="A898" s="45"/>
      <c r="C898" s="77" t="str">
        <f>IF($A898="","",IFERROR(VLOOKUP($A898,StudentRegistry!$A:$D,3,FALSE),"Not found"))</f>
        <v/>
      </c>
      <c r="D898" s="77" t="str">
        <f>IF($A898="","",IFERROR(IF(VLOOKUP($A898,StudentRegistry!$A:$D,4,FALSE)="Active","Yes","Inactive"),"No"))</f>
        <v/>
      </c>
    </row>
    <row r="899" ht="15.75" customHeight="1">
      <c r="A899" s="45"/>
      <c r="C899" s="77" t="str">
        <f>IF($A899="","",IFERROR(VLOOKUP($A899,StudentRegistry!$A:$D,3,FALSE),"Not found"))</f>
        <v/>
      </c>
      <c r="D899" s="77" t="str">
        <f>IF($A899="","",IFERROR(IF(VLOOKUP($A899,StudentRegistry!$A:$D,4,FALSE)="Active","Yes","Inactive"),"No"))</f>
        <v/>
      </c>
    </row>
    <row r="900" ht="15.75" customHeight="1">
      <c r="A900" s="45"/>
      <c r="C900" s="77" t="str">
        <f>IF($A900="","",IFERROR(VLOOKUP($A900,StudentRegistry!$A:$D,3,FALSE),"Not found"))</f>
        <v/>
      </c>
      <c r="D900" s="77" t="str">
        <f>IF($A900="","",IFERROR(IF(VLOOKUP($A900,StudentRegistry!$A:$D,4,FALSE)="Active","Yes","Inactive"),"No"))</f>
        <v/>
      </c>
    </row>
    <row r="901" ht="15.75" customHeight="1">
      <c r="A901" s="45"/>
      <c r="C901" s="77" t="str">
        <f>IF($A901="","",IFERROR(VLOOKUP($A901,StudentRegistry!$A:$D,3,FALSE),"Not found"))</f>
        <v/>
      </c>
      <c r="D901" s="77" t="str">
        <f>IF($A901="","",IFERROR(IF(VLOOKUP($A901,StudentRegistry!$A:$D,4,FALSE)="Active","Yes","Inactive"),"No"))</f>
        <v/>
      </c>
    </row>
    <row r="902" ht="15.75" customHeight="1">
      <c r="A902" s="45"/>
      <c r="C902" s="77" t="str">
        <f>IF($A902="","",IFERROR(VLOOKUP($A902,StudentRegistry!$A:$D,3,FALSE),"Not found"))</f>
        <v/>
      </c>
      <c r="D902" s="77" t="str">
        <f>IF($A902="","",IFERROR(IF(VLOOKUP($A902,StudentRegistry!$A:$D,4,FALSE)="Active","Yes","Inactive"),"No"))</f>
        <v/>
      </c>
    </row>
    <row r="903" ht="15.75" customHeight="1">
      <c r="A903" s="45"/>
      <c r="C903" s="77" t="str">
        <f>IF($A903="","",IFERROR(VLOOKUP($A903,StudentRegistry!$A:$D,3,FALSE),"Not found"))</f>
        <v/>
      </c>
      <c r="D903" s="77" t="str">
        <f>IF($A903="","",IFERROR(IF(VLOOKUP($A903,StudentRegistry!$A:$D,4,FALSE)="Active","Yes","Inactive"),"No"))</f>
        <v/>
      </c>
    </row>
    <row r="904" ht="15.75" customHeight="1">
      <c r="A904" s="45"/>
      <c r="C904" s="77" t="str">
        <f>IF($A904="","",IFERROR(VLOOKUP($A904,StudentRegistry!$A:$D,3,FALSE),"Not found"))</f>
        <v/>
      </c>
      <c r="D904" s="77" t="str">
        <f>IF($A904="","",IFERROR(IF(VLOOKUP($A904,StudentRegistry!$A:$D,4,FALSE)="Active","Yes","Inactive"),"No"))</f>
        <v/>
      </c>
    </row>
    <row r="905" ht="15.75" customHeight="1">
      <c r="A905" s="45"/>
      <c r="C905" s="77" t="str">
        <f>IF($A905="","",IFERROR(VLOOKUP($A905,StudentRegistry!$A:$D,3,FALSE),"Not found"))</f>
        <v/>
      </c>
      <c r="D905" s="77" t="str">
        <f>IF($A905="","",IFERROR(IF(VLOOKUP($A905,StudentRegistry!$A:$D,4,FALSE)="Active","Yes","Inactive"),"No"))</f>
        <v/>
      </c>
    </row>
    <row r="906" ht="15.75" customHeight="1">
      <c r="A906" s="45"/>
      <c r="C906" s="77" t="str">
        <f>IF($A906="","",IFERROR(VLOOKUP($A906,StudentRegistry!$A:$D,3,FALSE),"Not found"))</f>
        <v/>
      </c>
      <c r="D906" s="77" t="str">
        <f>IF($A906="","",IFERROR(IF(VLOOKUP($A906,StudentRegistry!$A:$D,4,FALSE)="Active","Yes","Inactive"),"No"))</f>
        <v/>
      </c>
    </row>
    <row r="907" ht="15.75" customHeight="1">
      <c r="A907" s="45"/>
      <c r="C907" s="77" t="str">
        <f>IF($A907="","",IFERROR(VLOOKUP($A907,StudentRegistry!$A:$D,3,FALSE),"Not found"))</f>
        <v/>
      </c>
      <c r="D907" s="77" t="str">
        <f>IF($A907="","",IFERROR(IF(VLOOKUP($A907,StudentRegistry!$A:$D,4,FALSE)="Active","Yes","Inactive"),"No"))</f>
        <v/>
      </c>
    </row>
    <row r="908" ht="15.75" customHeight="1">
      <c r="A908" s="45"/>
      <c r="C908" s="77" t="str">
        <f>IF($A908="","",IFERROR(VLOOKUP($A908,StudentRegistry!$A:$D,3,FALSE),"Not found"))</f>
        <v/>
      </c>
      <c r="D908" s="77" t="str">
        <f>IF($A908="","",IFERROR(IF(VLOOKUP($A908,StudentRegistry!$A:$D,4,FALSE)="Active","Yes","Inactive"),"No"))</f>
        <v/>
      </c>
    </row>
    <row r="909" ht="15.75" customHeight="1">
      <c r="A909" s="45"/>
      <c r="C909" s="77" t="str">
        <f>IF($A909="","",IFERROR(VLOOKUP($A909,StudentRegistry!$A:$D,3,FALSE),"Not found"))</f>
        <v/>
      </c>
      <c r="D909" s="77" t="str">
        <f>IF($A909="","",IFERROR(IF(VLOOKUP($A909,StudentRegistry!$A:$D,4,FALSE)="Active","Yes","Inactive"),"No"))</f>
        <v/>
      </c>
    </row>
    <row r="910" ht="15.75" customHeight="1">
      <c r="A910" s="45"/>
      <c r="C910" s="77" t="str">
        <f>IF($A910="","",IFERROR(VLOOKUP($A910,StudentRegistry!$A:$D,3,FALSE),"Not found"))</f>
        <v/>
      </c>
      <c r="D910" s="77" t="str">
        <f>IF($A910="","",IFERROR(IF(VLOOKUP($A910,StudentRegistry!$A:$D,4,FALSE)="Active","Yes","Inactive"),"No"))</f>
        <v/>
      </c>
    </row>
    <row r="911" ht="15.75" customHeight="1">
      <c r="A911" s="45"/>
      <c r="C911" s="77" t="str">
        <f>IF($A911="","",IFERROR(VLOOKUP($A911,StudentRegistry!$A:$D,3,FALSE),"Not found"))</f>
        <v/>
      </c>
      <c r="D911" s="77" t="str">
        <f>IF($A911="","",IFERROR(IF(VLOOKUP($A911,StudentRegistry!$A:$D,4,FALSE)="Active","Yes","Inactive"),"No"))</f>
        <v/>
      </c>
    </row>
    <row r="912" ht="15.75" customHeight="1">
      <c r="A912" s="45"/>
      <c r="C912" s="77" t="str">
        <f>IF($A912="","",IFERROR(VLOOKUP($A912,StudentRegistry!$A:$D,3,FALSE),"Not found"))</f>
        <v/>
      </c>
      <c r="D912" s="77" t="str">
        <f>IF($A912="","",IFERROR(IF(VLOOKUP($A912,StudentRegistry!$A:$D,4,FALSE)="Active","Yes","Inactive"),"No"))</f>
        <v/>
      </c>
    </row>
    <row r="913" ht="15.75" customHeight="1">
      <c r="A913" s="45"/>
      <c r="C913" s="77" t="str">
        <f>IF($A913="","",IFERROR(VLOOKUP($A913,StudentRegistry!$A:$D,3,FALSE),"Not found"))</f>
        <v/>
      </c>
      <c r="D913" s="77" t="str">
        <f>IF($A913="","",IFERROR(IF(VLOOKUP($A913,StudentRegistry!$A:$D,4,FALSE)="Active","Yes","Inactive"),"No"))</f>
        <v/>
      </c>
    </row>
    <row r="914" ht="15.75" customHeight="1">
      <c r="A914" s="45"/>
      <c r="C914" s="77" t="str">
        <f>IF($A914="","",IFERROR(VLOOKUP($A914,StudentRegistry!$A:$D,3,FALSE),"Not found"))</f>
        <v/>
      </c>
      <c r="D914" s="77" t="str">
        <f>IF($A914="","",IFERROR(IF(VLOOKUP($A914,StudentRegistry!$A:$D,4,FALSE)="Active","Yes","Inactive"),"No"))</f>
        <v/>
      </c>
    </row>
    <row r="915" ht="15.75" customHeight="1">
      <c r="A915" s="45"/>
      <c r="C915" s="77" t="str">
        <f>IF($A915="","",IFERROR(VLOOKUP($A915,StudentRegistry!$A:$D,3,FALSE),"Not found"))</f>
        <v/>
      </c>
      <c r="D915" s="77" t="str">
        <f>IF($A915="","",IFERROR(IF(VLOOKUP($A915,StudentRegistry!$A:$D,4,FALSE)="Active","Yes","Inactive"),"No"))</f>
        <v/>
      </c>
    </row>
    <row r="916" ht="15.75" customHeight="1">
      <c r="A916" s="45"/>
      <c r="C916" s="77" t="str">
        <f>IF($A916="","",IFERROR(VLOOKUP($A916,StudentRegistry!$A:$D,3,FALSE),"Not found"))</f>
        <v/>
      </c>
      <c r="D916" s="77" t="str">
        <f>IF($A916="","",IFERROR(IF(VLOOKUP($A916,StudentRegistry!$A:$D,4,FALSE)="Active","Yes","Inactive"),"No"))</f>
        <v/>
      </c>
    </row>
    <row r="917" ht="15.75" customHeight="1">
      <c r="A917" s="45"/>
      <c r="C917" s="77" t="str">
        <f>IF($A917="","",IFERROR(VLOOKUP($A917,StudentRegistry!$A:$D,3,FALSE),"Not found"))</f>
        <v/>
      </c>
      <c r="D917" s="77" t="str">
        <f>IF($A917="","",IFERROR(IF(VLOOKUP($A917,StudentRegistry!$A:$D,4,FALSE)="Active","Yes","Inactive"),"No"))</f>
        <v/>
      </c>
    </row>
    <row r="918" ht="15.75" customHeight="1">
      <c r="A918" s="45"/>
      <c r="C918" s="77" t="str">
        <f>IF($A918="","",IFERROR(VLOOKUP($A918,StudentRegistry!$A:$D,3,FALSE),"Not found"))</f>
        <v/>
      </c>
      <c r="D918" s="77" t="str">
        <f>IF($A918="","",IFERROR(IF(VLOOKUP($A918,StudentRegistry!$A:$D,4,FALSE)="Active","Yes","Inactive"),"No"))</f>
        <v/>
      </c>
    </row>
    <row r="919" ht="15.75" customHeight="1">
      <c r="A919" s="45"/>
      <c r="C919" s="77" t="str">
        <f>IF($A919="","",IFERROR(VLOOKUP($A919,StudentRegistry!$A:$D,3,FALSE),"Not found"))</f>
        <v/>
      </c>
      <c r="D919" s="77" t="str">
        <f>IF($A919="","",IFERROR(IF(VLOOKUP($A919,StudentRegistry!$A:$D,4,FALSE)="Active","Yes","Inactive"),"No"))</f>
        <v/>
      </c>
    </row>
    <row r="920" ht="15.75" customHeight="1">
      <c r="A920" s="45"/>
      <c r="C920" s="77" t="str">
        <f>IF($A920="","",IFERROR(VLOOKUP($A920,StudentRegistry!$A:$D,3,FALSE),"Not found"))</f>
        <v/>
      </c>
      <c r="D920" s="77" t="str">
        <f>IF($A920="","",IFERROR(IF(VLOOKUP($A920,StudentRegistry!$A:$D,4,FALSE)="Active","Yes","Inactive"),"No"))</f>
        <v/>
      </c>
    </row>
    <row r="921" ht="15.75" customHeight="1">
      <c r="A921" s="45"/>
      <c r="C921" s="77" t="str">
        <f>IF($A921="","",IFERROR(VLOOKUP($A921,StudentRegistry!$A:$D,3,FALSE),"Not found"))</f>
        <v/>
      </c>
      <c r="D921" s="77" t="str">
        <f>IF($A921="","",IFERROR(IF(VLOOKUP($A921,StudentRegistry!$A:$D,4,FALSE)="Active","Yes","Inactive"),"No"))</f>
        <v/>
      </c>
    </row>
    <row r="922" ht="15.75" customHeight="1">
      <c r="A922" s="45"/>
      <c r="C922" s="77" t="str">
        <f>IF($A922="","",IFERROR(VLOOKUP($A922,StudentRegistry!$A:$D,3,FALSE),"Not found"))</f>
        <v/>
      </c>
      <c r="D922" s="77" t="str">
        <f>IF($A922="","",IFERROR(IF(VLOOKUP($A922,StudentRegistry!$A:$D,4,FALSE)="Active","Yes","Inactive"),"No"))</f>
        <v/>
      </c>
    </row>
    <row r="923" ht="15.75" customHeight="1">
      <c r="A923" s="45"/>
      <c r="C923" s="77" t="str">
        <f>IF($A923="","",IFERROR(VLOOKUP($A923,StudentRegistry!$A:$D,3,FALSE),"Not found"))</f>
        <v/>
      </c>
      <c r="D923" s="77" t="str">
        <f>IF($A923="","",IFERROR(IF(VLOOKUP($A923,StudentRegistry!$A:$D,4,FALSE)="Active","Yes","Inactive"),"No"))</f>
        <v/>
      </c>
    </row>
    <row r="924" ht="15.75" customHeight="1">
      <c r="A924" s="45"/>
      <c r="C924" s="77" t="str">
        <f>IF($A924="","",IFERROR(VLOOKUP($A924,StudentRegistry!$A:$D,3,FALSE),"Not found"))</f>
        <v/>
      </c>
      <c r="D924" s="77" t="str">
        <f>IF($A924="","",IFERROR(IF(VLOOKUP($A924,StudentRegistry!$A:$D,4,FALSE)="Active","Yes","Inactive"),"No"))</f>
        <v/>
      </c>
    </row>
    <row r="925" ht="15.75" customHeight="1">
      <c r="A925" s="45"/>
      <c r="C925" s="77" t="str">
        <f>IF($A925="","",IFERROR(VLOOKUP($A925,StudentRegistry!$A:$D,3,FALSE),"Not found"))</f>
        <v/>
      </c>
      <c r="D925" s="77" t="str">
        <f>IF($A925="","",IFERROR(IF(VLOOKUP($A925,StudentRegistry!$A:$D,4,FALSE)="Active","Yes","Inactive"),"No"))</f>
        <v/>
      </c>
    </row>
    <row r="926" ht="15.75" customHeight="1">
      <c r="A926" s="45"/>
      <c r="C926" s="77" t="str">
        <f>IF($A926="","",IFERROR(VLOOKUP($A926,StudentRegistry!$A:$D,3,FALSE),"Not found"))</f>
        <v/>
      </c>
      <c r="D926" s="77" t="str">
        <f>IF($A926="","",IFERROR(IF(VLOOKUP($A926,StudentRegistry!$A:$D,4,FALSE)="Active","Yes","Inactive"),"No"))</f>
        <v/>
      </c>
    </row>
    <row r="927" ht="15.75" customHeight="1">
      <c r="A927" s="45"/>
      <c r="C927" s="77" t="str">
        <f>IF($A927="","",IFERROR(VLOOKUP($A927,StudentRegistry!$A:$D,3,FALSE),"Not found"))</f>
        <v/>
      </c>
      <c r="D927" s="77" t="str">
        <f>IF($A927="","",IFERROR(IF(VLOOKUP($A927,StudentRegistry!$A:$D,4,FALSE)="Active","Yes","Inactive"),"No"))</f>
        <v/>
      </c>
    </row>
    <row r="928" ht="15.75" customHeight="1">
      <c r="A928" s="45"/>
      <c r="C928" s="77" t="str">
        <f>IF($A928="","",IFERROR(VLOOKUP($A928,StudentRegistry!$A:$D,3,FALSE),"Not found"))</f>
        <v/>
      </c>
      <c r="D928" s="77" t="str">
        <f>IF($A928="","",IFERROR(IF(VLOOKUP($A928,StudentRegistry!$A:$D,4,FALSE)="Active","Yes","Inactive"),"No"))</f>
        <v/>
      </c>
    </row>
    <row r="929" ht="15.75" customHeight="1">
      <c r="A929" s="45"/>
      <c r="C929" s="77" t="str">
        <f>IF($A929="","",IFERROR(VLOOKUP($A929,StudentRegistry!$A:$D,3,FALSE),"Not found"))</f>
        <v/>
      </c>
      <c r="D929" s="77" t="str">
        <f>IF($A929="","",IFERROR(IF(VLOOKUP($A929,StudentRegistry!$A:$D,4,FALSE)="Active","Yes","Inactive"),"No"))</f>
        <v/>
      </c>
    </row>
    <row r="930" ht="15.75" customHeight="1">
      <c r="A930" s="45"/>
      <c r="C930" s="77" t="str">
        <f>IF($A930="","",IFERROR(VLOOKUP($A930,StudentRegistry!$A:$D,3,FALSE),"Not found"))</f>
        <v/>
      </c>
      <c r="D930" s="77" t="str">
        <f>IF($A930="","",IFERROR(IF(VLOOKUP($A930,StudentRegistry!$A:$D,4,FALSE)="Active","Yes","Inactive"),"No"))</f>
        <v/>
      </c>
    </row>
    <row r="931" ht="15.75" customHeight="1">
      <c r="A931" s="45"/>
      <c r="C931" s="77" t="str">
        <f>IF($A931="","",IFERROR(VLOOKUP($A931,StudentRegistry!$A:$D,3,FALSE),"Not found"))</f>
        <v/>
      </c>
      <c r="D931" s="77" t="str">
        <f>IF($A931="","",IFERROR(IF(VLOOKUP($A931,StudentRegistry!$A:$D,4,FALSE)="Active","Yes","Inactive"),"No"))</f>
        <v/>
      </c>
    </row>
    <row r="932" ht="15.75" customHeight="1">
      <c r="A932" s="45"/>
      <c r="C932" s="77" t="str">
        <f>IF($A932="","",IFERROR(VLOOKUP($A932,StudentRegistry!$A:$D,3,FALSE),"Not found"))</f>
        <v/>
      </c>
      <c r="D932" s="77" t="str">
        <f>IF($A932="","",IFERROR(IF(VLOOKUP($A932,StudentRegistry!$A:$D,4,FALSE)="Active","Yes","Inactive"),"No"))</f>
        <v/>
      </c>
    </row>
    <row r="933" ht="15.75" customHeight="1">
      <c r="A933" s="45"/>
      <c r="C933" s="77" t="str">
        <f>IF($A933="","",IFERROR(VLOOKUP($A933,StudentRegistry!$A:$D,3,FALSE),"Not found"))</f>
        <v/>
      </c>
      <c r="D933" s="77" t="str">
        <f>IF($A933="","",IFERROR(IF(VLOOKUP($A933,StudentRegistry!$A:$D,4,FALSE)="Active","Yes","Inactive"),"No"))</f>
        <v/>
      </c>
    </row>
    <row r="934" ht="15.75" customHeight="1">
      <c r="A934" s="45"/>
      <c r="C934" s="77" t="str">
        <f>IF($A934="","",IFERROR(VLOOKUP($A934,StudentRegistry!$A:$D,3,FALSE),"Not found"))</f>
        <v/>
      </c>
      <c r="D934" s="77" t="str">
        <f>IF($A934="","",IFERROR(IF(VLOOKUP($A934,StudentRegistry!$A:$D,4,FALSE)="Active","Yes","Inactive"),"No"))</f>
        <v/>
      </c>
    </row>
    <row r="935" ht="15.75" customHeight="1">
      <c r="A935" s="45"/>
      <c r="C935" s="77" t="str">
        <f>IF($A935="","",IFERROR(VLOOKUP($A935,StudentRegistry!$A:$D,3,FALSE),"Not found"))</f>
        <v/>
      </c>
      <c r="D935" s="77" t="str">
        <f>IF($A935="","",IFERROR(IF(VLOOKUP($A935,StudentRegistry!$A:$D,4,FALSE)="Active","Yes","Inactive"),"No"))</f>
        <v/>
      </c>
    </row>
    <row r="936" ht="15.75" customHeight="1">
      <c r="A936" s="45"/>
      <c r="C936" s="77" t="str">
        <f>IF($A936="","",IFERROR(VLOOKUP($A936,StudentRegistry!$A:$D,3,FALSE),"Not found"))</f>
        <v/>
      </c>
      <c r="D936" s="77" t="str">
        <f>IF($A936="","",IFERROR(IF(VLOOKUP($A936,StudentRegistry!$A:$D,4,FALSE)="Active","Yes","Inactive"),"No"))</f>
        <v/>
      </c>
    </row>
    <row r="937" ht="15.75" customHeight="1">
      <c r="A937" s="45"/>
      <c r="C937" s="77" t="str">
        <f>IF($A937="","",IFERROR(VLOOKUP($A937,StudentRegistry!$A:$D,3,FALSE),"Not found"))</f>
        <v/>
      </c>
      <c r="D937" s="77" t="str">
        <f>IF($A937="","",IFERROR(IF(VLOOKUP($A937,StudentRegistry!$A:$D,4,FALSE)="Active","Yes","Inactive"),"No"))</f>
        <v/>
      </c>
    </row>
    <row r="938" ht="15.75" customHeight="1">
      <c r="A938" s="45"/>
      <c r="C938" s="77" t="str">
        <f>IF($A938="","",IFERROR(VLOOKUP($A938,StudentRegistry!$A:$D,3,FALSE),"Not found"))</f>
        <v/>
      </c>
      <c r="D938" s="77" t="str">
        <f>IF($A938="","",IFERROR(IF(VLOOKUP($A938,StudentRegistry!$A:$D,4,FALSE)="Active","Yes","Inactive"),"No"))</f>
        <v/>
      </c>
    </row>
    <row r="939" ht="15.75" customHeight="1">
      <c r="A939" s="45"/>
      <c r="C939" s="77" t="str">
        <f>IF($A939="","",IFERROR(VLOOKUP($A939,StudentRegistry!$A:$D,3,FALSE),"Not found"))</f>
        <v/>
      </c>
      <c r="D939" s="77" t="str">
        <f>IF($A939="","",IFERROR(IF(VLOOKUP($A939,StudentRegistry!$A:$D,4,FALSE)="Active","Yes","Inactive"),"No"))</f>
        <v/>
      </c>
    </row>
    <row r="940" ht="15.75" customHeight="1">
      <c r="A940" s="45"/>
      <c r="C940" s="77" t="str">
        <f>IF($A940="","",IFERROR(VLOOKUP($A940,StudentRegistry!$A:$D,3,FALSE),"Not found"))</f>
        <v/>
      </c>
      <c r="D940" s="77" t="str">
        <f>IF($A940="","",IFERROR(IF(VLOOKUP($A940,StudentRegistry!$A:$D,4,FALSE)="Active","Yes","Inactive"),"No"))</f>
        <v/>
      </c>
    </row>
    <row r="941" ht="15.75" customHeight="1">
      <c r="A941" s="45"/>
      <c r="C941" s="77" t="str">
        <f>IF($A941="","",IFERROR(VLOOKUP($A941,StudentRegistry!$A:$D,3,FALSE),"Not found"))</f>
        <v/>
      </c>
      <c r="D941" s="77" t="str">
        <f>IF($A941="","",IFERROR(IF(VLOOKUP($A941,StudentRegistry!$A:$D,4,FALSE)="Active","Yes","Inactive"),"No"))</f>
        <v/>
      </c>
    </row>
    <row r="942" ht="15.75" customHeight="1">
      <c r="A942" s="45"/>
      <c r="C942" s="77" t="str">
        <f>IF($A942="","",IFERROR(VLOOKUP($A942,StudentRegistry!$A:$D,3,FALSE),"Not found"))</f>
        <v/>
      </c>
      <c r="D942" s="77" t="str">
        <f>IF($A942="","",IFERROR(IF(VLOOKUP($A942,StudentRegistry!$A:$D,4,FALSE)="Active","Yes","Inactive"),"No"))</f>
        <v/>
      </c>
    </row>
    <row r="943" ht="15.75" customHeight="1">
      <c r="A943" s="45"/>
      <c r="C943" s="77" t="str">
        <f>IF($A943="","",IFERROR(VLOOKUP($A943,StudentRegistry!$A:$D,3,FALSE),"Not found"))</f>
        <v/>
      </c>
      <c r="D943" s="77" t="str">
        <f>IF($A943="","",IFERROR(IF(VLOOKUP($A943,StudentRegistry!$A:$D,4,FALSE)="Active","Yes","Inactive"),"No"))</f>
        <v/>
      </c>
    </row>
    <row r="944" ht="15.75" customHeight="1">
      <c r="A944" s="45"/>
      <c r="C944" s="77" t="str">
        <f>IF($A944="","",IFERROR(VLOOKUP($A944,StudentRegistry!$A:$D,3,FALSE),"Not found"))</f>
        <v/>
      </c>
      <c r="D944" s="77" t="str">
        <f>IF($A944="","",IFERROR(IF(VLOOKUP($A944,StudentRegistry!$A:$D,4,FALSE)="Active","Yes","Inactive"),"No"))</f>
        <v/>
      </c>
    </row>
    <row r="945" ht="15.75" customHeight="1">
      <c r="A945" s="45"/>
      <c r="C945" s="77" t="str">
        <f>IF($A945="","",IFERROR(VLOOKUP($A945,StudentRegistry!$A:$D,3,FALSE),"Not found"))</f>
        <v/>
      </c>
      <c r="D945" s="77" t="str">
        <f>IF($A945="","",IFERROR(IF(VLOOKUP($A945,StudentRegistry!$A:$D,4,FALSE)="Active","Yes","Inactive"),"No"))</f>
        <v/>
      </c>
    </row>
    <row r="946" ht="15.75" customHeight="1">
      <c r="A946" s="45"/>
      <c r="C946" s="77" t="str">
        <f>IF($A946="","",IFERROR(VLOOKUP($A946,StudentRegistry!$A:$D,3,FALSE),"Not found"))</f>
        <v/>
      </c>
      <c r="D946" s="77" t="str">
        <f>IF($A946="","",IFERROR(IF(VLOOKUP($A946,StudentRegistry!$A:$D,4,FALSE)="Active","Yes","Inactive"),"No"))</f>
        <v/>
      </c>
    </row>
    <row r="947" ht="15.75" customHeight="1">
      <c r="A947" s="45"/>
      <c r="C947" s="77" t="str">
        <f>IF($A947="","",IFERROR(VLOOKUP($A947,StudentRegistry!$A:$D,3,FALSE),"Not found"))</f>
        <v/>
      </c>
      <c r="D947" s="77" t="str">
        <f>IF($A947="","",IFERROR(IF(VLOOKUP($A947,StudentRegistry!$A:$D,4,FALSE)="Active","Yes","Inactive"),"No"))</f>
        <v/>
      </c>
    </row>
    <row r="948" ht="15.75" customHeight="1">
      <c r="A948" s="45"/>
      <c r="C948" s="77" t="str">
        <f>IF($A948="","",IFERROR(VLOOKUP($A948,StudentRegistry!$A:$D,3,FALSE),"Not found"))</f>
        <v/>
      </c>
      <c r="D948" s="77" t="str">
        <f>IF($A948="","",IFERROR(IF(VLOOKUP($A948,StudentRegistry!$A:$D,4,FALSE)="Active","Yes","Inactive"),"No"))</f>
        <v/>
      </c>
    </row>
    <row r="949" ht="15.75" customHeight="1">
      <c r="A949" s="45"/>
      <c r="C949" s="77" t="str">
        <f>IF($A949="","",IFERROR(VLOOKUP($A949,StudentRegistry!$A:$D,3,FALSE),"Not found"))</f>
        <v/>
      </c>
      <c r="D949" s="77" t="str">
        <f>IF($A949="","",IFERROR(IF(VLOOKUP($A949,StudentRegistry!$A:$D,4,FALSE)="Active","Yes","Inactive"),"No"))</f>
        <v/>
      </c>
    </row>
    <row r="950" ht="15.75" customHeight="1">
      <c r="A950" s="45"/>
      <c r="C950" s="77" t="str">
        <f>IF($A950="","",IFERROR(VLOOKUP($A950,StudentRegistry!$A:$D,3,FALSE),"Not found"))</f>
        <v/>
      </c>
      <c r="D950" s="77" t="str">
        <f>IF($A950="","",IFERROR(IF(VLOOKUP($A950,StudentRegistry!$A:$D,4,FALSE)="Active","Yes","Inactive"),"No"))</f>
        <v/>
      </c>
    </row>
    <row r="951" ht="15.75" customHeight="1">
      <c r="A951" s="45"/>
      <c r="C951" s="77" t="str">
        <f>IF($A951="","",IFERROR(VLOOKUP($A951,StudentRegistry!$A:$D,3,FALSE),"Not found"))</f>
        <v/>
      </c>
      <c r="D951" s="77" t="str">
        <f>IF($A951="","",IFERROR(IF(VLOOKUP($A951,StudentRegistry!$A:$D,4,FALSE)="Active","Yes","Inactive"),"No"))</f>
        <v/>
      </c>
    </row>
    <row r="952" ht="15.75" customHeight="1">
      <c r="A952" s="45"/>
      <c r="C952" s="77" t="str">
        <f>IF($A952="","",IFERROR(VLOOKUP($A952,StudentRegistry!$A:$D,3,FALSE),"Not found"))</f>
        <v/>
      </c>
      <c r="D952" s="77" t="str">
        <f>IF($A952="","",IFERROR(IF(VLOOKUP($A952,StudentRegistry!$A:$D,4,FALSE)="Active","Yes","Inactive"),"No"))</f>
        <v/>
      </c>
    </row>
    <row r="953" ht="15.75" customHeight="1">
      <c r="A953" s="45"/>
      <c r="C953" s="77" t="str">
        <f>IF($A953="","",IFERROR(VLOOKUP($A953,StudentRegistry!$A:$D,3,FALSE),"Not found"))</f>
        <v/>
      </c>
      <c r="D953" s="77" t="str">
        <f>IF($A953="","",IFERROR(IF(VLOOKUP($A953,StudentRegistry!$A:$D,4,FALSE)="Active","Yes","Inactive"),"No"))</f>
        <v/>
      </c>
    </row>
    <row r="954" ht="15.75" customHeight="1">
      <c r="A954" s="45"/>
      <c r="C954" s="77" t="str">
        <f>IF($A954="","",IFERROR(VLOOKUP($A954,StudentRegistry!$A:$D,3,FALSE),"Not found"))</f>
        <v/>
      </c>
      <c r="D954" s="77" t="str">
        <f>IF($A954="","",IFERROR(IF(VLOOKUP($A954,StudentRegistry!$A:$D,4,FALSE)="Active","Yes","Inactive"),"No"))</f>
        <v/>
      </c>
    </row>
    <row r="955" ht="15.75" customHeight="1">
      <c r="A955" s="45"/>
      <c r="C955" s="77" t="str">
        <f>IF($A955="","",IFERROR(VLOOKUP($A955,StudentRegistry!$A:$D,3,FALSE),"Not found"))</f>
        <v/>
      </c>
      <c r="D955" s="77" t="str">
        <f>IF($A955="","",IFERROR(IF(VLOOKUP($A955,StudentRegistry!$A:$D,4,FALSE)="Active","Yes","Inactive"),"No"))</f>
        <v/>
      </c>
    </row>
    <row r="956" ht="15.75" customHeight="1">
      <c r="A956" s="45"/>
      <c r="C956" s="77" t="str">
        <f>IF($A956="","",IFERROR(VLOOKUP($A956,StudentRegistry!$A:$D,3,FALSE),"Not found"))</f>
        <v/>
      </c>
      <c r="D956" s="77" t="str">
        <f>IF($A956="","",IFERROR(IF(VLOOKUP($A956,StudentRegistry!$A:$D,4,FALSE)="Active","Yes","Inactive"),"No"))</f>
        <v/>
      </c>
    </row>
    <row r="957" ht="15.75" customHeight="1">
      <c r="A957" s="45"/>
      <c r="C957" s="77" t="str">
        <f>IF($A957="","",IFERROR(VLOOKUP($A957,StudentRegistry!$A:$D,3,FALSE),"Not found"))</f>
        <v/>
      </c>
      <c r="D957" s="77" t="str">
        <f>IF($A957="","",IFERROR(IF(VLOOKUP($A957,StudentRegistry!$A:$D,4,FALSE)="Active","Yes","Inactive"),"No"))</f>
        <v/>
      </c>
    </row>
    <row r="958" ht="15.75" customHeight="1">
      <c r="A958" s="45"/>
      <c r="C958" s="77" t="str">
        <f>IF($A958="","",IFERROR(VLOOKUP($A958,StudentRegistry!$A:$D,3,FALSE),"Not found"))</f>
        <v/>
      </c>
      <c r="D958" s="77" t="str">
        <f>IF($A958="","",IFERROR(IF(VLOOKUP($A958,StudentRegistry!$A:$D,4,FALSE)="Active","Yes","Inactive"),"No"))</f>
        <v/>
      </c>
    </row>
    <row r="959" ht="15.75" customHeight="1">
      <c r="A959" s="45"/>
      <c r="C959" s="77" t="str">
        <f>IF($A959="","",IFERROR(VLOOKUP($A959,StudentRegistry!$A:$D,3,FALSE),"Not found"))</f>
        <v/>
      </c>
      <c r="D959" s="77" t="str">
        <f>IF($A959="","",IFERROR(IF(VLOOKUP($A959,StudentRegistry!$A:$D,4,FALSE)="Active","Yes","Inactive"),"No"))</f>
        <v/>
      </c>
    </row>
    <row r="960" ht="15.75" customHeight="1">
      <c r="A960" s="45"/>
      <c r="C960" s="77" t="str">
        <f>IF($A960="","",IFERROR(VLOOKUP($A960,StudentRegistry!$A:$D,3,FALSE),"Not found"))</f>
        <v/>
      </c>
      <c r="D960" s="77" t="str">
        <f>IF($A960="","",IFERROR(IF(VLOOKUP($A960,StudentRegistry!$A:$D,4,FALSE)="Active","Yes","Inactive"),"No"))</f>
        <v/>
      </c>
    </row>
    <row r="961" ht="15.75" customHeight="1">
      <c r="A961" s="45"/>
      <c r="C961" s="77" t="str">
        <f>IF($A961="","",IFERROR(VLOOKUP($A961,StudentRegistry!$A:$D,3,FALSE),"Not found"))</f>
        <v/>
      </c>
      <c r="D961" s="77" t="str">
        <f>IF($A961="","",IFERROR(IF(VLOOKUP($A961,StudentRegistry!$A:$D,4,FALSE)="Active","Yes","Inactive"),"No"))</f>
        <v/>
      </c>
    </row>
    <row r="962" ht="15.75" customHeight="1">
      <c r="A962" s="45"/>
      <c r="C962" s="77" t="str">
        <f>IF($A962="","",IFERROR(VLOOKUP($A962,StudentRegistry!$A:$D,3,FALSE),"Not found"))</f>
        <v/>
      </c>
      <c r="D962" s="77" t="str">
        <f>IF($A962="","",IFERROR(IF(VLOOKUP($A962,StudentRegistry!$A:$D,4,FALSE)="Active","Yes","Inactive"),"No"))</f>
        <v/>
      </c>
    </row>
    <row r="963" ht="15.75" customHeight="1">
      <c r="A963" s="45"/>
      <c r="C963" s="77" t="str">
        <f>IF($A963="","",IFERROR(VLOOKUP($A963,StudentRegistry!$A:$D,3,FALSE),"Not found"))</f>
        <v/>
      </c>
      <c r="D963" s="77" t="str">
        <f>IF($A963="","",IFERROR(IF(VLOOKUP($A963,StudentRegistry!$A:$D,4,FALSE)="Active","Yes","Inactive"),"No"))</f>
        <v/>
      </c>
    </row>
    <row r="964" ht="15.75" customHeight="1">
      <c r="A964" s="45"/>
      <c r="C964" s="77" t="str">
        <f>IF($A964="","",IFERROR(VLOOKUP($A964,StudentRegistry!$A:$D,3,FALSE),"Not found"))</f>
        <v/>
      </c>
      <c r="D964" s="77" t="str">
        <f>IF($A964="","",IFERROR(IF(VLOOKUP($A964,StudentRegistry!$A:$D,4,FALSE)="Active","Yes","Inactive"),"No"))</f>
        <v/>
      </c>
    </row>
    <row r="965" ht="15.75" customHeight="1">
      <c r="A965" s="45"/>
      <c r="C965" s="77" t="str">
        <f>IF($A965="","",IFERROR(VLOOKUP($A965,StudentRegistry!$A:$D,3,FALSE),"Not found"))</f>
        <v/>
      </c>
      <c r="D965" s="77" t="str">
        <f>IF($A965="","",IFERROR(IF(VLOOKUP($A965,StudentRegistry!$A:$D,4,FALSE)="Active","Yes","Inactive"),"No"))</f>
        <v/>
      </c>
    </row>
    <row r="966" ht="15.75" customHeight="1">
      <c r="A966" s="45"/>
      <c r="C966" s="77" t="str">
        <f>IF($A966="","",IFERROR(VLOOKUP($A966,StudentRegistry!$A:$D,3,FALSE),"Not found"))</f>
        <v/>
      </c>
      <c r="D966" s="77" t="str">
        <f>IF($A966="","",IFERROR(IF(VLOOKUP($A966,StudentRegistry!$A:$D,4,FALSE)="Active","Yes","Inactive"),"No"))</f>
        <v/>
      </c>
    </row>
    <row r="967" ht="15.75" customHeight="1">
      <c r="A967" s="45"/>
      <c r="C967" s="77" t="str">
        <f>IF($A967="","",IFERROR(VLOOKUP($A967,StudentRegistry!$A:$D,3,FALSE),"Not found"))</f>
        <v/>
      </c>
      <c r="D967" s="77" t="str">
        <f>IF($A967="","",IFERROR(IF(VLOOKUP($A967,StudentRegistry!$A:$D,4,FALSE)="Active","Yes","Inactive"),"No"))</f>
        <v/>
      </c>
    </row>
    <row r="968" ht="15.75" customHeight="1">
      <c r="A968" s="45"/>
      <c r="C968" s="77" t="str">
        <f>IF($A968="","",IFERROR(VLOOKUP($A968,StudentRegistry!$A:$D,3,FALSE),"Not found"))</f>
        <v/>
      </c>
      <c r="D968" s="77" t="str">
        <f>IF($A968="","",IFERROR(IF(VLOOKUP($A968,StudentRegistry!$A:$D,4,FALSE)="Active","Yes","Inactive"),"No"))</f>
        <v/>
      </c>
    </row>
    <row r="969" ht="15.75" customHeight="1">
      <c r="A969" s="45"/>
      <c r="C969" s="77" t="str">
        <f>IF($A969="","",IFERROR(VLOOKUP($A969,StudentRegistry!$A:$D,3,FALSE),"Not found"))</f>
        <v/>
      </c>
      <c r="D969" s="77" t="str">
        <f>IF($A969="","",IFERROR(IF(VLOOKUP($A969,StudentRegistry!$A:$D,4,FALSE)="Active","Yes","Inactive"),"No"))</f>
        <v/>
      </c>
    </row>
    <row r="970" ht="15.75" customHeight="1">
      <c r="A970" s="45"/>
      <c r="C970" s="77" t="str">
        <f>IF($A970="","",IFERROR(VLOOKUP($A970,StudentRegistry!$A:$D,3,FALSE),"Not found"))</f>
        <v/>
      </c>
      <c r="D970" s="77" t="str">
        <f>IF($A970="","",IFERROR(IF(VLOOKUP($A970,StudentRegistry!$A:$D,4,FALSE)="Active","Yes","Inactive"),"No"))</f>
        <v/>
      </c>
    </row>
    <row r="971" ht="15.75" customHeight="1">
      <c r="A971" s="45"/>
      <c r="C971" s="77" t="str">
        <f>IF($A971="","",IFERROR(VLOOKUP($A971,StudentRegistry!$A:$D,3,FALSE),"Not found"))</f>
        <v/>
      </c>
      <c r="D971" s="77" t="str">
        <f>IF($A971="","",IFERROR(IF(VLOOKUP($A971,StudentRegistry!$A:$D,4,FALSE)="Active","Yes","Inactive"),"No"))</f>
        <v/>
      </c>
    </row>
    <row r="972" ht="15.75" customHeight="1">
      <c r="A972" s="45"/>
      <c r="C972" s="77" t="str">
        <f>IF($A972="","",IFERROR(VLOOKUP($A972,StudentRegistry!$A:$D,3,FALSE),"Not found"))</f>
        <v/>
      </c>
      <c r="D972" s="77" t="str">
        <f>IF($A972="","",IFERROR(IF(VLOOKUP($A972,StudentRegistry!$A:$D,4,FALSE)="Active","Yes","Inactive"),"No"))</f>
        <v/>
      </c>
    </row>
    <row r="973" ht="15.75" customHeight="1">
      <c r="A973" s="45"/>
      <c r="C973" s="77" t="str">
        <f>IF($A973="","",IFERROR(VLOOKUP($A973,StudentRegistry!$A:$D,3,FALSE),"Not found"))</f>
        <v/>
      </c>
      <c r="D973" s="77" t="str">
        <f>IF($A973="","",IFERROR(IF(VLOOKUP($A973,StudentRegistry!$A:$D,4,FALSE)="Active","Yes","Inactive"),"No"))</f>
        <v/>
      </c>
    </row>
    <row r="974" ht="15.75" customHeight="1">
      <c r="A974" s="45"/>
      <c r="C974" s="77" t="str">
        <f>IF($A974="","",IFERROR(VLOOKUP($A974,StudentRegistry!$A:$D,3,FALSE),"Not found"))</f>
        <v/>
      </c>
      <c r="D974" s="77" t="str">
        <f>IF($A974="","",IFERROR(IF(VLOOKUP($A974,StudentRegistry!$A:$D,4,FALSE)="Active","Yes","Inactive"),"No"))</f>
        <v/>
      </c>
    </row>
    <row r="975" ht="15.75" customHeight="1">
      <c r="A975" s="45"/>
      <c r="C975" s="77" t="str">
        <f>IF($A975="","",IFERROR(VLOOKUP($A975,StudentRegistry!$A:$D,3,FALSE),"Not found"))</f>
        <v/>
      </c>
      <c r="D975" s="77" t="str">
        <f>IF($A975="","",IFERROR(IF(VLOOKUP($A975,StudentRegistry!$A:$D,4,FALSE)="Active","Yes","Inactive"),"No"))</f>
        <v/>
      </c>
    </row>
    <row r="976" ht="15.75" customHeight="1">
      <c r="A976" s="45"/>
      <c r="C976" s="77" t="str">
        <f>IF($A976="","",IFERROR(VLOOKUP($A976,StudentRegistry!$A:$D,3,FALSE),"Not found"))</f>
        <v/>
      </c>
      <c r="D976" s="77" t="str">
        <f>IF($A976="","",IFERROR(IF(VLOOKUP($A976,StudentRegistry!$A:$D,4,FALSE)="Active","Yes","Inactive"),"No"))</f>
        <v/>
      </c>
    </row>
    <row r="977" ht="15.75" customHeight="1">
      <c r="A977" s="45"/>
      <c r="C977" s="77" t="str">
        <f>IF($A977="","",IFERROR(VLOOKUP($A977,StudentRegistry!$A:$D,3,FALSE),"Not found"))</f>
        <v/>
      </c>
      <c r="D977" s="77" t="str">
        <f>IF($A977="","",IFERROR(IF(VLOOKUP($A977,StudentRegistry!$A:$D,4,FALSE)="Active","Yes","Inactive"),"No"))</f>
        <v/>
      </c>
    </row>
    <row r="978" ht="15.75" customHeight="1">
      <c r="A978" s="45"/>
      <c r="C978" s="77" t="str">
        <f>IF($A978="","",IFERROR(VLOOKUP($A978,StudentRegistry!$A:$D,3,FALSE),"Not found"))</f>
        <v/>
      </c>
      <c r="D978" s="77" t="str">
        <f>IF($A978="","",IFERROR(IF(VLOOKUP($A978,StudentRegistry!$A:$D,4,FALSE)="Active","Yes","Inactive"),"No"))</f>
        <v/>
      </c>
    </row>
    <row r="979" ht="15.75" customHeight="1">
      <c r="A979" s="45"/>
      <c r="C979" s="77" t="str">
        <f>IF($A979="","",IFERROR(VLOOKUP($A979,StudentRegistry!$A:$D,3,FALSE),"Not found"))</f>
        <v/>
      </c>
      <c r="D979" s="77" t="str">
        <f>IF($A979="","",IFERROR(IF(VLOOKUP($A979,StudentRegistry!$A:$D,4,FALSE)="Active","Yes","Inactive"),"No"))</f>
        <v/>
      </c>
    </row>
    <row r="980" ht="15.75" customHeight="1">
      <c r="A980" s="45"/>
      <c r="C980" s="77" t="str">
        <f>IF($A980="","",IFERROR(VLOOKUP($A980,StudentRegistry!$A:$D,3,FALSE),"Not found"))</f>
        <v/>
      </c>
      <c r="D980" s="77" t="str">
        <f>IF($A980="","",IFERROR(IF(VLOOKUP($A980,StudentRegistry!$A:$D,4,FALSE)="Active","Yes","Inactive"),"No"))</f>
        <v/>
      </c>
    </row>
    <row r="981" ht="15.75" customHeight="1">
      <c r="A981" s="45"/>
      <c r="C981" s="77" t="str">
        <f>IF($A981="","",IFERROR(VLOOKUP($A981,StudentRegistry!$A:$D,3,FALSE),"Not found"))</f>
        <v/>
      </c>
      <c r="D981" s="77" t="str">
        <f>IF($A981="","",IFERROR(IF(VLOOKUP($A981,StudentRegistry!$A:$D,4,FALSE)="Active","Yes","Inactive"),"No"))</f>
        <v/>
      </c>
    </row>
    <row r="982" ht="15.75" customHeight="1">
      <c r="A982" s="45"/>
      <c r="C982" s="77" t="str">
        <f>IF($A982="","",IFERROR(VLOOKUP($A982,StudentRegistry!$A:$D,3,FALSE),"Not found"))</f>
        <v/>
      </c>
      <c r="D982" s="77" t="str">
        <f>IF($A982="","",IFERROR(IF(VLOOKUP($A982,StudentRegistry!$A:$D,4,FALSE)="Active","Yes","Inactive"),"No"))</f>
        <v/>
      </c>
    </row>
    <row r="983" ht="15.75" customHeight="1">
      <c r="A983" s="45"/>
      <c r="C983" s="77" t="str">
        <f>IF($A983="","",IFERROR(VLOOKUP($A983,StudentRegistry!$A:$D,3,FALSE),"Not found"))</f>
        <v/>
      </c>
      <c r="D983" s="77" t="str">
        <f>IF($A983="","",IFERROR(IF(VLOOKUP($A983,StudentRegistry!$A:$D,4,FALSE)="Active","Yes","Inactive"),"No"))</f>
        <v/>
      </c>
    </row>
    <row r="984" ht="15.75" customHeight="1">
      <c r="A984" s="45"/>
      <c r="C984" s="77" t="str">
        <f>IF($A984="","",IFERROR(VLOOKUP($A984,StudentRegistry!$A:$D,3,FALSE),"Not found"))</f>
        <v/>
      </c>
      <c r="D984" s="77" t="str">
        <f>IF($A984="","",IFERROR(IF(VLOOKUP($A984,StudentRegistry!$A:$D,4,FALSE)="Active","Yes","Inactive"),"No"))</f>
        <v/>
      </c>
    </row>
    <row r="985" ht="15.75" customHeight="1">
      <c r="A985" s="45"/>
      <c r="C985" s="77" t="str">
        <f>IF($A985="","",IFERROR(VLOOKUP($A985,StudentRegistry!$A:$D,3,FALSE),"Not found"))</f>
        <v/>
      </c>
      <c r="D985" s="77" t="str">
        <f>IF($A985="","",IFERROR(IF(VLOOKUP($A985,StudentRegistry!$A:$D,4,FALSE)="Active","Yes","Inactive"),"No"))</f>
        <v/>
      </c>
    </row>
    <row r="986" ht="15.75" customHeight="1">
      <c r="A986" s="45"/>
      <c r="C986" s="77" t="str">
        <f>IF($A986="","",IFERROR(VLOOKUP($A986,StudentRegistry!$A:$D,3,FALSE),"Not found"))</f>
        <v/>
      </c>
      <c r="D986" s="77" t="str">
        <f>IF($A986="","",IFERROR(IF(VLOOKUP($A986,StudentRegistry!$A:$D,4,FALSE)="Active","Yes","Inactive"),"No"))</f>
        <v/>
      </c>
    </row>
    <row r="987" ht="15.75" customHeight="1">
      <c r="A987" s="45"/>
      <c r="C987" s="77" t="str">
        <f>IF($A987="","",IFERROR(VLOOKUP($A987,StudentRegistry!$A:$D,3,FALSE),"Not found"))</f>
        <v/>
      </c>
      <c r="D987" s="77" t="str">
        <f>IF($A987="","",IFERROR(IF(VLOOKUP($A987,StudentRegistry!$A:$D,4,FALSE)="Active","Yes","Inactive"),"No"))</f>
        <v/>
      </c>
    </row>
    <row r="988" ht="15.75" customHeight="1">
      <c r="A988" s="45"/>
      <c r="C988" s="77" t="str">
        <f>IF($A988="","",IFERROR(VLOOKUP($A988,StudentRegistry!$A:$D,3,FALSE),"Not found"))</f>
        <v/>
      </c>
      <c r="D988" s="77" t="str">
        <f>IF($A988="","",IFERROR(IF(VLOOKUP($A988,StudentRegistry!$A:$D,4,FALSE)="Active","Yes","Inactive"),"No"))</f>
        <v/>
      </c>
    </row>
    <row r="989" ht="15.75" customHeight="1">
      <c r="A989" s="45"/>
      <c r="C989" s="77" t="str">
        <f>IF($A989="","",IFERROR(VLOOKUP($A989,StudentRegistry!$A:$D,3,FALSE),"Not found"))</f>
        <v/>
      </c>
      <c r="D989" s="77" t="str">
        <f>IF($A989="","",IFERROR(IF(VLOOKUP($A989,StudentRegistry!$A:$D,4,FALSE)="Active","Yes","Inactive"),"No"))</f>
        <v/>
      </c>
    </row>
    <row r="990" ht="15.75" customHeight="1">
      <c r="A990" s="45"/>
      <c r="C990" s="77" t="str">
        <f>IF($A990="","",IFERROR(VLOOKUP($A990,StudentRegistry!$A:$D,3,FALSE),"Not found"))</f>
        <v/>
      </c>
      <c r="D990" s="77" t="str">
        <f>IF($A990="","",IFERROR(IF(VLOOKUP($A990,StudentRegistry!$A:$D,4,FALSE)="Active","Yes","Inactive"),"No"))</f>
        <v/>
      </c>
    </row>
    <row r="991" ht="15.75" customHeight="1">
      <c r="A991" s="45"/>
      <c r="C991" s="77" t="str">
        <f>IF($A991="","",IFERROR(VLOOKUP($A991,StudentRegistry!$A:$D,3,FALSE),"Not found"))</f>
        <v/>
      </c>
      <c r="D991" s="77" t="str">
        <f>IF($A991="","",IFERROR(IF(VLOOKUP($A991,StudentRegistry!$A:$D,4,FALSE)="Active","Yes","Inactive"),"No"))</f>
        <v/>
      </c>
    </row>
    <row r="992" ht="15.75" customHeight="1">
      <c r="A992" s="45"/>
      <c r="C992" s="77" t="str">
        <f>IF($A992="","",IFERROR(VLOOKUP($A992,StudentRegistry!$A:$D,3,FALSE),"Not found"))</f>
        <v/>
      </c>
      <c r="D992" s="77" t="str">
        <f>IF($A992="","",IFERROR(IF(VLOOKUP($A992,StudentRegistry!$A:$D,4,FALSE)="Active","Yes","Inactive"),"No"))</f>
        <v/>
      </c>
    </row>
    <row r="993" ht="15.75" customHeight="1">
      <c r="A993" s="45"/>
      <c r="C993" s="77" t="str">
        <f>IF($A993="","",IFERROR(VLOOKUP($A993,StudentRegistry!$A:$D,3,FALSE),"Not found"))</f>
        <v/>
      </c>
      <c r="D993" s="77" t="str">
        <f>IF($A993="","",IFERROR(IF(VLOOKUP($A993,StudentRegistry!$A:$D,4,FALSE)="Active","Yes","Inactive"),"No"))</f>
        <v/>
      </c>
    </row>
    <row r="994" ht="15.75" customHeight="1">
      <c r="A994" s="45"/>
      <c r="C994" s="77" t="str">
        <f>IF($A994="","",IFERROR(VLOOKUP($A994,StudentRegistry!$A:$D,3,FALSE),"Not found"))</f>
        <v/>
      </c>
      <c r="D994" s="77" t="str">
        <f>IF($A994="","",IFERROR(IF(VLOOKUP($A994,StudentRegistry!$A:$D,4,FALSE)="Active","Yes","Inactive"),"No"))</f>
        <v/>
      </c>
    </row>
    <row r="995" ht="15.75" customHeight="1">
      <c r="A995" s="45"/>
      <c r="C995" s="77" t="str">
        <f>IF($A995="","",IFERROR(VLOOKUP($A995,StudentRegistry!$A:$D,3,FALSE),"Not found"))</f>
        <v/>
      </c>
      <c r="D995" s="77" t="str">
        <f>IF($A995="","",IFERROR(IF(VLOOKUP($A995,StudentRegistry!$A:$D,4,FALSE)="Active","Yes","Inactive"),"No"))</f>
        <v/>
      </c>
    </row>
    <row r="996" ht="15.75" customHeight="1">
      <c r="A996" s="45"/>
      <c r="C996" s="77" t="str">
        <f>IF($A996="","",IFERROR(VLOOKUP($A996,StudentRegistry!$A:$D,3,FALSE),"Not found"))</f>
        <v/>
      </c>
      <c r="D996" s="77" t="str">
        <f>IF($A996="","",IFERROR(IF(VLOOKUP($A996,StudentRegistry!$A:$D,4,FALSE)="Active","Yes","Inactive"),"No"))</f>
        <v/>
      </c>
    </row>
    <row r="997" ht="15.75" customHeight="1">
      <c r="A997" s="45"/>
      <c r="C997" s="77" t="str">
        <f>IF($A997="","",IFERROR(VLOOKUP($A997,StudentRegistry!$A:$D,3,FALSE),"Not found"))</f>
        <v/>
      </c>
      <c r="D997" s="77" t="str">
        <f>IF($A997="","",IFERROR(IF(VLOOKUP($A997,StudentRegistry!$A:$D,4,FALSE)="Active","Yes","Inactive"),"No"))</f>
        <v/>
      </c>
    </row>
    <row r="998" ht="15.75" customHeight="1">
      <c r="A998" s="45"/>
      <c r="C998" s="77" t="str">
        <f>IF($A998="","",IFERROR(VLOOKUP($A998,StudentRegistry!$A:$D,3,FALSE),"Not found"))</f>
        <v/>
      </c>
      <c r="D998" s="77" t="str">
        <f>IF($A998="","",IFERROR(IF(VLOOKUP($A998,StudentRegistry!$A:$D,4,FALSE)="Active","Yes","Inactive"),"No"))</f>
        <v/>
      </c>
    </row>
    <row r="999" ht="15.75" customHeight="1">
      <c r="A999" s="45"/>
      <c r="C999" s="77" t="str">
        <f>IF($A999="","",IFERROR(VLOOKUP($A999,StudentRegistry!$A:$D,3,FALSE),"Not found"))</f>
        <v/>
      </c>
      <c r="D999" s="77" t="str">
        <f>IF($A999="","",IFERROR(IF(VLOOKUP($A999,StudentRegistry!$A:$D,4,FALSE)="Active","Yes","Inactive"),"No"))</f>
        <v/>
      </c>
    </row>
    <row r="1000" ht="15.75" customHeight="1">
      <c r="A1000" s="45"/>
      <c r="C1000" s="77" t="str">
        <f>IF($A1000="","",IFERROR(VLOOKUP($A1000,StudentRegistry!$A:$D,3,FALSE),"Not found"))</f>
        <v/>
      </c>
      <c r="D1000" s="77" t="str">
        <f>IF($A1000="","",IFERROR(IF(VLOOKUP($A1000,StudentRegistry!$A:$D,4,FALSE)="Active","Yes","Inactive"),"No"))</f>
        <v/>
      </c>
    </row>
  </sheetData>
  <mergeCells count="1">
    <mergeCell ref="A1:E1"/>
  </mergeCells>
  <dataValidations>
    <dataValidation type="custom" allowBlank="1" showDropDown="1" sqref="B4">
      <formula1>OR(NOT(ISERROR(DATEVALUE(B4))), AND(ISNUMBER(B4), LEFT(CELL("format", B4))="D"))</formula1>
    </dataValidation>
  </dataValidations>
  <printOptions/>
  <pageMargins bottom="0.75" footer="0.0" header="0.0" left="0.7" right="0.7" top="0.75"/>
  <pageSetup orientation="landscape"/>
  <drawing r:id="rId2"/>
  <legacyDrawing r:id="rId3"/>
</worksheet>
</file>